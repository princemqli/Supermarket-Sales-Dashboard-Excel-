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Pivot_Analysis" sheetId="3" state="visible" r:id="rId5"/>
    <sheet name="Formulas" sheetId="4" state="visible" r:id="rId6"/>
    <sheet name="Chart_Data" sheetId="5" state="visible" r:id="rId7"/>
    <sheet name="Clean_Data" sheetId="6" state="visible" r:id="rId8"/>
    <sheet name="Raw_Data" sheetId="7" state="visible" r:id="rId9"/>
    <sheet name="Cleaning_Log" sheetId="8" state="visible" r:id="rId10"/>
    <sheet name="Lists" sheetId="9" state="visible" r:id="rId11"/>
  </sheets>
  <definedNames>
    <definedName function="false" hidden="false" name="rngBand" vbProcedure="false">Clean_Data!$V$2:INDEX(Clean_Data!$V:$V,COUNTA(Clean_Data!$A:$A))</definedName>
    <definedName function="false" hidden="false" name="rngBranch" vbProcedure="false">Clean_Data!$B$2:INDEX(Clean_Data!$B:$B,COUNTA(Clean_Data!$A:$A))</definedName>
    <definedName function="false" hidden="false" name="rngCity" vbProcedure="false">Clean_Data!$C$2:INDEX(Clean_Data!$C:$C,COUNTA(Clean_Data!$A:$A))</definedName>
    <definedName function="false" hidden="false" name="rngCOGS" vbProcedure="false">Clean_Data!$N$2:INDEX(Clean_Data!$N:$N,COUNTA(Clean_Data!$A:$A))</definedName>
    <definedName function="false" hidden="false" name="rngCust" vbProcedure="false">Clean_Data!$D$2:INDEX(Clean_Data!$D:$D,COUNTA(Clean_Data!$A:$A))</definedName>
    <definedName function="false" hidden="false" name="rngDate" vbProcedure="false">Clean_Data!$K$2:INDEX(Clean_Data!$K:$K,COUNTA(Clean_Data!$A:$A))</definedName>
    <definedName function="false" hidden="false" name="rngGender" vbProcedure="false">Clean_Data!$E$2:INDEX(Clean_Data!$E:$E,COUNTA(Clean_Data!$A:$A))</definedName>
    <definedName function="false" hidden="false" name="rngGross" vbProcedure="false">Clean_Data!$O$2:INDEX(Clean_Data!$O:$O,COUNTA(Clean_Data!$A:$A))</definedName>
    <definedName function="false" hidden="false" name="rngHour" vbProcedure="false">Clean_Data!$S$2:INDEX(Clean_Data!$S:$S,COUNTA(Clean_Data!$A:$A))</definedName>
    <definedName function="false" hidden="false" name="rngMonth" vbProcedure="false">Clean_Data!$Q$2:INDEX(Clean_Data!$Q:$Q,COUNTA(Clean_Data!$A:$A))</definedName>
    <definedName function="false" hidden="false" name="rngPayment" vbProcedure="false">Clean_Data!$M$2:INDEX(Clean_Data!$M:$M,COUNTA(Clean_Data!$A:$A))</definedName>
    <definedName function="false" hidden="false" name="rngProduct" vbProcedure="false">Clean_Data!$F$2:INDEX(Clean_Data!$F:$F,COUNTA(Clean_Data!$A:$A))</definedName>
    <definedName function="false" hidden="false" name="rngQty" vbProcedure="false">Clean_Data!$H$2:INDEX(Clean_Data!$H:$H,COUNTA(Clean_Data!$A:$A))</definedName>
    <definedName function="false" hidden="false" name="rngRating" vbProcedure="false">Clean_Data!$P$2:INDEX(Clean_Data!$P:$P,COUNTA(Clean_Data!$A:$A))</definedName>
    <definedName function="false" hidden="false" name="rngSize" vbProcedure="false">Clean_Data!$U$2:INDEX(Clean_Data!$U:$U,COUNTA(Clean_Data!$A:$A))</definedName>
    <definedName function="false" hidden="false" name="rngSlot" vbProcedure="false">Clean_Data!$T$2:INDEX(Clean_Data!$T:$T,COUNTA(Clean_Data!$A:$A))</definedName>
    <definedName function="false" hidden="false" name="rngTax" vbProcedure="false">Clean_Data!$I$2:INDEX(Clean_Data!$I:$I,COUNTA(Clean_Data!$A:$A))</definedName>
    <definedName function="false" hidden="false" name="rngTotal" vbProcedure="false">Clean_Data!$J$2:INDEX(Clean_Data!$J:$J,COUNTA(Clean_Data!$A:$A))</definedName>
    <definedName function="false" hidden="false" name="rngUnitPrice" vbProcedure="false">Clean_Data!$G$2:INDEX(Clean_Data!$G:$G,COUNTA(Clean_Data!$A:$A))</definedName>
    <definedName function="false" hidden="false" name="rngWeek" vbProcedure="false">Clean_Data!$R$2:INDEX(Clean_Data!$R:$R,COUNTA(Clean_Data!$A:$A))</definedName>
    <definedName function="false" hidden="false" name="setAfternoonEnd" vbProcedure="false">Lists!$L$6</definedName>
    <definedName function="false" hidden="false" name="setAvg" vbProcedure="false">Lists!$L$9</definedName>
    <definedName function="false" hidden="false" name="setExc" vbProcedure="false">Lists!$L$7</definedName>
    <definedName function="false" hidden="false" name="setGood" vbProcedure="false">Lists!$L$8</definedName>
    <definedName function="false" hidden="false" name="setLarge" vbProcedure="false">Lists!$L$3</definedName>
    <definedName function="false" hidden="false" name="setMedium" vbProcedure="false">Lists!$L$4</definedName>
    <definedName function="false" hidden="false" name="setMinDate" vbProcedure="false">Lists!$L$2</definedName>
    <definedName function="false" hidden="false" name="setMorningEnd" vbProcedure="false">Lists!$L$5</definedName>
    <definedName function="false" hidden="false" name="setPerfBand" vbProcedure="false">Lists!$L$10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<sst xmlns="http://schemas.openxmlformats.org/spreadsheetml/2006/main" count="16344" uniqueCount="1828">
  <si>
    <t xml:space="preserve">Excel Dashboard Project - Supermarket Sales</t>
  </si>
  <si>
    <t xml:space="preserve">Made by Prince (BCA) | Dataset: Supermarket Sales from Kaggle</t>
  </si>
  <si>
    <t xml:space="preserve">About the data</t>
  </si>
  <si>
    <t xml:space="preserve">I took the Supermarket Sales dataset from Kaggle. It has 1000 bills from 3 branches (Yangon, Mandalay, Naypyitaw) from 1 Jan to 30 Mar 2019.</t>
  </si>
  <si>
    <t xml:space="preserve">Each bill has product line, customer type, gender, payment method, time and a rating.</t>
  </si>
  <si>
    <t xml:space="preserve">What I wanted to find: which product lines, cities, payment types and timings bring the most sales.</t>
  </si>
  <si>
    <t xml:space="preserve">Tasks and where I did them</t>
  </si>
  <si>
    <t xml:space="preserve">Task</t>
  </si>
  <si>
    <t xml:space="preserve">Sheet</t>
  </si>
  <si>
    <t xml:space="preserve">What I used</t>
  </si>
  <si>
    <t xml:space="preserve">Time (min)</t>
  </si>
  <si>
    <t xml:space="preserve">1. Dataset import (5%)</t>
  </si>
  <si>
    <t xml:space="preserve">Raw_Data, Lists</t>
  </si>
  <si>
    <t xml:space="preserve">CSV import, first check</t>
  </si>
  <si>
    <t xml:space="preserve">2. Cleaning (10%)</t>
  </si>
  <si>
    <t xml:space="preserve">Clean_Data, Cleaning_Log</t>
  </si>
  <si>
    <t xml:space="preserve">Duplicates, blanks, date/time types</t>
  </si>
  <si>
    <t xml:space="preserve">3. Pivot tables (15%)</t>
  </si>
  <si>
    <t xml:space="preserve">Pivot_Analysis</t>
  </si>
  <si>
    <t xml:space="preserve">SUMIFS / COUNTIFS summary tables</t>
  </si>
  <si>
    <t xml:space="preserve">4. Advanced formulas (15%)</t>
  </si>
  <si>
    <t xml:space="preserve">Formulas, Clean_Data cols Q-V</t>
  </si>
  <si>
    <t xml:space="preserve">VLOOKUP, INDEX-MATCH, IF, nested IF</t>
  </si>
  <si>
    <t xml:space="preserve">5. Visualization (20%)</t>
  </si>
  <si>
    <t xml:space="preserve">Dashboard, Pivot_Analysis</t>
  </si>
  <si>
    <t xml:space="preserve">Charts, colour scales, data bars</t>
  </si>
  <si>
    <t xml:space="preserve">6. Interactive dashboard (25%)</t>
  </si>
  <si>
    <t xml:space="preserve">Dashboard</t>
  </si>
  <si>
    <t xml:space="preserve">Dropdown filters, KPI boxes, named ranges</t>
  </si>
  <si>
    <t xml:space="preserve">7. Documentation (10%)</t>
  </si>
  <si>
    <t xml:space="preserve">README, Cleaning_Log</t>
  </si>
  <si>
    <t xml:space="preserve">Notes and naming</t>
  </si>
  <si>
    <t xml:space="preserve">Sheets</t>
  </si>
  <si>
    <t xml:space="preserve">Dashboard - main page. Change the 3 yellow boxes (city, product line, month) and everything updates.</t>
  </si>
  <si>
    <t xml:space="preserve">Pivot_Analysis - summary tables. Formulas - lookup and IF practice. Chart_Data - small tables behind the charts (don't edit).</t>
  </si>
  <si>
    <t xml:space="preserve">Clean_Data - cleaned data (table name tblSales). Raw_Data - original copy. Cleaning_Log - what I checked. Lists - dropdown lists and settings.</t>
  </si>
  <si>
    <t xml:space="preserve">How to use</t>
  </si>
  <si>
    <t xml:space="preserve">Go to Dashboard and pick from the yellow boxes. 'All' means no filter. The weekly chart does not use the month filter, so the full timeline always shows.</t>
  </si>
  <si>
    <t xml:space="preserve">Settings like what is a Large order or Excellent rating are in Lists (yellow cells). Change them and the columns update.</t>
  </si>
  <si>
    <t xml:space="preserve">I made named ranges (rngTotal, rngCity etc.) so new rows added below the table are counted automatically.</t>
  </si>
  <si>
    <t xml:space="preserve">For slicers: click inside Clean_Data, then Table Design &gt; Insert Slicer. Same way for a PivotTable (Insert &gt; PivotTable).</t>
  </si>
  <si>
    <t xml:space="preserve">Names and colours</t>
  </si>
  <si>
    <t xml:space="preserve">Sheet names use underscore. Named ranges start with rng, settings start with set, table is tblSales.</t>
  </si>
  <si>
    <t xml:space="preserve">Yellow cell with blue text = you can type/change. Teal = headings. Font is Arial everywhere.</t>
  </si>
  <si>
    <t xml:space="preserve">Things to remember about the data</t>
  </si>
  <si>
    <t xml:space="preserve">Gross Income is exactly the same as the 5% tax column in every row, so it is not real profit. Margin % is also the same (4.76) in all rows, so I did not use it.</t>
  </si>
  <si>
    <t xml:space="preserve">Currency is not given, so I kept plain numbers. Only 3 months of data, so no yearly comparison.</t>
  </si>
  <si>
    <t xml:space="preserve">The numbers are very evenly spread (branches, gender, customer type), so this data may be made up for practice. I treat the results as practice insights only.</t>
  </si>
  <si>
    <t xml:space="preserve">My pivot tables are formula based, not the Excel PivotTable object. This way they stay connected to the dashboard.</t>
  </si>
  <si>
    <t xml:space="preserve">Supermarket Sales Dashboard</t>
  </si>
  <si>
    <t xml:space="preserve">BRANCH / CITY</t>
  </si>
  <si>
    <t xml:space="preserve">PRODUCT LINE</t>
  </si>
  <si>
    <t xml:space="preserve">MONTH</t>
  </si>
  <si>
    <t xml:space="preserve">Change the yellow boxes, everything below changes.</t>
  </si>
  <si>
    <t xml:space="preserve">All</t>
  </si>
  <si>
    <t xml:space="preserve">TOTAL SALES</t>
  </si>
  <si>
    <t xml:space="preserve">GROSS INCOME</t>
  </si>
  <si>
    <t xml:space="preserve">INVOICES</t>
  </si>
  <si>
    <t xml:space="preserve">AVG SALE / INVOICE</t>
  </si>
  <si>
    <t xml:space="preserve">AVG RATING (4-10)</t>
  </si>
  <si>
    <t xml:space="preserve">SHARE OF ALL SALES</t>
  </si>
  <si>
    <t xml:space="preserve">Sales = Total column (includes 5% tax). Currency not given. Gross Income = tax in this data, see README.</t>
  </si>
  <si>
    <t xml:space="preserve">QUICK POINTS (as per filters)</t>
  </si>
  <si>
    <t xml:space="preserve">For slicers see README.</t>
  </si>
  <si>
    <t xml:space="preserve">Pivot Analysis</t>
  </si>
  <si>
    <t xml:space="preserve">Summary tables made with SUMIFS / COUNTIFS / AVERAGEIFS.</t>
  </si>
  <si>
    <t xml:space="preserve">1. Performance by Product Line</t>
  </si>
  <si>
    <t xml:space="preserve">Product Line</t>
  </si>
  <si>
    <t xml:space="preserve">Invoices</t>
  </si>
  <si>
    <t xml:space="preserve">Units</t>
  </si>
  <si>
    <t xml:space="preserve">Sales</t>
  </si>
  <si>
    <t xml:space="preserve">Gross Income</t>
  </si>
  <si>
    <t xml:space="preserve">Avg Sale</t>
  </si>
  <si>
    <t xml:space="preserve">Avg Rating</t>
  </si>
  <si>
    <t xml:space="preserve">% of Sales</t>
  </si>
  <si>
    <t xml:space="preserve">Rank</t>
  </si>
  <si>
    <t xml:space="preserve">Food and beverages</t>
  </si>
  <si>
    <t xml:space="preserve">Sports and travel</t>
  </si>
  <si>
    <t xml:space="preserve">Electronic accessories</t>
  </si>
  <si>
    <t xml:space="preserve">Fashion accessories</t>
  </si>
  <si>
    <t xml:space="preserve">Home and lifestyle</t>
  </si>
  <si>
    <t xml:space="preserve">Health and beauty</t>
  </si>
  <si>
    <t xml:space="preserve">Total</t>
  </si>
  <si>
    <t xml:space="preserve">2. Sales Matrix: City x Product Line</t>
  </si>
  <si>
    <t xml:space="preserve">City</t>
  </si>
  <si>
    <t xml:space="preserve">Yangon</t>
  </si>
  <si>
    <t xml:space="preserve">Mandalay</t>
  </si>
  <si>
    <t xml:space="preserve">Naypyitaw</t>
  </si>
  <si>
    <t xml:space="preserve">3. Monthly Trend</t>
  </si>
  <si>
    <t xml:space="preserve">Month</t>
  </si>
  <si>
    <t xml:space="preserve">MoM Growth</t>
  </si>
  <si>
    <t xml:space="preserve">Jan</t>
  </si>
  <si>
    <t xml:space="preserve">n/a</t>
  </si>
  <si>
    <t xml:space="preserve">Feb</t>
  </si>
  <si>
    <t xml:space="preserve">Mar</t>
  </si>
  <si>
    <t xml:space="preserve">4. Payment Method</t>
  </si>
  <si>
    <t xml:space="preserve">Payment</t>
  </si>
  <si>
    <t xml:space="preserve">Cash</t>
  </si>
  <si>
    <t xml:space="preserve">Ewallet</t>
  </si>
  <si>
    <t xml:space="preserve">Credit card</t>
  </si>
  <si>
    <t xml:space="preserve">5. Sales: Customer Type x Gender</t>
  </si>
  <si>
    <t xml:space="preserve">Customer Type</t>
  </si>
  <si>
    <t xml:space="preserve">Female</t>
  </si>
  <si>
    <t xml:space="preserve">Male</t>
  </si>
  <si>
    <t xml:space="preserve">Member</t>
  </si>
  <si>
    <t xml:space="preserve">Normal</t>
  </si>
  <si>
    <t xml:space="preserve">6. Time of Day</t>
  </si>
  <si>
    <t xml:space="preserve">Time Slot</t>
  </si>
  <si>
    <t xml:space="preserve">Morning</t>
  </si>
  <si>
    <t xml:space="preserve">Afternoon</t>
  </si>
  <si>
    <t xml:space="preserve">Evening</t>
  </si>
  <si>
    <t xml:space="preserve">7. Sales by Hour of Day</t>
  </si>
  <si>
    <t xml:space="preserve">Hour</t>
  </si>
  <si>
    <t xml:space="preserve">Formulas Practice</t>
  </si>
  <si>
    <t xml:space="preserve">Yellow cells = type here. Everything else is a formula. Short note on the right of each part.</t>
  </si>
  <si>
    <t xml:space="preserve">A. Invoice Lookup: VLOOKUP vs INDEX-MATCH</t>
  </si>
  <si>
    <t xml:space="preserve">Enter Invoice ID:</t>
  </si>
  <si>
    <t xml:space="preserve">750-67-8428</t>
  </si>
  <si>
    <t xml:space="preserve">&lt;- type any Invoice ID from Clean_Data</t>
  </si>
  <si>
    <t xml:space="preserve">Field</t>
  </si>
  <si>
    <t xml:space="preserve">VLOOKUP</t>
  </si>
  <si>
    <t xml:space="preserve">INDEX-MATCH</t>
  </si>
  <si>
    <t xml:space="preserve">Same?</t>
  </si>
  <si>
    <t xml:space="preserve">VLOOKUP needs the ID in the first column and a column number (3, 6, 8...). INDEX-MATCH picks the column directly so it does not break if a column is added. IFERROR shows Not found instead of an error.</t>
  </si>
  <si>
    <t xml:space="preserve">Quantity</t>
  </si>
  <si>
    <t xml:space="preserve">Rating</t>
  </si>
  <si>
    <t xml:space="preserve">B. Left Lookup (INDEX-MATCH can look left, VLOOKUP cannot)</t>
  </si>
  <si>
    <t xml:space="preserve">Pick a city:</t>
  </si>
  <si>
    <t xml:space="preserve">Branch code is on the left of City in the Lists table. VLOOKUP cannot look left, INDEX-MATCH can.</t>
  </si>
  <si>
    <t xml:space="preserve">Branch code:</t>
  </si>
  <si>
    <t xml:space="preserve">C. Two-way Lookup (INDEX + MATCH + MATCH)</t>
  </si>
  <si>
    <t xml:space="preserve">City:</t>
  </si>
  <si>
    <t xml:space="preserve">First MATCH finds the row (city), second MATCH finds the column (product line), INDEX gives the value where they meet in the Pivot_Analysis table.</t>
  </si>
  <si>
    <t xml:space="preserve">Product line:</t>
  </si>
  <si>
    <t xml:space="preserve">Sales:</t>
  </si>
  <si>
    <t xml:space="preserve">D. Nested IF + AND/OR: Product Line Scorecard</t>
  </si>
  <si>
    <t xml:space="preserve">Avg of Lines</t>
  </si>
  <si>
    <t xml:space="preserve">Sales / Avg</t>
  </si>
  <si>
    <t xml:space="preserve">Performance</t>
  </si>
  <si>
    <t xml:space="preserve">Action</t>
  </si>
  <si>
    <t xml:space="preserve">Performance = nested IF, compares each line with the average of all 6 lines (+/-5%, set in Lists). Action = AND/OR with rating: Star = sales above average AND rating not below overall, Review = sales below average OR rating 0.2 lower than overall.</t>
  </si>
  <si>
    <t xml:space="preserve">E. Key points (written by formulas)</t>
  </si>
  <si>
    <t xml:space="preserve">Chart Data</t>
  </si>
  <si>
    <t xml:space="preserve">These small tables feed the Dashboard charts. Please do not type here.</t>
  </si>
  <si>
    <t xml:space="preserve">Branch / City criterion</t>
  </si>
  <si>
    <t xml:space="preserve">"*" means All. Product chart ignores product filter, weekly chart ignores month filter.</t>
  </si>
  <si>
    <t xml:space="preserve">Product line criterion</t>
  </si>
  <si>
    <t xml:space="preserve">Month criterion</t>
  </si>
  <si>
    <t xml:space="preserve">Sales by Product Line (City + Month filters)</t>
  </si>
  <si>
    <t xml:space="preserve">Weekly Trend (City + Product filters)</t>
  </si>
  <si>
    <t xml:space="preserve">Week starting</t>
  </si>
  <si>
    <t xml:space="preserve">Week No</t>
  </si>
  <si>
    <t xml:space="preserve">Sales by Payment (all filters)</t>
  </si>
  <si>
    <t xml:space="preserve">Sales by City (Product + Month filters)</t>
  </si>
  <si>
    <t xml:space="preserve">Sales by Hour (all filters)</t>
  </si>
  <si>
    <t xml:space="preserve">Hour no.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</si>
  <si>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</si>
  <si>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</si>
  <si>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</si>
  <si>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</si>
  <si>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</si>
  <si>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</si>
  <si>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</si>
  <si>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</si>
  <si>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</si>
  <si>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</si>
  <si>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</si>
  <si>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Invoice ID</t>
  </si>
  <si>
    <t xml:space="preserve">Branch</t>
  </si>
  <si>
    <t xml:space="preserve">Gender</t>
  </si>
  <si>
    <t xml:space="preserve">Unit Price</t>
  </si>
  <si>
    <t xml:space="preserve">Tax 5%</t>
  </si>
  <si>
    <t xml:space="preserve">Date</t>
  </si>
  <si>
    <t xml:space="preserve">Time</t>
  </si>
  <si>
    <t xml:space="preserve">COGS</t>
  </si>
  <si>
    <t xml:space="preserve">Order Size</t>
  </si>
  <si>
    <t xml:space="preserve">Rating Band</t>
  </si>
  <si>
    <t xml:space="preserve">Columns Q to V are formulas. Limits (Large order etc.) are on the Lists sheet.</t>
  </si>
  <si>
    <t xml:space="preserve">A</t>
  </si>
  <si>
    <t xml:space="preserve">226-31-3081</t>
  </si>
  <si>
    <t xml:space="preserve">C</t>
  </si>
  <si>
    <t xml:space="preserve">631-41-3108</t>
  </si>
  <si>
    <t xml:space="preserve">123-19-1176</t>
  </si>
  <si>
    <t xml:space="preserve">373-73-7910</t>
  </si>
  <si>
    <t xml:space="preserve">699-14-3026</t>
  </si>
  <si>
    <t xml:space="preserve">355-53-5943</t>
  </si>
  <si>
    <t xml:space="preserve">315-22-5665</t>
  </si>
  <si>
    <t xml:space="preserve">665-32-9167</t>
  </si>
  <si>
    <t xml:space="preserve">692-92-5582</t>
  </si>
  <si>
    <t xml:space="preserve">B</t>
  </si>
  <si>
    <t xml:space="preserve">351-62-0822</t>
  </si>
  <si>
    <t xml:space="preserve">529-56-3974</t>
  </si>
  <si>
    <t xml:space="preserve">365-64-0515</t>
  </si>
  <si>
    <t xml:space="preserve">252-56-2699</t>
  </si>
  <si>
    <t xml:space="preserve">829-34-3910</t>
  </si>
  <si>
    <t xml:space="preserve">299-46-1805</t>
  </si>
  <si>
    <t xml:space="preserve">656-95-9349</t>
  </si>
  <si>
    <t xml:space="preserve">765-26-6951</t>
  </si>
  <si>
    <t xml:space="preserve">329-62-1586</t>
  </si>
  <si>
    <t xml:space="preserve">319-50-3348</t>
  </si>
  <si>
    <t xml:space="preserve">300-71-4605</t>
  </si>
  <si>
    <t xml:space="preserve">371-85-5789</t>
  </si>
  <si>
    <t xml:space="preserve">273-16-6619</t>
  </si>
  <si>
    <t xml:space="preserve">636-48-8204</t>
  </si>
  <si>
    <t xml:space="preserve">549-59-1358</t>
  </si>
  <si>
    <t xml:space="preserve">227-03-5010</t>
  </si>
  <si>
    <t xml:space="preserve">649-29-6775</t>
  </si>
  <si>
    <t xml:space="preserve">189-17-4241</t>
  </si>
  <si>
    <t xml:space="preserve">145-94-9061</t>
  </si>
  <si>
    <t xml:space="preserve">848-62-7243</t>
  </si>
  <si>
    <t xml:space="preserve">871-79-8483</t>
  </si>
  <si>
    <t xml:space="preserve">149-71-6266</t>
  </si>
  <si>
    <t xml:space="preserve">640-49-2076</t>
  </si>
  <si>
    <t xml:space="preserve">595-11-5460</t>
  </si>
  <si>
    <t xml:space="preserve">183-56-6882</t>
  </si>
  <si>
    <t xml:space="preserve">232-16-2483</t>
  </si>
  <si>
    <t xml:space="preserve">129-29-8530</t>
  </si>
  <si>
    <t xml:space="preserve">272-65-1806</t>
  </si>
  <si>
    <t xml:space="preserve">333-73-7901</t>
  </si>
  <si>
    <t xml:space="preserve">777-82-7220</t>
  </si>
  <si>
    <t xml:space="preserve">280-35-5823</t>
  </si>
  <si>
    <t xml:space="preserve">554-53-8700</t>
  </si>
  <si>
    <t xml:space="preserve">354-25-5821</t>
  </si>
  <si>
    <t xml:space="preserve">228-96-1411</t>
  </si>
  <si>
    <t xml:space="preserve">617-15-4209</t>
  </si>
  <si>
    <t xml:space="preserve">132-32-9879</t>
  </si>
  <si>
    <t xml:space="preserve">370-41-7321</t>
  </si>
  <si>
    <t xml:space="preserve">727-46-3608</t>
  </si>
  <si>
    <t xml:space="preserve">669-54-1719</t>
  </si>
  <si>
    <t xml:space="preserve">574-22-5561</t>
  </si>
  <si>
    <t xml:space="preserve">326-78-5178</t>
  </si>
  <si>
    <t xml:space="preserve">162-48-8011</t>
  </si>
  <si>
    <t xml:space="preserve">616-24-2851</t>
  </si>
  <si>
    <t xml:space="preserve">778-71-5554</t>
  </si>
  <si>
    <t xml:space="preserve">242-55-6721</t>
  </si>
  <si>
    <t xml:space="preserve">399-46-5918</t>
  </si>
  <si>
    <t xml:space="preserve">106-35-6779</t>
  </si>
  <si>
    <t xml:space="preserve">635-40-6220</t>
  </si>
  <si>
    <t xml:space="preserve">817-48-8732</t>
  </si>
  <si>
    <t xml:space="preserve">120-06-4233</t>
  </si>
  <si>
    <t xml:space="preserve">285-68-5083</t>
  </si>
  <si>
    <t xml:space="preserve">803-83-5989</t>
  </si>
  <si>
    <t xml:space="preserve">347-34-2234</t>
  </si>
  <si>
    <t xml:space="preserve">199-75-8169</t>
  </si>
  <si>
    <t xml:space="preserve">853-23-2453</t>
  </si>
  <si>
    <t xml:space="preserve">877-22-3308</t>
  </si>
  <si>
    <t xml:space="preserve">838-78-4295</t>
  </si>
  <si>
    <t xml:space="preserve">109-28-2512</t>
  </si>
  <si>
    <t xml:space="preserve">232-11-3025</t>
  </si>
  <si>
    <t xml:space="preserve">382-03-4532</t>
  </si>
  <si>
    <t xml:space="preserve">393-65-2792</t>
  </si>
  <si>
    <t xml:space="preserve">796-12-2025</t>
  </si>
  <si>
    <t xml:space="preserve">510-95-6347</t>
  </si>
  <si>
    <t xml:space="preserve">841-35-6630</t>
  </si>
  <si>
    <t xml:space="preserve">287-21-9091</t>
  </si>
  <si>
    <t xml:space="preserve">732-94-0499</t>
  </si>
  <si>
    <t xml:space="preserve">263-10-3913</t>
  </si>
  <si>
    <t xml:space="preserve">381-20-0914</t>
  </si>
  <si>
    <t xml:space="preserve">829-49-1914</t>
  </si>
  <si>
    <t xml:space="preserve">756-01-7507</t>
  </si>
  <si>
    <t xml:space="preserve">870-72-4431</t>
  </si>
  <si>
    <t xml:space="preserve">847-38-7188</t>
  </si>
  <si>
    <t xml:space="preserve">480-63-2856</t>
  </si>
  <si>
    <t xml:space="preserve">787-56-0757</t>
  </si>
  <si>
    <t xml:space="preserve">360-39-5055</t>
  </si>
  <si>
    <t xml:space="preserve">730-50-9884</t>
  </si>
  <si>
    <t xml:space="preserve">362-58-8315</t>
  </si>
  <si>
    <t xml:space="preserve">633-44-8566</t>
  </si>
  <si>
    <t xml:space="preserve">504-35-8843</t>
  </si>
  <si>
    <t xml:space="preserve">318-68-5053</t>
  </si>
  <si>
    <t xml:space="preserve">565-80-5980</t>
  </si>
  <si>
    <t xml:space="preserve">225-32-0908</t>
  </si>
  <si>
    <t xml:space="preserve">873-51-0671</t>
  </si>
  <si>
    <t xml:space="preserve">152-08-9985</t>
  </si>
  <si>
    <t xml:space="preserve">512-91-0811</t>
  </si>
  <si>
    <t xml:space="preserve">594-34-4444</t>
  </si>
  <si>
    <t xml:space="preserve">766-85-7061</t>
  </si>
  <si>
    <t xml:space="preserve">871-39-9221</t>
  </si>
  <si>
    <t xml:space="preserve">865-92-6136</t>
  </si>
  <si>
    <t xml:space="preserve">733-01-9107</t>
  </si>
  <si>
    <t xml:space="preserve">163-56-7055</t>
  </si>
  <si>
    <t xml:space="preserve">189-98-2939</t>
  </si>
  <si>
    <t xml:space="preserve">551-21-3069</t>
  </si>
  <si>
    <t xml:space="preserve">212-62-1842</t>
  </si>
  <si>
    <t xml:space="preserve">716-39-1409</t>
  </si>
  <si>
    <t xml:space="preserve">704-48-3927</t>
  </si>
  <si>
    <t xml:space="preserve">628-34-3388</t>
  </si>
  <si>
    <t xml:space="preserve">630-74-5166</t>
  </si>
  <si>
    <t xml:space="preserve">588-01-7461</t>
  </si>
  <si>
    <t xml:space="preserve">861-77-0145</t>
  </si>
  <si>
    <t xml:space="preserve">479-26-8945</t>
  </si>
  <si>
    <t xml:space="preserve">210-67-5886</t>
  </si>
  <si>
    <t xml:space="preserve">227-78-1148</t>
  </si>
  <si>
    <t xml:space="preserve">645-44-1170</t>
  </si>
  <si>
    <t xml:space="preserve">237-01-6122</t>
  </si>
  <si>
    <t xml:space="preserve">225-98-1496</t>
  </si>
  <si>
    <t xml:space="preserve">291-32-1427</t>
  </si>
  <si>
    <t xml:space="preserve">659-65-8956</t>
  </si>
  <si>
    <t xml:space="preserve">642-32-2990</t>
  </si>
  <si>
    <t xml:space="preserve">378-24-2715</t>
  </si>
  <si>
    <t xml:space="preserve">638-60-7125</t>
  </si>
  <si>
    <t xml:space="preserve">659-36-1684</t>
  </si>
  <si>
    <t xml:space="preserve">219-22-9386</t>
  </si>
  <si>
    <t xml:space="preserve">336-78-2147</t>
  </si>
  <si>
    <t xml:space="preserve">268-27-6179</t>
  </si>
  <si>
    <t xml:space="preserve">668-90-8900</t>
  </si>
  <si>
    <t xml:space="preserve">870-54-3162</t>
  </si>
  <si>
    <t xml:space="preserve">189-08-9157</t>
  </si>
  <si>
    <t xml:space="preserve">663-86-9076</t>
  </si>
  <si>
    <t xml:space="preserve">549-84-7482</t>
  </si>
  <si>
    <t xml:space="preserve">191-10-6171</t>
  </si>
  <si>
    <t xml:space="preserve">802-70-5316</t>
  </si>
  <si>
    <t xml:space="preserve">695-51-0018</t>
  </si>
  <si>
    <t xml:space="preserve">590-83-4591</t>
  </si>
  <si>
    <t xml:space="preserve">483-71-1164</t>
  </si>
  <si>
    <t xml:space="preserve">597-78-7908</t>
  </si>
  <si>
    <t xml:space="preserve">700-81-1757</t>
  </si>
  <si>
    <t xml:space="preserve">354-39-5160</t>
  </si>
  <si>
    <t xml:space="preserve">241-72-9525</t>
  </si>
  <si>
    <t xml:space="preserve">575-30-8091</t>
  </si>
  <si>
    <t xml:space="preserve">731-81-9469</t>
  </si>
  <si>
    <t xml:space="preserve">280-17-4359</t>
  </si>
  <si>
    <t xml:space="preserve">338-65-2210</t>
  </si>
  <si>
    <t xml:space="preserve">488-25-4221</t>
  </si>
  <si>
    <t xml:space="preserve">239-10-7476</t>
  </si>
  <si>
    <t xml:space="preserve">458-41-1477</t>
  </si>
  <si>
    <t xml:space="preserve">685-64-1609</t>
  </si>
  <si>
    <t xml:space="preserve">568-90-5112</t>
  </si>
  <si>
    <t xml:space="preserve">262-47-2794</t>
  </si>
  <si>
    <t xml:space="preserve">238-49-0436</t>
  </si>
  <si>
    <t xml:space="preserve">608-96-3517</t>
  </si>
  <si>
    <t xml:space="preserve">584-86-7256</t>
  </si>
  <si>
    <t xml:space="preserve">746-94-0204</t>
  </si>
  <si>
    <t xml:space="preserve">214-17-6927</t>
  </si>
  <si>
    <t xml:space="preserve">400-89-4171</t>
  </si>
  <si>
    <t xml:space="preserve">782-95-9291</t>
  </si>
  <si>
    <t xml:space="preserve">279-74-2924</t>
  </si>
  <si>
    <t xml:space="preserve">307-85-2293</t>
  </si>
  <si>
    <t xml:space="preserve">743-04-1105</t>
  </si>
  <si>
    <t xml:space="preserve">423-57-2993</t>
  </si>
  <si>
    <t xml:space="preserve">894-41-5205</t>
  </si>
  <si>
    <t xml:space="preserve">275-28-0149</t>
  </si>
  <si>
    <t xml:space="preserve">101-17-6199</t>
  </si>
  <si>
    <t xml:space="preserve">423-80-0988</t>
  </si>
  <si>
    <t xml:space="preserve">548-46-9322</t>
  </si>
  <si>
    <t xml:space="preserve">505-02-0892</t>
  </si>
  <si>
    <t xml:space="preserve">234-65-2137</t>
  </si>
  <si>
    <t xml:space="preserve">687-47-8271</t>
  </si>
  <si>
    <t xml:space="preserve">796-32-9050</t>
  </si>
  <si>
    <t xml:space="preserve">105-31-1824</t>
  </si>
  <si>
    <t xml:space="preserve">249-42-3782</t>
  </si>
  <si>
    <t xml:space="preserve">316-55-4634</t>
  </si>
  <si>
    <t xml:space="preserve">733-33-4967</t>
  </si>
  <si>
    <t xml:space="preserve">608-27-6295</t>
  </si>
  <si>
    <t xml:space="preserve">414-12-7047</t>
  </si>
  <si>
    <t xml:space="preserve">827-26-2100</t>
  </si>
  <si>
    <t xml:space="preserve">175-54-2529</t>
  </si>
  <si>
    <t xml:space="preserve">139-52-2867</t>
  </si>
  <si>
    <t xml:space="preserve">407-63-8975</t>
  </si>
  <si>
    <t xml:space="preserve">342-65-4817</t>
  </si>
  <si>
    <t xml:space="preserve">130-98-8941</t>
  </si>
  <si>
    <t xml:space="preserve">434-83-9547</t>
  </si>
  <si>
    <t xml:space="preserve">851-28-6367</t>
  </si>
  <si>
    <t xml:space="preserve">824-88-3614</t>
  </si>
  <si>
    <t xml:space="preserve">586-25-0848</t>
  </si>
  <si>
    <t xml:space="preserve">895-66-0685</t>
  </si>
  <si>
    <t xml:space="preserve">305-14-0245</t>
  </si>
  <si>
    <t xml:space="preserve">732-04-5373</t>
  </si>
  <si>
    <t xml:space="preserve">400-60-7251</t>
  </si>
  <si>
    <t xml:space="preserve">593-65-1552</t>
  </si>
  <si>
    <t xml:space="preserve">284-34-9626</t>
  </si>
  <si>
    <t xml:space="preserve">437-58-8131</t>
  </si>
  <si>
    <t xml:space="preserve">286-43-6208</t>
  </si>
  <si>
    <t xml:space="preserve">641-43-2399</t>
  </si>
  <si>
    <t xml:space="preserve">831-07-6050</t>
  </si>
  <si>
    <t xml:space="preserve">556-86-3144</t>
  </si>
  <si>
    <t xml:space="preserve">848-24-9445</t>
  </si>
  <si>
    <t xml:space="preserve">856-22-8149</t>
  </si>
  <si>
    <t xml:space="preserve">699-01-4164</t>
  </si>
  <si>
    <t xml:space="preserve">420-11-4919</t>
  </si>
  <si>
    <t xml:space="preserve">606-80-4905</t>
  </si>
  <si>
    <t xml:space="preserve">542-41-0513</t>
  </si>
  <si>
    <t xml:space="preserve">426-39-2418</t>
  </si>
  <si>
    <t xml:space="preserve">875-46-5808</t>
  </si>
  <si>
    <t xml:space="preserve">394-43-4238</t>
  </si>
  <si>
    <t xml:space="preserve">749-24-1565</t>
  </si>
  <si>
    <t xml:space="preserve">672-51-8681</t>
  </si>
  <si>
    <t xml:space="preserve">263-87-5680</t>
  </si>
  <si>
    <t xml:space="preserve">573-58-9734</t>
  </si>
  <si>
    <t xml:space="preserve">817-69-8206</t>
  </si>
  <si>
    <t xml:space="preserve">888-02-0338</t>
  </si>
  <si>
    <t xml:space="preserve">677-11-0152</t>
  </si>
  <si>
    <t xml:space="preserve">142-63-6033</t>
  </si>
  <si>
    <t xml:space="preserve">656-16-1063</t>
  </si>
  <si>
    <t xml:space="preserve">891-58-8335</t>
  </si>
  <si>
    <t xml:space="preserve">802-43-8934</t>
  </si>
  <si>
    <t xml:space="preserve">560-30-5617</t>
  </si>
  <si>
    <t xml:space="preserve">319-74-2561</t>
  </si>
  <si>
    <t xml:space="preserve">549-03-9315</t>
  </si>
  <si>
    <t xml:space="preserve">790-29-1172</t>
  </si>
  <si>
    <t xml:space="preserve">239-36-3640</t>
  </si>
  <si>
    <t xml:space="preserve">468-01-2051</t>
  </si>
  <si>
    <t xml:space="preserve">389-25-3394</t>
  </si>
  <si>
    <t xml:space="preserve">279-62-1445</t>
  </si>
  <si>
    <t xml:space="preserve">213-72-6612</t>
  </si>
  <si>
    <t xml:space="preserve">746-68-6593</t>
  </si>
  <si>
    <t xml:space="preserve">836-82-5858</t>
  </si>
  <si>
    <t xml:space="preserve">583-72-1480</t>
  </si>
  <si>
    <t xml:space="preserve">466-61-5506</t>
  </si>
  <si>
    <t xml:space="preserve">721-86-6247</t>
  </si>
  <si>
    <t xml:space="preserve">289-65-5721</t>
  </si>
  <si>
    <t xml:space="preserve">545-46-3100</t>
  </si>
  <si>
    <t xml:space="preserve">418-02-5978</t>
  </si>
  <si>
    <t xml:space="preserve">269-04-5750</t>
  </si>
  <si>
    <t xml:space="preserve">157-13-5295</t>
  </si>
  <si>
    <t xml:space="preserve">645-78-8093</t>
  </si>
  <si>
    <t xml:space="preserve">211-30-9270</t>
  </si>
  <si>
    <t xml:space="preserve">755-12-3214</t>
  </si>
  <si>
    <t xml:space="preserve">346-84-3103</t>
  </si>
  <si>
    <t xml:space="preserve">478-06-7835</t>
  </si>
  <si>
    <t xml:space="preserve">540-11-4336</t>
  </si>
  <si>
    <t xml:space="preserve">448-81-5016</t>
  </si>
  <si>
    <t xml:space="preserve">142-72-4741</t>
  </si>
  <si>
    <t xml:space="preserve">217-58-1179</t>
  </si>
  <si>
    <t xml:space="preserve">376-02-8238</t>
  </si>
  <si>
    <t xml:space="preserve">530-90-9855</t>
  </si>
  <si>
    <t xml:space="preserve">866-05-7563</t>
  </si>
  <si>
    <t xml:space="preserve">604-70-6476</t>
  </si>
  <si>
    <t xml:space="preserve">799-71-1548</t>
  </si>
  <si>
    <t xml:space="preserve">785-13-7708</t>
  </si>
  <si>
    <t xml:space="preserve">845-51-0542</t>
  </si>
  <si>
    <t xml:space="preserve">662-47-5456</t>
  </si>
  <si>
    <t xml:space="preserve">883-17-4236</t>
  </si>
  <si>
    <t xml:space="preserve">290-68-2984</t>
  </si>
  <si>
    <t xml:space="preserve">704-11-6354</t>
  </si>
  <si>
    <t xml:space="preserve">110-48-7033</t>
  </si>
  <si>
    <t xml:space="preserve">366-93-0948</t>
  </si>
  <si>
    <t xml:space="preserve">729-09-9681</t>
  </si>
  <si>
    <t xml:space="preserve">151-16-1484</t>
  </si>
  <si>
    <t xml:space="preserve">380-94-4661</t>
  </si>
  <si>
    <t xml:space="preserve">850-41-9669</t>
  </si>
  <si>
    <t xml:space="preserve">821-07-3596</t>
  </si>
  <si>
    <t xml:space="preserve">655-85-5130</t>
  </si>
  <si>
    <t xml:space="preserve">447-15-7839</t>
  </si>
  <si>
    <t xml:space="preserve">154-74-7179</t>
  </si>
  <si>
    <t xml:space="preserve">253-12-6086</t>
  </si>
  <si>
    <t xml:space="preserve">808-65-0703</t>
  </si>
  <si>
    <t xml:space="preserve">571-94-0759</t>
  </si>
  <si>
    <t xml:space="preserve">144-51-6085</t>
  </si>
  <si>
    <t xml:space="preserve">731-14-2199</t>
  </si>
  <si>
    <t xml:space="preserve">783-09-1637</t>
  </si>
  <si>
    <t xml:space="preserve">687-15-1097</t>
  </si>
  <si>
    <t xml:space="preserve">126-54-1082</t>
  </si>
  <si>
    <t xml:space="preserve">633-91-1052</t>
  </si>
  <si>
    <t xml:space="preserve">477-24-6490</t>
  </si>
  <si>
    <t xml:space="preserve">566-19-5475</t>
  </si>
  <si>
    <t xml:space="preserve">526-86-8552</t>
  </si>
  <si>
    <t xml:space="preserve">376-56-3573</t>
  </si>
  <si>
    <t xml:space="preserve">537-72-0426</t>
  </si>
  <si>
    <t xml:space="preserve">828-61-5674</t>
  </si>
  <si>
    <t xml:space="preserve">136-08-6195</t>
  </si>
  <si>
    <t xml:space="preserve">523-38-0215</t>
  </si>
  <si>
    <t xml:space="preserve">490-29-1201</t>
  </si>
  <si>
    <t xml:space="preserve">667-92-0055</t>
  </si>
  <si>
    <t xml:space="preserve">565-17-3836</t>
  </si>
  <si>
    <t xml:space="preserve">498-41-1961</t>
  </si>
  <si>
    <t xml:space="preserve">593-95-4461</t>
  </si>
  <si>
    <t xml:space="preserve">226-71-3580</t>
  </si>
  <si>
    <t xml:space="preserve">283-79-9594</t>
  </si>
  <si>
    <t xml:space="preserve">430-60-3493</t>
  </si>
  <si>
    <t xml:space="preserve">139-20-0155</t>
  </si>
  <si>
    <t xml:space="preserve">558-80-4082</t>
  </si>
  <si>
    <t xml:space="preserve">278-97-7759</t>
  </si>
  <si>
    <t xml:space="preserve">316-68-6352</t>
  </si>
  <si>
    <t xml:space="preserve">585-03-5943</t>
  </si>
  <si>
    <t xml:space="preserve">211-05-0490</t>
  </si>
  <si>
    <t xml:space="preserve">727-75-6477</t>
  </si>
  <si>
    <t xml:space="preserve">744-02-5987</t>
  </si>
  <si>
    <t xml:space="preserve">307-83-9164</t>
  </si>
  <si>
    <t xml:space="preserve">779-06-0012</t>
  </si>
  <si>
    <t xml:space="preserve">446-47-6729</t>
  </si>
  <si>
    <t xml:space="preserve">573-10-3877</t>
  </si>
  <si>
    <t xml:space="preserve">735-06-4124</t>
  </si>
  <si>
    <t xml:space="preserve">439-54-7422</t>
  </si>
  <si>
    <t xml:space="preserve">396-90-2219</t>
  </si>
  <si>
    <t xml:space="preserve">411-77-0180</t>
  </si>
  <si>
    <t xml:space="preserve">286-01-5402</t>
  </si>
  <si>
    <t xml:space="preserve">803-17-8013</t>
  </si>
  <si>
    <t xml:space="preserve">512-98-1403</t>
  </si>
  <si>
    <t xml:space="preserve">848-42-2560</t>
  </si>
  <si>
    <t xml:space="preserve">532-59-7201</t>
  </si>
  <si>
    <t xml:space="preserve">181-94-6432</t>
  </si>
  <si>
    <t xml:space="preserve">870-76-1733</t>
  </si>
  <si>
    <t xml:space="preserve">423-64-4619</t>
  </si>
  <si>
    <t xml:space="preserve">227-07-4446</t>
  </si>
  <si>
    <t xml:space="preserve">174-36-3675</t>
  </si>
  <si>
    <t xml:space="preserve">428-83-5800</t>
  </si>
  <si>
    <t xml:space="preserve">603-07-0961</t>
  </si>
  <si>
    <t xml:space="preserve">704-20-4138</t>
  </si>
  <si>
    <t xml:space="preserve">787-15-1757</t>
  </si>
  <si>
    <t xml:space="preserve">649-11-3678</t>
  </si>
  <si>
    <t xml:space="preserve">622-20-1945</t>
  </si>
  <si>
    <t xml:space="preserve">372-94-8041</t>
  </si>
  <si>
    <t xml:space="preserve">563-91-7120</t>
  </si>
  <si>
    <t xml:space="preserve">746-54-5508</t>
  </si>
  <si>
    <t xml:space="preserve">276-54-0879</t>
  </si>
  <si>
    <t xml:space="preserve">815-11-1168</t>
  </si>
  <si>
    <t xml:space="preserve">719-76-3868</t>
  </si>
  <si>
    <t xml:space="preserve">730-61-8757</t>
  </si>
  <si>
    <t xml:space="preserve">340-66-0321</t>
  </si>
  <si>
    <t xml:space="preserve">868-81-1752</t>
  </si>
  <si>
    <t xml:space="preserve">634-97-8956</t>
  </si>
  <si>
    <t xml:space="preserve">566-71-1091</t>
  </si>
  <si>
    <t xml:space="preserve">442-48-3607</t>
  </si>
  <si>
    <t xml:space="preserve">835-16-0096</t>
  </si>
  <si>
    <t xml:space="preserve">527-09-6272</t>
  </si>
  <si>
    <t xml:space="preserve">898-04-2717</t>
  </si>
  <si>
    <t xml:space="preserve">692-27-8933</t>
  </si>
  <si>
    <t xml:space="preserve">633-09-3463</t>
  </si>
  <si>
    <t xml:space="preserve">374-17-3652</t>
  </si>
  <si>
    <t xml:space="preserve">378-07-7001</t>
  </si>
  <si>
    <t xml:space="preserve">433-75-6987</t>
  </si>
  <si>
    <t xml:space="preserve">873-95-4984</t>
  </si>
  <si>
    <t xml:space="preserve">416-13-5917</t>
  </si>
  <si>
    <t xml:space="preserve">150-89-8043</t>
  </si>
  <si>
    <t xml:space="preserve">135-84-8019</t>
  </si>
  <si>
    <t xml:space="preserve">441-94-7118</t>
  </si>
  <si>
    <t xml:space="preserve">725-96-3778</t>
  </si>
  <si>
    <t xml:space="preserve">531-80-1784</t>
  </si>
  <si>
    <t xml:space="preserve">400-45-1220</t>
  </si>
  <si>
    <t xml:space="preserve">860-79-0874</t>
  </si>
  <si>
    <t xml:space="preserve">834-61-8124</t>
  </si>
  <si>
    <t xml:space="preserve">115-99-4379</t>
  </si>
  <si>
    <t xml:space="preserve">565-67-6697</t>
  </si>
  <si>
    <t xml:space="preserve">320-49-6392</t>
  </si>
  <si>
    <t xml:space="preserve">889-04-9723</t>
  </si>
  <si>
    <t xml:space="preserve">632-90-0281</t>
  </si>
  <si>
    <t xml:space="preserve">554-42-2417</t>
  </si>
  <si>
    <t xml:space="preserve">453-63-6187</t>
  </si>
  <si>
    <t xml:space="preserve">578-80-7669</t>
  </si>
  <si>
    <t xml:space="preserve">612-36-5536</t>
  </si>
  <si>
    <t xml:space="preserve">605-72-4132</t>
  </si>
  <si>
    <t xml:space="preserve">471-41-2823</t>
  </si>
  <si>
    <t xml:space="preserve">462-67-9126</t>
  </si>
  <si>
    <t xml:space="preserve">272-27-9238</t>
  </si>
  <si>
    <t xml:space="preserve">834-25-9262</t>
  </si>
  <si>
    <t xml:space="preserve">122-61-9553</t>
  </si>
  <si>
    <t xml:space="preserve">468-88-0009</t>
  </si>
  <si>
    <t xml:space="preserve">613-59-9758</t>
  </si>
  <si>
    <t xml:space="preserve">254-31-0042</t>
  </si>
  <si>
    <t xml:space="preserve">201-86-2184</t>
  </si>
  <si>
    <t xml:space="preserve">261-12-8671</t>
  </si>
  <si>
    <t xml:space="preserve">730-70-9830</t>
  </si>
  <si>
    <t xml:space="preserve">382-25-8917</t>
  </si>
  <si>
    <t xml:space="preserve">422-29-8786</t>
  </si>
  <si>
    <t xml:space="preserve">667-23-5919</t>
  </si>
  <si>
    <t xml:space="preserve">843-01-4703</t>
  </si>
  <si>
    <t xml:space="preserve">743-88-1662</t>
  </si>
  <si>
    <t xml:space="preserve">595-86-2894</t>
  </si>
  <si>
    <t xml:space="preserve">182-69-8360</t>
  </si>
  <si>
    <t xml:space="preserve">289-15-7034</t>
  </si>
  <si>
    <t xml:space="preserve">462-78-5240</t>
  </si>
  <si>
    <t xml:space="preserve">868-52-7573</t>
  </si>
  <si>
    <t xml:space="preserve">153-58-4872</t>
  </si>
  <si>
    <t xml:space="preserve">662-72-2873</t>
  </si>
  <si>
    <t xml:space="preserve">525-88-7307</t>
  </si>
  <si>
    <t xml:space="preserve">689-16-9784</t>
  </si>
  <si>
    <t xml:space="preserve">725-56-0833</t>
  </si>
  <si>
    <t xml:space="preserve">394-41-0748</t>
  </si>
  <si>
    <t xml:space="preserve">596-42-3999</t>
  </si>
  <si>
    <t xml:space="preserve">541-89-9860</t>
  </si>
  <si>
    <t xml:space="preserve">173-82-9529</t>
  </si>
  <si>
    <t xml:space="preserve">563-36-9814</t>
  </si>
  <si>
    <t xml:space="preserve">308-47-4913</t>
  </si>
  <si>
    <t xml:space="preserve">885-17-6250</t>
  </si>
  <si>
    <t xml:space="preserve">726-27-2396</t>
  </si>
  <si>
    <t xml:space="preserve">316-01-3952</t>
  </si>
  <si>
    <t xml:space="preserve">760-54-1821</t>
  </si>
  <si>
    <t xml:space="preserve">793-10-3222</t>
  </si>
  <si>
    <t xml:space="preserve">346-12-3257</t>
  </si>
  <si>
    <t xml:space="preserve">110-05-6330</t>
  </si>
  <si>
    <t xml:space="preserve">651-61-0874</t>
  </si>
  <si>
    <t xml:space="preserve">236-86-3015</t>
  </si>
  <si>
    <t xml:space="preserve">831-64-0259</t>
  </si>
  <si>
    <t xml:space="preserve">587-03-7455</t>
  </si>
  <si>
    <t xml:space="preserve">882-40-4577</t>
  </si>
  <si>
    <t xml:space="preserve">732-67-5346</t>
  </si>
  <si>
    <t xml:space="preserve">725-32-9708</t>
  </si>
  <si>
    <t xml:space="preserve">256-08-8343</t>
  </si>
  <si>
    <t xml:space="preserve">372-26-1506</t>
  </si>
  <si>
    <t xml:space="preserve">244-08-0162</t>
  </si>
  <si>
    <t xml:space="preserve">569-71-4390</t>
  </si>
  <si>
    <t xml:space="preserve">132-23-6451</t>
  </si>
  <si>
    <t xml:space="preserve">696-90-2548</t>
  </si>
  <si>
    <t xml:space="preserve">472-15-9636</t>
  </si>
  <si>
    <t xml:space="preserve">268-03-6164</t>
  </si>
  <si>
    <t xml:space="preserve">750-57-9686</t>
  </si>
  <si>
    <t xml:space="preserve">186-09-3669</t>
  </si>
  <si>
    <t xml:space="preserve">848-07-1692</t>
  </si>
  <si>
    <t xml:space="preserve">745-71-3520</t>
  </si>
  <si>
    <t xml:space="preserve">266-76-6436</t>
  </si>
  <si>
    <t xml:space="preserve">740-22-2500</t>
  </si>
  <si>
    <t xml:space="preserve">271-88-8734</t>
  </si>
  <si>
    <t xml:space="preserve">301-81-8610</t>
  </si>
  <si>
    <t xml:space="preserve">489-64-4354</t>
  </si>
  <si>
    <t xml:space="preserve">198-84-7132</t>
  </si>
  <si>
    <t xml:space="preserve">269-10-8440</t>
  </si>
  <si>
    <t xml:space="preserve">650-98-6268</t>
  </si>
  <si>
    <t xml:space="preserve">741-73-3559</t>
  </si>
  <si>
    <t xml:space="preserve">325-77-6186</t>
  </si>
  <si>
    <t xml:space="preserve">286-75-7818</t>
  </si>
  <si>
    <t xml:space="preserve">574-57-9721</t>
  </si>
  <si>
    <t xml:space="preserve">459-50-7686</t>
  </si>
  <si>
    <t xml:space="preserve">616-87-0016</t>
  </si>
  <si>
    <t xml:space="preserve">837-55-7229</t>
  </si>
  <si>
    <t xml:space="preserve">751-69-0068</t>
  </si>
  <si>
    <t xml:space="preserve">257-73-1380</t>
  </si>
  <si>
    <t xml:space="preserve">345-08-4992</t>
  </si>
  <si>
    <t xml:space="preserve">549-96-4200</t>
  </si>
  <si>
    <t xml:space="preserve">810-60-6344</t>
  </si>
  <si>
    <t xml:space="preserve">450-28-2866</t>
  </si>
  <si>
    <t xml:space="preserve">394-30-3170</t>
  </si>
  <si>
    <t xml:space="preserve">138-17-5109</t>
  </si>
  <si>
    <t xml:space="preserve">192-98-7397</t>
  </si>
  <si>
    <t xml:space="preserve">301-11-9629</t>
  </si>
  <si>
    <t xml:space="preserve">390-80-5128</t>
  </si>
  <si>
    <t xml:space="preserve">235-46-8343</t>
  </si>
  <si>
    <t xml:space="preserve">453-12-7053</t>
  </si>
  <si>
    <t xml:space="preserve">296-11-7041</t>
  </si>
  <si>
    <t xml:space="preserve">449-27-2918</t>
  </si>
  <si>
    <t xml:space="preserve">891-01-7034</t>
  </si>
  <si>
    <t xml:space="preserve">744-09-5786</t>
  </si>
  <si>
    <t xml:space="preserve">727-17-0390</t>
  </si>
  <si>
    <t xml:space="preserve">568-88-3448</t>
  </si>
  <si>
    <t xml:space="preserve">187-83-5490</t>
  </si>
  <si>
    <t xml:space="preserve">767-54-1907</t>
  </si>
  <si>
    <t xml:space="preserve">710-46-4433</t>
  </si>
  <si>
    <t xml:space="preserve">533-33-5337</t>
  </si>
  <si>
    <t xml:space="preserve">325-90-8763</t>
  </si>
  <si>
    <t xml:space="preserve">729-46-7422</t>
  </si>
  <si>
    <t xml:space="preserve">639-76-1242</t>
  </si>
  <si>
    <t xml:space="preserve">234-03-4040</t>
  </si>
  <si>
    <t xml:space="preserve">326-71-2155</t>
  </si>
  <si>
    <t xml:space="preserve">320-32-8842</t>
  </si>
  <si>
    <t xml:space="preserve">470-32-9057</t>
  </si>
  <si>
    <t xml:space="preserve">878-30-2331</t>
  </si>
  <si>
    <t xml:space="preserve">440-59-5691</t>
  </si>
  <si>
    <t xml:space="preserve">554-53-3790</t>
  </si>
  <si>
    <t xml:space="preserve">746-19-0921</t>
  </si>
  <si>
    <t xml:space="preserve">233-34-0817</t>
  </si>
  <si>
    <t xml:space="preserve">767-05-1286</t>
  </si>
  <si>
    <t xml:space="preserve">340-21-9136</t>
  </si>
  <si>
    <t xml:space="preserve">405-31-3305</t>
  </si>
  <si>
    <t xml:space="preserve">731-59-7531</t>
  </si>
  <si>
    <t xml:space="preserve">676-39-6028</t>
  </si>
  <si>
    <t xml:space="preserve">502-05-1910</t>
  </si>
  <si>
    <t xml:space="preserve">485-30-8700</t>
  </si>
  <si>
    <t xml:space="preserve">598-47-9715</t>
  </si>
  <si>
    <t xml:space="preserve">701-69-8742</t>
  </si>
  <si>
    <t xml:space="preserve">575-67-1508</t>
  </si>
  <si>
    <t xml:space="preserve">541-08-3113</t>
  </si>
  <si>
    <t xml:space="preserve">246-11-3901</t>
  </si>
  <si>
    <t xml:space="preserve">674-15-9296</t>
  </si>
  <si>
    <t xml:space="preserve">305-18-3552</t>
  </si>
  <si>
    <t xml:space="preserve">493-65-6248</t>
  </si>
  <si>
    <t xml:space="preserve">438-01-4015</t>
  </si>
  <si>
    <t xml:space="preserve">709-58-4068</t>
  </si>
  <si>
    <t xml:space="preserve">795-49-7276</t>
  </si>
  <si>
    <t xml:space="preserve">556-72-8512</t>
  </si>
  <si>
    <t xml:space="preserve">627-95-3243</t>
  </si>
  <si>
    <t xml:space="preserve">686-41-0932</t>
  </si>
  <si>
    <t xml:space="preserve">510-09-5628</t>
  </si>
  <si>
    <t xml:space="preserve">608-04-3797</t>
  </si>
  <si>
    <t xml:space="preserve">148-82-2527</t>
  </si>
  <si>
    <t xml:space="preserve">437-53-3084</t>
  </si>
  <si>
    <t xml:space="preserve">632-32-4574</t>
  </si>
  <si>
    <t xml:space="preserve">556-97-7101</t>
  </si>
  <si>
    <t xml:space="preserve">862-59-8517</t>
  </si>
  <si>
    <t xml:space="preserve">401-18-8016</t>
  </si>
  <si>
    <t xml:space="preserve">420-18-8989</t>
  </si>
  <si>
    <t xml:space="preserve">277-63-2961</t>
  </si>
  <si>
    <t xml:space="preserve">573-98-8548</t>
  </si>
  <si>
    <t xml:space="preserve">620-02-2046</t>
  </si>
  <si>
    <t xml:space="preserve">282-35-2475</t>
  </si>
  <si>
    <t xml:space="preserve">511-54-3087</t>
  </si>
  <si>
    <t xml:space="preserve">726-29-6793</t>
  </si>
  <si>
    <t xml:space="preserve">387-49-4215</t>
  </si>
  <si>
    <t xml:space="preserve">862-17-9201</t>
  </si>
  <si>
    <t xml:space="preserve">291-21-5991</t>
  </si>
  <si>
    <t xml:space="preserve">602-80-9671</t>
  </si>
  <si>
    <t xml:space="preserve">347-72-6115</t>
  </si>
  <si>
    <t xml:space="preserve">209-61-0206</t>
  </si>
  <si>
    <t xml:space="preserve">595-27-4851</t>
  </si>
  <si>
    <t xml:space="preserve">189-52-0236</t>
  </si>
  <si>
    <t xml:space="preserve">503-07-0930</t>
  </si>
  <si>
    <t xml:space="preserve">413-20-6708</t>
  </si>
  <si>
    <t xml:space="preserve">425-85-2085</t>
  </si>
  <si>
    <t xml:space="preserve">521-18-7827</t>
  </si>
  <si>
    <t xml:space="preserve">220-28-1851</t>
  </si>
  <si>
    <t xml:space="preserve">600-38-9738</t>
  </si>
  <si>
    <t xml:space="preserve">734-91-1155</t>
  </si>
  <si>
    <t xml:space="preserve">451-28-5717</t>
  </si>
  <si>
    <t xml:space="preserve">609-81-8548</t>
  </si>
  <si>
    <t xml:space="preserve">133-14-7229</t>
  </si>
  <si>
    <t xml:space="preserve">534-01-4457</t>
  </si>
  <si>
    <t xml:space="preserve">719-89-8991</t>
  </si>
  <si>
    <t xml:space="preserve">286-62-6248</t>
  </si>
  <si>
    <t xml:space="preserve">339-38-9982</t>
  </si>
  <si>
    <t xml:space="preserve">827-44-5872</t>
  </si>
  <si>
    <t xml:space="preserve">827-77-7633</t>
  </si>
  <si>
    <t xml:space="preserve">287-83-1405</t>
  </si>
  <si>
    <t xml:space="preserve">435-13-4908</t>
  </si>
  <si>
    <t xml:space="preserve">857-67-9057</t>
  </si>
  <si>
    <t xml:space="preserve">236-27-1144</t>
  </si>
  <si>
    <t xml:space="preserve">892-05-6689</t>
  </si>
  <si>
    <t xml:space="preserve">583-41-4548</t>
  </si>
  <si>
    <t xml:space="preserve">339-12-4827</t>
  </si>
  <si>
    <t xml:space="preserve">643-38-7867</t>
  </si>
  <si>
    <t xml:space="preserve">308-81-0538</t>
  </si>
  <si>
    <t xml:space="preserve">358-88-9262</t>
  </si>
  <si>
    <t xml:space="preserve">460-35-4390</t>
  </si>
  <si>
    <t xml:space="preserve">343-87-0864</t>
  </si>
  <si>
    <t xml:space="preserve">173-50-1108</t>
  </si>
  <si>
    <t xml:space="preserve">243-47-2663</t>
  </si>
  <si>
    <t xml:space="preserve">841-18-8232</t>
  </si>
  <si>
    <t xml:space="preserve">701-23-5550</t>
  </si>
  <si>
    <t xml:space="preserve">647-50-1224</t>
  </si>
  <si>
    <t xml:space="preserve">541-48-8554</t>
  </si>
  <si>
    <t xml:space="preserve">539-21-7227</t>
  </si>
  <si>
    <t xml:space="preserve">213-32-1216</t>
  </si>
  <si>
    <t xml:space="preserve">747-58-7183</t>
  </si>
  <si>
    <t xml:space="preserve">582-52-8065</t>
  </si>
  <si>
    <t xml:space="preserve">210-57-1719</t>
  </si>
  <si>
    <t xml:space="preserve">399-69-4630</t>
  </si>
  <si>
    <t xml:space="preserve">134-75-2619</t>
  </si>
  <si>
    <t xml:space="preserve">356-44-8813</t>
  </si>
  <si>
    <t xml:space="preserve">198-66-9832</t>
  </si>
  <si>
    <t xml:space="preserve">283-26-5248</t>
  </si>
  <si>
    <t xml:space="preserve">712-39-0363</t>
  </si>
  <si>
    <t xml:space="preserve">218-59-9410</t>
  </si>
  <si>
    <t xml:space="preserve">174-75-0888</t>
  </si>
  <si>
    <t xml:space="preserve">866-99-7614</t>
  </si>
  <si>
    <t xml:space="preserve">134-54-4720</t>
  </si>
  <si>
    <t xml:space="preserve">760-90-2357</t>
  </si>
  <si>
    <t xml:space="preserve">514-37-2845</t>
  </si>
  <si>
    <t xml:space="preserve">698-98-5964</t>
  </si>
  <si>
    <t xml:space="preserve">718-57-9773</t>
  </si>
  <si>
    <t xml:space="preserve">651-88-7328</t>
  </si>
  <si>
    <t xml:space="preserve">241-11-2261</t>
  </si>
  <si>
    <t xml:space="preserve">408-26-9866</t>
  </si>
  <si>
    <t xml:space="preserve">834-83-1826</t>
  </si>
  <si>
    <t xml:space="preserve">343-61-3544</t>
  </si>
  <si>
    <t xml:space="preserve">239-48-4278</t>
  </si>
  <si>
    <t xml:space="preserve">355-34-6244</t>
  </si>
  <si>
    <t xml:space="preserve">550-84-8664</t>
  </si>
  <si>
    <t xml:space="preserve">339-96-8318</t>
  </si>
  <si>
    <t xml:space="preserve">458-61-0011</t>
  </si>
  <si>
    <t xml:space="preserve">592-34-6155</t>
  </si>
  <si>
    <t xml:space="preserve">797-88-0493</t>
  </si>
  <si>
    <t xml:space="preserve">207-73-1363</t>
  </si>
  <si>
    <t xml:space="preserve">390-31-6381</t>
  </si>
  <si>
    <t xml:space="preserve">443-82-0585</t>
  </si>
  <si>
    <t xml:space="preserve">339-18-7061</t>
  </si>
  <si>
    <t xml:space="preserve">359-90-3665</t>
  </si>
  <si>
    <t xml:space="preserve">375-72-3056</t>
  </si>
  <si>
    <t xml:space="preserve">127-47-6963</t>
  </si>
  <si>
    <t xml:space="preserve">278-86-2735</t>
  </si>
  <si>
    <t xml:space="preserve">695-28-6250</t>
  </si>
  <si>
    <t xml:space="preserve">379-17-6588</t>
  </si>
  <si>
    <t xml:space="preserve">227-50-3718</t>
  </si>
  <si>
    <t xml:space="preserve">302-15-2162</t>
  </si>
  <si>
    <t xml:space="preserve">788-07-8452</t>
  </si>
  <si>
    <t xml:space="preserve">560-49-6611</t>
  </si>
  <si>
    <t xml:space="preserve">880-35-0356</t>
  </si>
  <si>
    <t xml:space="preserve">585-11-6748</t>
  </si>
  <si>
    <t xml:space="preserve">470-31-3286</t>
  </si>
  <si>
    <t xml:space="preserve">152-68-2907</t>
  </si>
  <si>
    <t xml:space="preserve">123-35-4896</t>
  </si>
  <si>
    <t xml:space="preserve">258-69-7810</t>
  </si>
  <si>
    <t xml:space="preserve">334-64-2006</t>
  </si>
  <si>
    <t xml:space="preserve">219-61-4139</t>
  </si>
  <si>
    <t xml:space="preserve">881-41-7302</t>
  </si>
  <si>
    <t xml:space="preserve">373-09-4567</t>
  </si>
  <si>
    <t xml:space="preserve">642-30-6693</t>
  </si>
  <si>
    <t xml:space="preserve">484-22-8230</t>
  </si>
  <si>
    <t xml:space="preserve">830-58-2383</t>
  </si>
  <si>
    <t xml:space="preserve">559-98-9873</t>
  </si>
  <si>
    <t xml:space="preserve">544-32-5024</t>
  </si>
  <si>
    <t xml:space="preserve">318-12-0304</t>
  </si>
  <si>
    <t xml:space="preserve">349-97-8902</t>
  </si>
  <si>
    <t xml:space="preserve">421-95-9805</t>
  </si>
  <si>
    <t xml:space="preserve">277-35-5865</t>
  </si>
  <si>
    <t xml:space="preserve">789-23-8625</t>
  </si>
  <si>
    <t xml:space="preserve">284-54-4231</t>
  </si>
  <si>
    <t xml:space="preserve">443-59-0061</t>
  </si>
  <si>
    <t xml:space="preserve">509-29-3912</t>
  </si>
  <si>
    <t xml:space="preserve">327-40-9673</t>
  </si>
  <si>
    <t xml:space="preserve">840-19-2096</t>
  </si>
  <si>
    <t xml:space="preserve">828-46-6863</t>
  </si>
  <si>
    <t xml:space="preserve">641-96-3695</t>
  </si>
  <si>
    <t xml:space="preserve">420-97-3340</t>
  </si>
  <si>
    <t xml:space="preserve">436-54-4512</t>
  </si>
  <si>
    <t xml:space="preserve">670-79-6321</t>
  </si>
  <si>
    <t xml:space="preserve">852-62-7105</t>
  </si>
  <si>
    <t xml:space="preserve">598-06-7312</t>
  </si>
  <si>
    <t xml:space="preserve">135-13-8269</t>
  </si>
  <si>
    <t xml:space="preserve">816-57-2053</t>
  </si>
  <si>
    <t xml:space="preserve">628-90-8624</t>
  </si>
  <si>
    <t xml:space="preserve">856-66-2701</t>
  </si>
  <si>
    <t xml:space="preserve">308-39-1707</t>
  </si>
  <si>
    <t xml:space="preserve">149-61-1929</t>
  </si>
  <si>
    <t xml:space="preserve">655-07-2265</t>
  </si>
  <si>
    <t xml:space="preserve">589-02-8023</t>
  </si>
  <si>
    <t xml:space="preserve">420-04-7590</t>
  </si>
  <si>
    <t xml:space="preserve">182-88-2763</t>
  </si>
  <si>
    <t xml:space="preserve">188-55-0967</t>
  </si>
  <si>
    <t xml:space="preserve">610-46-4100</t>
  </si>
  <si>
    <t xml:space="preserve">318-81-2368</t>
  </si>
  <si>
    <t xml:space="preserve">364-33-8584</t>
  </si>
  <si>
    <t xml:space="preserve">665-63-9737</t>
  </si>
  <si>
    <t xml:space="preserve">695-09-5146</t>
  </si>
  <si>
    <t xml:space="preserve">155-45-3814</t>
  </si>
  <si>
    <t xml:space="preserve">794-32-2436</t>
  </si>
  <si>
    <t xml:space="preserve">131-15-8856</t>
  </si>
  <si>
    <t xml:space="preserve">273-84-2164</t>
  </si>
  <si>
    <t xml:space="preserve">706-36-6154</t>
  </si>
  <si>
    <t xml:space="preserve">778-89-7974</t>
  </si>
  <si>
    <t xml:space="preserve">574-31-8277</t>
  </si>
  <si>
    <t xml:space="preserve">859-71-0933</t>
  </si>
  <si>
    <t xml:space="preserve">740-11-5257</t>
  </si>
  <si>
    <t xml:space="preserve">369-82-2676</t>
  </si>
  <si>
    <t xml:space="preserve">563-47-4072</t>
  </si>
  <si>
    <t xml:space="preserve">742-04-5161</t>
  </si>
  <si>
    <t xml:space="preserve">149-15-7606</t>
  </si>
  <si>
    <t xml:space="preserve">133-77-3154</t>
  </si>
  <si>
    <t xml:space="preserve">169-52-4504</t>
  </si>
  <si>
    <t xml:space="preserve">250-81-7186</t>
  </si>
  <si>
    <t xml:space="preserve">562-12-5430</t>
  </si>
  <si>
    <t xml:space="preserve">816-72-8853</t>
  </si>
  <si>
    <t xml:space="preserve">491-38-3499</t>
  </si>
  <si>
    <t xml:space="preserve">322-02-2271</t>
  </si>
  <si>
    <t xml:space="preserve">842-29-4695</t>
  </si>
  <si>
    <t xml:space="preserve">725-67-2480</t>
  </si>
  <si>
    <t xml:space="preserve">641-51-2661</t>
  </si>
  <si>
    <t xml:space="preserve">714-02-3114</t>
  </si>
  <si>
    <t xml:space="preserve">518-17-2983</t>
  </si>
  <si>
    <t xml:space="preserve">779-42-2410</t>
  </si>
  <si>
    <t xml:space="preserve">190-14-3147</t>
  </si>
  <si>
    <t xml:space="preserve">408-66-6712</t>
  </si>
  <si>
    <t xml:space="preserve">679-22-6530</t>
  </si>
  <si>
    <t xml:space="preserve">588-47-8641</t>
  </si>
  <si>
    <t xml:space="preserve">642-61-4706</t>
  </si>
  <si>
    <t xml:space="preserve">576-31-4774</t>
  </si>
  <si>
    <t xml:space="preserve">556-41-6224</t>
  </si>
  <si>
    <t xml:space="preserve">811-03-8790</t>
  </si>
  <si>
    <t xml:space="preserve">242-11-3142</t>
  </si>
  <si>
    <t xml:space="preserve">752-23-3760</t>
  </si>
  <si>
    <t xml:space="preserve">274-05-5470</t>
  </si>
  <si>
    <t xml:space="preserve">648-94-3045</t>
  </si>
  <si>
    <t xml:space="preserve">130-67-4723</t>
  </si>
  <si>
    <t xml:space="preserve">528-87-5606</t>
  </si>
  <si>
    <t xml:space="preserve">320-85-2052</t>
  </si>
  <si>
    <t xml:space="preserve">370-96-0655</t>
  </si>
  <si>
    <t xml:space="preserve">105-10-6182</t>
  </si>
  <si>
    <t xml:space="preserve">510-79-0415</t>
  </si>
  <si>
    <t xml:space="preserve">241-96-5076</t>
  </si>
  <si>
    <t xml:space="preserve">767-97-4650</t>
  </si>
  <si>
    <t xml:space="preserve">648-83-1321</t>
  </si>
  <si>
    <t xml:space="preserve">173-57-2300</t>
  </si>
  <si>
    <t xml:space="preserve">305-03-2383</t>
  </si>
  <si>
    <t xml:space="preserve">394-55-6384</t>
  </si>
  <si>
    <t xml:space="preserve">266-20-6657</t>
  </si>
  <si>
    <t xml:space="preserve">689-05-1884</t>
  </si>
  <si>
    <t xml:space="preserve">196-01-2849</t>
  </si>
  <si>
    <t xml:space="preserve">372-62-5264</t>
  </si>
  <si>
    <t xml:space="preserve">800-09-8606</t>
  </si>
  <si>
    <t xml:space="preserve">182-52-7000</t>
  </si>
  <si>
    <t xml:space="preserve">826-58-8051</t>
  </si>
  <si>
    <t xml:space="preserve">868-06-0466</t>
  </si>
  <si>
    <t xml:space="preserve">751-41-9720</t>
  </si>
  <si>
    <t xml:space="preserve">626-43-7888</t>
  </si>
  <si>
    <t xml:space="preserve">176-64-7711</t>
  </si>
  <si>
    <t xml:space="preserve">191-29-0321</t>
  </si>
  <si>
    <t xml:space="preserve">729-06-2010</t>
  </si>
  <si>
    <t xml:space="preserve">640-48-5028</t>
  </si>
  <si>
    <t xml:space="preserve">186-79-9562</t>
  </si>
  <si>
    <t xml:space="preserve">834-45-5519</t>
  </si>
  <si>
    <t xml:space="preserve">162-65-8559</t>
  </si>
  <si>
    <t xml:space="preserve">760-27-5490</t>
  </si>
  <si>
    <t xml:space="preserve">445-30-9252</t>
  </si>
  <si>
    <t xml:space="preserve">786-94-2700</t>
  </si>
  <si>
    <t xml:space="preserve">728-88-7867</t>
  </si>
  <si>
    <t xml:space="preserve">183-21-3799</t>
  </si>
  <si>
    <t xml:space="preserve">268-20-3585</t>
  </si>
  <si>
    <t xml:space="preserve">735-32-9839</t>
  </si>
  <si>
    <t xml:space="preserve">258-92-7466</t>
  </si>
  <si>
    <t xml:space="preserve">857-16-3520</t>
  </si>
  <si>
    <t xml:space="preserve">482-17-1179</t>
  </si>
  <si>
    <t xml:space="preserve">788-21-5741</t>
  </si>
  <si>
    <t xml:space="preserve">821-14-9046</t>
  </si>
  <si>
    <t xml:space="preserve">418-05-0656</t>
  </si>
  <si>
    <t xml:space="preserve">678-79-0726</t>
  </si>
  <si>
    <t xml:space="preserve">776-68-1096</t>
  </si>
  <si>
    <t xml:space="preserve">592-46-1692</t>
  </si>
  <si>
    <t xml:space="preserve">434-35-9162</t>
  </si>
  <si>
    <t xml:space="preserve">149-14-0304</t>
  </si>
  <si>
    <t xml:space="preserve">442-44-6497</t>
  </si>
  <si>
    <t xml:space="preserve">174-64-0215</t>
  </si>
  <si>
    <t xml:space="preserve">210-74-9613</t>
  </si>
  <si>
    <t xml:space="preserve">299-29-0180</t>
  </si>
  <si>
    <t xml:space="preserve">247-11-2470</t>
  </si>
  <si>
    <t xml:space="preserve">635-28-5728</t>
  </si>
  <si>
    <t xml:space="preserve">756-49-0168</t>
  </si>
  <si>
    <t xml:space="preserve">438-23-1242</t>
  </si>
  <si>
    <t xml:space="preserve">238-45-6950</t>
  </si>
  <si>
    <t xml:space="preserve">607-65-2441</t>
  </si>
  <si>
    <t xml:space="preserve">386-27-7606</t>
  </si>
  <si>
    <t xml:space="preserve">137-63-5492</t>
  </si>
  <si>
    <t xml:space="preserve">197-77-7132</t>
  </si>
  <si>
    <t xml:space="preserve">805-86-0265</t>
  </si>
  <si>
    <t xml:space="preserve">733-29-1227</t>
  </si>
  <si>
    <t xml:space="preserve">451-73-2711</t>
  </si>
  <si>
    <t xml:space="preserve">373-14-0504</t>
  </si>
  <si>
    <t xml:space="preserve">546-80-2899</t>
  </si>
  <si>
    <t xml:space="preserve">345-68-9016</t>
  </si>
  <si>
    <t xml:space="preserve">390-17-5806</t>
  </si>
  <si>
    <t xml:space="preserve">457-13-1708</t>
  </si>
  <si>
    <t xml:space="preserve">664-14-2882</t>
  </si>
  <si>
    <t xml:space="preserve">487-79-6868</t>
  </si>
  <si>
    <t xml:space="preserve">314-23-4520</t>
  </si>
  <si>
    <t xml:space="preserve">210-30-7976</t>
  </si>
  <si>
    <t xml:space="preserve">585-86-8361</t>
  </si>
  <si>
    <t xml:space="preserve">807-14-7833</t>
  </si>
  <si>
    <t xml:space="preserve">775-72-1988</t>
  </si>
  <si>
    <t xml:space="preserve">288-38-3758</t>
  </si>
  <si>
    <t xml:space="preserve">652-43-6591</t>
  </si>
  <si>
    <t xml:space="preserve">785-96-0615</t>
  </si>
  <si>
    <t xml:space="preserve">406-46-7107</t>
  </si>
  <si>
    <t xml:space="preserve">250-17-5703</t>
  </si>
  <si>
    <t xml:space="preserve">156-95-3964</t>
  </si>
  <si>
    <t xml:space="preserve">842-40-8179</t>
  </si>
  <si>
    <t xml:space="preserve">525-09-8450</t>
  </si>
  <si>
    <t xml:space="preserve">410-67-1709</t>
  </si>
  <si>
    <t xml:space="preserve">587-73-4862</t>
  </si>
  <si>
    <t xml:space="preserve">787-87-2010</t>
  </si>
  <si>
    <t xml:space="preserve">593-14-4239</t>
  </si>
  <si>
    <t xml:space="preserve">801-88-0346</t>
  </si>
  <si>
    <t xml:space="preserve">388-76-2555</t>
  </si>
  <si>
    <t xml:space="preserve">711-31-1234</t>
  </si>
  <si>
    <t xml:space="preserve">886-54-6089</t>
  </si>
  <si>
    <t xml:space="preserve">707-32-7409</t>
  </si>
  <si>
    <t xml:space="preserve">759-98-4285</t>
  </si>
  <si>
    <t xml:space="preserve">201-63-8275</t>
  </si>
  <si>
    <t xml:space="preserve">471-06-8611</t>
  </si>
  <si>
    <t xml:space="preserve">200-16-5952</t>
  </si>
  <si>
    <t xml:space="preserve">120-54-2248</t>
  </si>
  <si>
    <t xml:space="preserve">102-77-2261</t>
  </si>
  <si>
    <t xml:space="preserve">875-31-8302</t>
  </si>
  <si>
    <t xml:space="preserve">102-06-2002</t>
  </si>
  <si>
    <t xml:space="preserve">457-94-0464</t>
  </si>
  <si>
    <t xml:space="preserve">629-42-4133</t>
  </si>
  <si>
    <t xml:space="preserve">534-53-3526</t>
  </si>
  <si>
    <t xml:space="preserve">307-04-2070</t>
  </si>
  <si>
    <t xml:space="preserve">468-99-7231</t>
  </si>
  <si>
    <t xml:space="preserve">516-77-6464</t>
  </si>
  <si>
    <t xml:space="preserve">404-91-5964</t>
  </si>
  <si>
    <t xml:space="preserve">886-77-9084</t>
  </si>
  <si>
    <t xml:space="preserve">790-38-4466</t>
  </si>
  <si>
    <t xml:space="preserve">704-10-4056</t>
  </si>
  <si>
    <t xml:space="preserve">497-37-6538</t>
  </si>
  <si>
    <t xml:space="preserve">651-96-5970</t>
  </si>
  <si>
    <t xml:space="preserve">400-80-4065</t>
  </si>
  <si>
    <t xml:space="preserve">744-16-7898</t>
  </si>
  <si>
    <t xml:space="preserve">263-12-5321</t>
  </si>
  <si>
    <t xml:space="preserve">702-72-0487</t>
  </si>
  <si>
    <t xml:space="preserve">605-83-1050</t>
  </si>
  <si>
    <t xml:space="preserve">443-60-9639</t>
  </si>
  <si>
    <t xml:space="preserve">864-24-7918</t>
  </si>
  <si>
    <t xml:space="preserve">359-94-5395</t>
  </si>
  <si>
    <t xml:space="preserve">401-09-4232</t>
  </si>
  <si>
    <t xml:space="preserve">751-15-6198</t>
  </si>
  <si>
    <t xml:space="preserve">324-41-6833</t>
  </si>
  <si>
    <t xml:space="preserve">474-33-8305</t>
  </si>
  <si>
    <t xml:space="preserve">759-29-9521</t>
  </si>
  <si>
    <t xml:space="preserve">831-81-6575</t>
  </si>
  <si>
    <t xml:space="preserve">220-68-6701</t>
  </si>
  <si>
    <t xml:space="preserve">618-34-8551</t>
  </si>
  <si>
    <t xml:space="preserve">257-60-7754</t>
  </si>
  <si>
    <t xml:space="preserve">559-61-5987</t>
  </si>
  <si>
    <t xml:space="preserve">189-55-2313</t>
  </si>
  <si>
    <t xml:space="preserve">565-91-4567</t>
  </si>
  <si>
    <t xml:space="preserve">380-60-5336</t>
  </si>
  <si>
    <t xml:space="preserve">815-04-6282</t>
  </si>
  <si>
    <t xml:space="preserve">674-56-6360</t>
  </si>
  <si>
    <t xml:space="preserve">778-34-2523</t>
  </si>
  <si>
    <t xml:space="preserve">499-27-7781</t>
  </si>
  <si>
    <t xml:space="preserve">477-59-2456</t>
  </si>
  <si>
    <t xml:space="preserve">832-51-6761</t>
  </si>
  <si>
    <t xml:space="preserve">869-11-3082</t>
  </si>
  <si>
    <t xml:space="preserve">190-59-3964</t>
  </si>
  <si>
    <t xml:space="preserve">366-43-6862</t>
  </si>
  <si>
    <t xml:space="preserve">186-43-8965</t>
  </si>
  <si>
    <t xml:space="preserve">784-21-9238</t>
  </si>
  <si>
    <t xml:space="preserve">276-75-6884</t>
  </si>
  <si>
    <t xml:space="preserve">109-86-4363</t>
  </si>
  <si>
    <t xml:space="preserve">569-76-2760</t>
  </si>
  <si>
    <t xml:space="preserve">222-42-0244</t>
  </si>
  <si>
    <t xml:space="preserve">760-53-9233</t>
  </si>
  <si>
    <t xml:space="preserve">538-22-0304</t>
  </si>
  <si>
    <t xml:space="preserve">416-17-9926</t>
  </si>
  <si>
    <t xml:space="preserve">237-44-6163</t>
  </si>
  <si>
    <t xml:space="preserve">636-17-0325</t>
  </si>
  <si>
    <t xml:space="preserve">343-75-9322</t>
  </si>
  <si>
    <t xml:space="preserve">528-14-9470</t>
  </si>
  <si>
    <t xml:space="preserve">427-45-9297</t>
  </si>
  <si>
    <t xml:space="preserve">807-34-3742</t>
  </si>
  <si>
    <t xml:space="preserve">288-62-1085</t>
  </si>
  <si>
    <t xml:space="preserve">670-71-7306</t>
  </si>
  <si>
    <t xml:space="preserve">660-29-7083</t>
  </si>
  <si>
    <t xml:space="preserve">271-77-8740</t>
  </si>
  <si>
    <t xml:space="preserve">497-36-0989</t>
  </si>
  <si>
    <t xml:space="preserve">291-59-1384</t>
  </si>
  <si>
    <t xml:space="preserve">860-73-6466</t>
  </si>
  <si>
    <t xml:space="preserve">549-23-9016</t>
  </si>
  <si>
    <t xml:space="preserve">896-34-0956</t>
  </si>
  <si>
    <t xml:space="preserve">804-38-3935</t>
  </si>
  <si>
    <t xml:space="preserve">585-90-0249</t>
  </si>
  <si>
    <t xml:space="preserve">862-29-5914</t>
  </si>
  <si>
    <t xml:space="preserve">845-94-6841</t>
  </si>
  <si>
    <t xml:space="preserve">125-45-2293</t>
  </si>
  <si>
    <t xml:space="preserve">843-73-4724</t>
  </si>
  <si>
    <t xml:space="preserve">409-33-9708</t>
  </si>
  <si>
    <t xml:space="preserve">658-66-3967</t>
  </si>
  <si>
    <t xml:space="preserve">866-70-2814</t>
  </si>
  <si>
    <t xml:space="preserve">160-22-2687</t>
  </si>
  <si>
    <t xml:space="preserve">895-03-6665</t>
  </si>
  <si>
    <t xml:space="preserve">770-42-8960</t>
  </si>
  <si>
    <t xml:space="preserve">748-45-2862</t>
  </si>
  <si>
    <t xml:space="preserve">234-36-2483</t>
  </si>
  <si>
    <t xml:space="preserve">316-66-3011</t>
  </si>
  <si>
    <t xml:space="preserve">848-95-6252</t>
  </si>
  <si>
    <t xml:space="preserve">840-76-5966</t>
  </si>
  <si>
    <t xml:space="preserve">152-03-4217</t>
  </si>
  <si>
    <t xml:space="preserve">533-66-5566</t>
  </si>
  <si>
    <t xml:space="preserve">124-31-1458</t>
  </si>
  <si>
    <t xml:space="preserve">176-78-1170</t>
  </si>
  <si>
    <t xml:space="preserve">361-59-0574</t>
  </si>
  <si>
    <t xml:space="preserve">101-81-4070</t>
  </si>
  <si>
    <t xml:space="preserve">631-34-1880</t>
  </si>
  <si>
    <t xml:space="preserve">852-82-2749</t>
  </si>
  <si>
    <t xml:space="preserve">873-14-6353</t>
  </si>
  <si>
    <t xml:space="preserve">584-66-4073</t>
  </si>
  <si>
    <t xml:space="preserve">544-55-9589</t>
  </si>
  <si>
    <t xml:space="preserve">166-19-2553</t>
  </si>
  <si>
    <t xml:space="preserve">737-88-5876</t>
  </si>
  <si>
    <t xml:space="preserve">154-87-7367</t>
  </si>
  <si>
    <t xml:space="preserve">885-56-0389</t>
  </si>
  <si>
    <t xml:space="preserve">608-05-3804</t>
  </si>
  <si>
    <t xml:space="preserve">448-61-3783</t>
  </si>
  <si>
    <t xml:space="preserve">761-49-0439</t>
  </si>
  <si>
    <t xml:space="preserve">490-95-0021</t>
  </si>
  <si>
    <t xml:space="preserve">115-38-7388</t>
  </si>
  <si>
    <t xml:space="preserve">311-13-6971</t>
  </si>
  <si>
    <t xml:space="preserve">291-55-6563</t>
  </si>
  <si>
    <t xml:space="preserve">548-48-3156</t>
  </si>
  <si>
    <t xml:space="preserve">460-93-5834</t>
  </si>
  <si>
    <t xml:space="preserve">325-89-4209</t>
  </si>
  <si>
    <t xml:space="preserve">884-80-6021</t>
  </si>
  <si>
    <t xml:space="preserve">137-74-8729</t>
  </si>
  <si>
    <t xml:space="preserve">880-46-5796</t>
  </si>
  <si>
    <t xml:space="preserve">389-70-2397</t>
  </si>
  <si>
    <t xml:space="preserve">114-35-5271</t>
  </si>
  <si>
    <t xml:space="preserve">607-76-6216</t>
  </si>
  <si>
    <t xml:space="preserve">715-20-1673</t>
  </si>
  <si>
    <t xml:space="preserve">811-35-1094</t>
  </si>
  <si>
    <t xml:space="preserve">699-88-1972</t>
  </si>
  <si>
    <t xml:space="preserve">781-84-8059</t>
  </si>
  <si>
    <t xml:space="preserve">409-49-6995</t>
  </si>
  <si>
    <t xml:space="preserve">725-54-0677</t>
  </si>
  <si>
    <t xml:space="preserve">146-09-5432</t>
  </si>
  <si>
    <t xml:space="preserve">377-79-7592</t>
  </si>
  <si>
    <t xml:space="preserve">509-10-0516</t>
  </si>
  <si>
    <t xml:space="preserve">595-94-9924</t>
  </si>
  <si>
    <t xml:space="preserve">865-41-9075</t>
  </si>
  <si>
    <t xml:space="preserve">545-07-8534</t>
  </si>
  <si>
    <t xml:space="preserve">118-62-1812</t>
  </si>
  <si>
    <t xml:space="preserve">450-42-3339</t>
  </si>
  <si>
    <t xml:space="preserve">851-98-3555</t>
  </si>
  <si>
    <t xml:space="preserve">186-71-5196</t>
  </si>
  <si>
    <t xml:space="preserve">624-01-8356</t>
  </si>
  <si>
    <t xml:space="preserve">313-66-9943</t>
  </si>
  <si>
    <t xml:space="preserve">151-27-8496</t>
  </si>
  <si>
    <t xml:space="preserve">453-33-6436</t>
  </si>
  <si>
    <t xml:space="preserve">522-57-8364</t>
  </si>
  <si>
    <t xml:space="preserve">459-45-2396</t>
  </si>
  <si>
    <t xml:space="preserve">717-96-4189</t>
  </si>
  <si>
    <t xml:space="preserve">722-13-2115</t>
  </si>
  <si>
    <t xml:space="preserve">749-81-8133</t>
  </si>
  <si>
    <t xml:space="preserve">777-67-2495</t>
  </si>
  <si>
    <t xml:space="preserve">636-98-3364</t>
  </si>
  <si>
    <t xml:space="preserve">246-55-6923</t>
  </si>
  <si>
    <t xml:space="preserve">181-82-6255</t>
  </si>
  <si>
    <t xml:space="preserve">838-02-1821</t>
  </si>
  <si>
    <t xml:space="preserve">887-42-0517</t>
  </si>
  <si>
    <t xml:space="preserve">457-12-0244</t>
  </si>
  <si>
    <t xml:space="preserve">226-34-0034</t>
  </si>
  <si>
    <t xml:space="preserve">321-49-7382</t>
  </si>
  <si>
    <t xml:space="preserve">397-25-8725</t>
  </si>
  <si>
    <t xml:space="preserve">431-66-2305</t>
  </si>
  <si>
    <t xml:space="preserve">825-94-5922</t>
  </si>
  <si>
    <t xml:space="preserve">641-62-7288</t>
  </si>
  <si>
    <t xml:space="preserve">756-93-1854</t>
  </si>
  <si>
    <t xml:space="preserve">243-55-8457</t>
  </si>
  <si>
    <t xml:space="preserve">458-10-8612</t>
  </si>
  <si>
    <t xml:space="preserve">501-61-1753</t>
  </si>
  <si>
    <t xml:space="preserve">235-06-8510</t>
  </si>
  <si>
    <t xml:space="preserve">433-08-7822</t>
  </si>
  <si>
    <t xml:space="preserve">361-85-2571</t>
  </si>
  <si>
    <t xml:space="preserve">131-70-8179</t>
  </si>
  <si>
    <t xml:space="preserve">500-02-2261</t>
  </si>
  <si>
    <t xml:space="preserve">720-72-2436</t>
  </si>
  <si>
    <t xml:space="preserve">702-83-5291</t>
  </si>
  <si>
    <t xml:space="preserve">809-69-9497</t>
  </si>
  <si>
    <t xml:space="preserve">449-16-6770</t>
  </si>
  <si>
    <t xml:space="preserve">333-23-2632</t>
  </si>
  <si>
    <t xml:space="preserve">489-82-1237</t>
  </si>
  <si>
    <t xml:space="preserve">859-97-6048</t>
  </si>
  <si>
    <t xml:space="preserve">676-10-2200</t>
  </si>
  <si>
    <t xml:space="preserve">373-88-1424</t>
  </si>
  <si>
    <t xml:space="preserve">365-16-4334</t>
  </si>
  <si>
    <t xml:space="preserve">503-21-4385</t>
  </si>
  <si>
    <t xml:space="preserve">305-89-2768</t>
  </si>
  <si>
    <t xml:space="preserve">574-80-1489</t>
  </si>
  <si>
    <t xml:space="preserve">784-08-0310</t>
  </si>
  <si>
    <t xml:space="preserve">200-40-6154</t>
  </si>
  <si>
    <t xml:space="preserve">846-10-0341</t>
  </si>
  <si>
    <t xml:space="preserve">577-34-7579</t>
  </si>
  <si>
    <t xml:space="preserve">430-02-3888</t>
  </si>
  <si>
    <t xml:space="preserve">867-47-1948</t>
  </si>
  <si>
    <t xml:space="preserve">384-59-6655</t>
  </si>
  <si>
    <t xml:space="preserve">256-58-3609</t>
  </si>
  <si>
    <t xml:space="preserve">324-92-3863</t>
  </si>
  <si>
    <t xml:space="preserve">593-08-5916</t>
  </si>
  <si>
    <t xml:space="preserve">364-34-2972</t>
  </si>
  <si>
    <t xml:space="preserve">794-42-3736</t>
  </si>
  <si>
    <t xml:space="preserve">172-42-8274</t>
  </si>
  <si>
    <t xml:space="preserve">558-60-5016</t>
  </si>
  <si>
    <t xml:space="preserve">195-06-0432</t>
  </si>
  <si>
    <t xml:space="preserve">605-03-2706</t>
  </si>
  <si>
    <t xml:space="preserve">214-30-2776</t>
  </si>
  <si>
    <t xml:space="preserve">746-04-1077</t>
  </si>
  <si>
    <t xml:space="preserve">448-34-8700</t>
  </si>
  <si>
    <t xml:space="preserve">452-04-8808</t>
  </si>
  <si>
    <t xml:space="preserve">531-56-4728</t>
  </si>
  <si>
    <t xml:space="preserve">744-82-9138</t>
  </si>
  <si>
    <t xml:space="preserve">883-69-1285</t>
  </si>
  <si>
    <t xml:space="preserve">221-25-5073</t>
  </si>
  <si>
    <t xml:space="preserve">518-71-6847</t>
  </si>
  <si>
    <t xml:space="preserve">156-20-0370</t>
  </si>
  <si>
    <t xml:space="preserve">151-33-7434</t>
  </si>
  <si>
    <t xml:space="preserve">728-47-9078</t>
  </si>
  <si>
    <t xml:space="preserve">809-46-1866</t>
  </si>
  <si>
    <t xml:space="preserve">139-32-4183</t>
  </si>
  <si>
    <t xml:space="preserve">148-41-7930</t>
  </si>
  <si>
    <t xml:space="preserve">189-40-5216</t>
  </si>
  <si>
    <t xml:space="preserve">374-38-5555</t>
  </si>
  <si>
    <t xml:space="preserve">764-44-8999</t>
  </si>
  <si>
    <t xml:space="preserve">552-44-5977</t>
  </si>
  <si>
    <t xml:space="preserve">267-62-7380</t>
  </si>
  <si>
    <t xml:space="preserve">430-53-4718</t>
  </si>
  <si>
    <t xml:space="preserve">886-18-2897</t>
  </si>
  <si>
    <t xml:space="preserve">602-16-6955</t>
  </si>
  <si>
    <t xml:space="preserve">745-74-0715</t>
  </si>
  <si>
    <t xml:space="preserve">690-01-6631</t>
  </si>
  <si>
    <t xml:space="preserve">652-49-6720</t>
  </si>
  <si>
    <t xml:space="preserve">233-67-5758</t>
  </si>
  <si>
    <t xml:space="preserve">303-96-2227</t>
  </si>
  <si>
    <t xml:space="preserve">727-02-1313</t>
  </si>
  <si>
    <t xml:space="preserve">347-56-2442</t>
  </si>
  <si>
    <t xml:space="preserve">849-09-3807</t>
  </si>
  <si>
    <t xml:space="preserve">Customer type</t>
  </si>
  <si>
    <t xml:space="preserve">Product line</t>
  </si>
  <si>
    <t xml:space="preserve">Unit price</t>
  </si>
  <si>
    <t xml:space="preserve">Cost of goods sold</t>
  </si>
  <si>
    <t xml:space="preserve">Gross margin percentage</t>
  </si>
  <si>
    <t xml:space="preserve">Gross income</t>
  </si>
  <si>
    <t xml:space="preserve">Customer stratification rating</t>
  </si>
  <si>
    <t xml:space="preserve">Original CSV copy, not edited (dates are still text here).</t>
  </si>
  <si>
    <t xml:space="preserve">1/5/2019</t>
  </si>
  <si>
    <t xml:space="preserve">13:08</t>
  </si>
  <si>
    <t xml:space="preserve">3/8/2019</t>
  </si>
  <si>
    <t xml:space="preserve">10:29</t>
  </si>
  <si>
    <t xml:space="preserve">3/3/2019</t>
  </si>
  <si>
    <t xml:space="preserve">13:23</t>
  </si>
  <si>
    <t xml:space="preserve">1/27/2019</t>
  </si>
  <si>
    <t xml:space="preserve">20:33</t>
  </si>
  <si>
    <t xml:space="preserve">2/8/2019</t>
  </si>
  <si>
    <t xml:space="preserve">10:37</t>
  </si>
  <si>
    <t xml:space="preserve">3/25/2019</t>
  </si>
  <si>
    <t xml:space="preserve">18:30</t>
  </si>
  <si>
    <t xml:space="preserve">2/25/2019</t>
  </si>
  <si>
    <t xml:space="preserve">14:36</t>
  </si>
  <si>
    <t xml:space="preserve">2/24/2019</t>
  </si>
  <si>
    <t xml:space="preserve">11:38</t>
  </si>
  <si>
    <t xml:space="preserve">1/10/2019</t>
  </si>
  <si>
    <t xml:space="preserve">17:15</t>
  </si>
  <si>
    <t xml:space="preserve">2/20/2019</t>
  </si>
  <si>
    <t xml:space="preserve">13:27</t>
  </si>
  <si>
    <t xml:space="preserve">2/6/2019</t>
  </si>
  <si>
    <t xml:space="preserve">18:07</t>
  </si>
  <si>
    <t xml:space="preserve">3/9/2019</t>
  </si>
  <si>
    <t xml:space="preserve">17:03</t>
  </si>
  <si>
    <t xml:space="preserve">2/12/2019</t>
  </si>
  <si>
    <t xml:space="preserve">10:25</t>
  </si>
  <si>
    <t xml:space="preserve">2/7/2019</t>
  </si>
  <si>
    <t xml:space="preserve">16:48</t>
  </si>
  <si>
    <t xml:space="preserve">3/29/2019</t>
  </si>
  <si>
    <t xml:space="preserve">19:21</t>
  </si>
  <si>
    <t xml:space="preserve">1/15/2019</t>
  </si>
  <si>
    <t xml:space="preserve">16:19</t>
  </si>
  <si>
    <t xml:space="preserve">3/11/2019</t>
  </si>
  <si>
    <t xml:space="preserve">11:03</t>
  </si>
  <si>
    <t xml:space="preserve">1/1/2019</t>
  </si>
  <si>
    <t xml:space="preserve">10:39</t>
  </si>
  <si>
    <t xml:space="preserve">1/21/2019</t>
  </si>
  <si>
    <t xml:space="preserve">15:30</t>
  </si>
  <si>
    <t xml:space="preserve">11:24</t>
  </si>
  <si>
    <t xml:space="preserve">3/5/2019</t>
  </si>
  <si>
    <t xml:space="preserve">10:40</t>
  </si>
  <si>
    <t xml:space="preserve">3/15/2019</t>
  </si>
  <si>
    <t xml:space="preserve">12:20</t>
  </si>
  <si>
    <t xml:space="preserve">2/17/2019</t>
  </si>
  <si>
    <t xml:space="preserve">11:15</t>
  </si>
  <si>
    <t xml:space="preserve">3/2/2019</t>
  </si>
  <si>
    <t xml:space="preserve">17:36</t>
  </si>
  <si>
    <t xml:space="preserve">3/22/2019</t>
  </si>
  <si>
    <t xml:space="preserve">19:20</t>
  </si>
  <si>
    <t xml:space="preserve">15:31</t>
  </si>
  <si>
    <t xml:space="preserve">3/10/2019</t>
  </si>
  <si>
    <t xml:space="preserve">12:17</t>
  </si>
  <si>
    <t xml:space="preserve">1/25/2019</t>
  </si>
  <si>
    <t xml:space="preserve">19:48</t>
  </si>
  <si>
    <t xml:space="preserve">15:36</t>
  </si>
  <si>
    <t xml:space="preserve">19:39</t>
  </si>
  <si>
    <t xml:space="preserve">1/28/2019</t>
  </si>
  <si>
    <t xml:space="preserve">12:43</t>
  </si>
  <si>
    <t xml:space="preserve">14:49</t>
  </si>
  <si>
    <t xml:space="preserve">10:12</t>
  </si>
  <si>
    <t xml:space="preserve">10:42</t>
  </si>
  <si>
    <t xml:space="preserve">1/7/2019</t>
  </si>
  <si>
    <t xml:space="preserve">12:28</t>
  </si>
  <si>
    <t xml:space="preserve">19:15</t>
  </si>
  <si>
    <t xml:space="preserve">17:17</t>
  </si>
  <si>
    <t xml:space="preserve">3/23/2019</t>
  </si>
  <si>
    <t xml:space="preserve">13:24</t>
  </si>
  <si>
    <t xml:space="preserve">13:01</t>
  </si>
  <si>
    <t xml:space="preserve">1/17/2019</t>
  </si>
  <si>
    <t xml:space="preserve">18:45</t>
  </si>
  <si>
    <t xml:space="preserve">2/2/2019</t>
  </si>
  <si>
    <t xml:space="preserve">10:11</t>
  </si>
  <si>
    <t xml:space="preserve">13:03</t>
  </si>
  <si>
    <t xml:space="preserve">3/4/2019</t>
  </si>
  <si>
    <t xml:space="preserve">20:39</t>
  </si>
  <si>
    <t xml:space="preserve">3/16/2019</t>
  </si>
  <si>
    <t xml:space="preserve">19:47</t>
  </si>
  <si>
    <t xml:space="preserve">2/27/2019</t>
  </si>
  <si>
    <t xml:space="preserve">17:24</t>
  </si>
  <si>
    <t xml:space="preserve">15:47</t>
  </si>
  <si>
    <t xml:space="preserve">2/10/2019</t>
  </si>
  <si>
    <t xml:space="preserve">12:45</t>
  </si>
  <si>
    <t xml:space="preserve">3/19/2019</t>
  </si>
  <si>
    <t xml:space="preserve">17:08</t>
  </si>
  <si>
    <t xml:space="preserve">2/3/2019</t>
  </si>
  <si>
    <t xml:space="preserve">10:19</t>
  </si>
  <si>
    <t xml:space="preserve">15:10</t>
  </si>
  <si>
    <t xml:space="preserve">14:42</t>
  </si>
  <si>
    <t xml:space="preserve">15:46</t>
  </si>
  <si>
    <t xml:space="preserve">3/7/2019</t>
  </si>
  <si>
    <t xml:space="preserve">11:49</t>
  </si>
  <si>
    <t xml:space="preserve">2/28/2019</t>
  </si>
  <si>
    <t xml:space="preserve">19:01</t>
  </si>
  <si>
    <t xml:space="preserve">3/27/2019</t>
  </si>
  <si>
    <t xml:space="preserve">11:26</t>
  </si>
  <si>
    <t xml:space="preserve">11:28</t>
  </si>
  <si>
    <t xml:space="preserve">1/20/2019</t>
  </si>
  <si>
    <t xml:space="preserve">15:55</t>
  </si>
  <si>
    <t xml:space="preserve">3/12/2019</t>
  </si>
  <si>
    <t xml:space="preserve">20:36</t>
  </si>
  <si>
    <t xml:space="preserve">2/15/2019</t>
  </si>
  <si>
    <t xml:space="preserve">17:47</t>
  </si>
  <si>
    <t xml:space="preserve">10:55</t>
  </si>
  <si>
    <t xml:space="preserve">13:40</t>
  </si>
  <si>
    <t xml:space="preserve">3/6/2019</t>
  </si>
  <si>
    <t xml:space="preserve">12:27</t>
  </si>
  <si>
    <t xml:space="preserve">2/14/2019</t>
  </si>
  <si>
    <t xml:space="preserve">14:35</t>
  </si>
  <si>
    <t xml:space="preserve">3/13/2019</t>
  </si>
  <si>
    <t xml:space="preserve">16:40</t>
  </si>
  <si>
    <t xml:space="preserve">15:43</t>
  </si>
  <si>
    <t xml:space="preserve">15:01</t>
  </si>
  <si>
    <t xml:space="preserve">1/24/2019</t>
  </si>
  <si>
    <t xml:space="preserve">10:04</t>
  </si>
  <si>
    <t xml:space="preserve">18:50</t>
  </si>
  <si>
    <t xml:space="preserve">1/6/2019</t>
  </si>
  <si>
    <t xml:space="preserve">12:46</t>
  </si>
  <si>
    <t xml:space="preserve">2/11/2019</t>
  </si>
  <si>
    <t xml:space="preserve">18:17</t>
  </si>
  <si>
    <t xml:space="preserve">18:21</t>
  </si>
  <si>
    <t xml:space="preserve">1/22/2019</t>
  </si>
  <si>
    <t xml:space="preserve">1/13/2019</t>
  </si>
  <si>
    <t xml:space="preserve">17:04</t>
  </si>
  <si>
    <t xml:space="preserve">1/9/2019</t>
  </si>
  <si>
    <t xml:space="preserve">14:20</t>
  </si>
  <si>
    <t xml:space="preserve">1/12/2019</t>
  </si>
  <si>
    <t xml:space="preserve">15:48</t>
  </si>
  <si>
    <t xml:space="preserve">16:24</t>
  </si>
  <si>
    <t xml:space="preserve">18:56</t>
  </si>
  <si>
    <t xml:space="preserve">1/26/2019</t>
  </si>
  <si>
    <t xml:space="preserve">19:56</t>
  </si>
  <si>
    <t xml:space="preserve">1/23/2019</t>
  </si>
  <si>
    <t xml:space="preserve">18:37</t>
  </si>
  <si>
    <t xml:space="preserve">2/23/2019</t>
  </si>
  <si>
    <t xml:space="preserve">10:17</t>
  </si>
  <si>
    <t xml:space="preserve">14:31</t>
  </si>
  <si>
    <t xml:space="preserve">10:23</t>
  </si>
  <si>
    <t xml:space="preserve">20:35</t>
  </si>
  <si>
    <t xml:space="preserve">1/2/2019</t>
  </si>
  <si>
    <t xml:space="preserve">16:57</t>
  </si>
  <si>
    <t xml:space="preserve">17:55</t>
  </si>
  <si>
    <t xml:space="preserve">19:54</t>
  </si>
  <si>
    <t xml:space="preserve">16:42</t>
  </si>
  <si>
    <t xml:space="preserve">12:09</t>
  </si>
  <si>
    <t xml:space="preserve">20:05</t>
  </si>
  <si>
    <t xml:space="preserve">20:38</t>
  </si>
  <si>
    <t xml:space="preserve">2/9/2019</t>
  </si>
  <si>
    <t xml:space="preserve">13:11</t>
  </si>
  <si>
    <t xml:space="preserve">10:16</t>
  </si>
  <si>
    <t xml:space="preserve">18:14</t>
  </si>
  <si>
    <t xml:space="preserve">3/26/2019</t>
  </si>
  <si>
    <t xml:space="preserve">3/1/2019</t>
  </si>
  <si>
    <t xml:space="preserve">13:22</t>
  </si>
  <si>
    <t xml:space="preserve">2/1/2019</t>
  </si>
  <si>
    <t xml:space="preserve">11:27</t>
  </si>
  <si>
    <t xml:space="preserve">3/28/2019</t>
  </si>
  <si>
    <t xml:space="preserve">16:44</t>
  </si>
  <si>
    <t xml:space="preserve">18:19</t>
  </si>
  <si>
    <t xml:space="preserve">14:50</t>
  </si>
  <si>
    <t xml:space="preserve">20:54</t>
  </si>
  <si>
    <t xml:space="preserve">20:19</t>
  </si>
  <si>
    <t xml:space="preserve">3/24/2019</t>
  </si>
  <si>
    <t xml:space="preserve">10:43</t>
  </si>
  <si>
    <t xml:space="preserve">14:30</t>
  </si>
  <si>
    <t xml:space="preserve">2/5/2019</t>
  </si>
  <si>
    <t xml:space="preserve">11:32</t>
  </si>
  <si>
    <t xml:space="preserve">10:41</t>
  </si>
  <si>
    <t xml:space="preserve">12:44</t>
  </si>
  <si>
    <t xml:space="preserve">1/19/2019</t>
  </si>
  <si>
    <t xml:space="preserve">20:07</t>
  </si>
  <si>
    <t xml:space="preserve">20:31</t>
  </si>
  <si>
    <t xml:space="preserve">12:29</t>
  </si>
  <si>
    <t xml:space="preserve">1/16/2019</t>
  </si>
  <si>
    <t xml:space="preserve">15:26</t>
  </si>
  <si>
    <t xml:space="preserve">20:48</t>
  </si>
  <si>
    <t xml:space="preserve">12:02</t>
  </si>
  <si>
    <t xml:space="preserve">17:26</t>
  </si>
  <si>
    <t xml:space="preserve">19:52</t>
  </si>
  <si>
    <t xml:space="preserve">14:57</t>
  </si>
  <si>
    <t xml:space="preserve">18:44</t>
  </si>
  <si>
    <t xml:space="preserve">13:26</t>
  </si>
  <si>
    <t xml:space="preserve">1/8/2019</t>
  </si>
  <si>
    <t xml:space="preserve">16:17</t>
  </si>
  <si>
    <t xml:space="preserve">15:57</t>
  </si>
  <si>
    <t xml:space="preserve">13:18</t>
  </si>
  <si>
    <t xml:space="preserve">20:34</t>
  </si>
  <si>
    <t xml:space="preserve">18:36</t>
  </si>
  <si>
    <t xml:space="preserve">14:40</t>
  </si>
  <si>
    <t xml:space="preserve">16:43</t>
  </si>
  <si>
    <t xml:space="preserve">2/18/2019</t>
  </si>
  <si>
    <t xml:space="preserve">1/18/2019</t>
  </si>
  <si>
    <t xml:space="preserve">20:59</t>
  </si>
  <si>
    <t xml:space="preserve">15:39</t>
  </si>
  <si>
    <t xml:space="preserve">2/16/2019</t>
  </si>
  <si>
    <t xml:space="preserve">12:21</t>
  </si>
  <si>
    <t xml:space="preserve">19:25</t>
  </si>
  <si>
    <t xml:space="preserve">13:48</t>
  </si>
  <si>
    <t xml:space="preserve">19:57</t>
  </si>
  <si>
    <t xml:space="preserve">2/22/2019</t>
  </si>
  <si>
    <t xml:space="preserve">10:36</t>
  </si>
  <si>
    <t xml:space="preserve">16:37</t>
  </si>
  <si>
    <t xml:space="preserve">17:11</t>
  </si>
  <si>
    <t xml:space="preserve">15:07</t>
  </si>
  <si>
    <t xml:space="preserve">16:07</t>
  </si>
  <si>
    <t xml:space="preserve">1/29/2019</t>
  </si>
  <si>
    <t xml:space="preserve">11:56</t>
  </si>
  <si>
    <t xml:space="preserve">18:23</t>
  </si>
  <si>
    <t xml:space="preserve">13:05</t>
  </si>
  <si>
    <t xml:space="preserve">1/4/2019</t>
  </si>
  <si>
    <t xml:space="preserve">19:40</t>
  </si>
  <si>
    <t xml:space="preserve">13:58</t>
  </si>
  <si>
    <t xml:space="preserve">3/30/2019</t>
  </si>
  <si>
    <t xml:space="preserve">14:43</t>
  </si>
  <si>
    <t xml:space="preserve">19:18</t>
  </si>
  <si>
    <t xml:space="preserve">16:21</t>
  </si>
  <si>
    <t xml:space="preserve">19:44</t>
  </si>
  <si>
    <t xml:space="preserve">1/30/2019</t>
  </si>
  <si>
    <t xml:space="preserve">19:42</t>
  </si>
  <si>
    <t xml:space="preserve">15:24</t>
  </si>
  <si>
    <t xml:space="preserve">14:12</t>
  </si>
  <si>
    <t xml:space="preserve">13:32</t>
  </si>
  <si>
    <t xml:space="preserve">16:20</t>
  </si>
  <si>
    <t xml:space="preserve">16:31</t>
  </si>
  <si>
    <t xml:space="preserve">1/3/2019</t>
  </si>
  <si>
    <t xml:space="preserve">11:36</t>
  </si>
  <si>
    <t xml:space="preserve">19:17</t>
  </si>
  <si>
    <t xml:space="preserve">17:34</t>
  </si>
  <si>
    <t xml:space="preserve">12:04</t>
  </si>
  <si>
    <t xml:space="preserve">3/21/2019</t>
  </si>
  <si>
    <t xml:space="preserve">17:01</t>
  </si>
  <si>
    <t xml:space="preserve">2/13/2019</t>
  </si>
  <si>
    <t xml:space="preserve">10:50</t>
  </si>
  <si>
    <t xml:space="preserve">19:16</t>
  </si>
  <si>
    <t xml:space="preserve">16:47</t>
  </si>
  <si>
    <t xml:space="preserve">11:51</t>
  </si>
  <si>
    <t xml:space="preserve">11:19</t>
  </si>
  <si>
    <t xml:space="preserve">19:46</t>
  </si>
  <si>
    <t xml:space="preserve">10:53</t>
  </si>
  <si>
    <t xml:space="preserve">12:50</t>
  </si>
  <si>
    <t xml:space="preserve">20:50</t>
  </si>
  <si>
    <t xml:space="preserve">13:41</t>
  </si>
  <si>
    <t xml:space="preserve">19:08</t>
  </si>
  <si>
    <t xml:space="preserve">20:23</t>
  </si>
  <si>
    <t xml:space="preserve">11:30</t>
  </si>
  <si>
    <t xml:space="preserve">19:30</t>
  </si>
  <si>
    <t xml:space="preserve">18:03</t>
  </si>
  <si>
    <t xml:space="preserve">10:13</t>
  </si>
  <si>
    <t xml:space="preserve">19:58</t>
  </si>
  <si>
    <t xml:space="preserve">10:01</t>
  </si>
  <si>
    <t xml:space="preserve">11:57</t>
  </si>
  <si>
    <t xml:space="preserve">1/14/2019</t>
  </si>
  <si>
    <t xml:space="preserve">10:02</t>
  </si>
  <si>
    <t xml:space="preserve">14:51</t>
  </si>
  <si>
    <t xml:space="preserve">12:42</t>
  </si>
  <si>
    <t xml:space="preserve">3/18/2019</t>
  </si>
  <si>
    <t xml:space="preserve">17:38</t>
  </si>
  <si>
    <t xml:space="preserve">20:24</t>
  </si>
  <si>
    <t xml:space="preserve">18:08</t>
  </si>
  <si>
    <t xml:space="preserve">3/20/2019</t>
  </si>
  <si>
    <t xml:space="preserve">15:53</t>
  </si>
  <si>
    <t xml:space="preserve">15:05</t>
  </si>
  <si>
    <t xml:space="preserve">18:27</t>
  </si>
  <si>
    <t xml:space="preserve">2/21/2019</t>
  </si>
  <si>
    <t xml:space="preserve">16:55</t>
  </si>
  <si>
    <t xml:space="preserve">12:58</t>
  </si>
  <si>
    <t xml:space="preserve">18:59</t>
  </si>
  <si>
    <t xml:space="preserve">1/31/2019</t>
  </si>
  <si>
    <t xml:space="preserve">13:44</t>
  </si>
  <si>
    <t xml:space="preserve">13:46</t>
  </si>
  <si>
    <t xml:space="preserve">18:06</t>
  </si>
  <si>
    <t xml:space="preserve">12:38</t>
  </si>
  <si>
    <t xml:space="preserve">15:56</t>
  </si>
  <si>
    <t xml:space="preserve">1/11/2019</t>
  </si>
  <si>
    <t xml:space="preserve">14:29</t>
  </si>
  <si>
    <t xml:space="preserve">19:14</t>
  </si>
  <si>
    <t xml:space="preserve">2/26/2019</t>
  </si>
  <si>
    <t xml:space="preserve">10:52</t>
  </si>
  <si>
    <t xml:space="preserve">12:55</t>
  </si>
  <si>
    <t xml:space="preserve">19:28</t>
  </si>
  <si>
    <t xml:space="preserve">13:52</t>
  </si>
  <si>
    <t xml:space="preserve">10:54</t>
  </si>
  <si>
    <t xml:space="preserve">18:31</t>
  </si>
  <si>
    <t xml:space="preserve">18:24</t>
  </si>
  <si>
    <t xml:space="preserve">18:09</t>
  </si>
  <si>
    <t xml:space="preserve">15:16</t>
  </si>
  <si>
    <t xml:space="preserve">17:07</t>
  </si>
  <si>
    <t xml:space="preserve">19:26</t>
  </si>
  <si>
    <t xml:space="preserve">11:20</t>
  </si>
  <si>
    <t xml:space="preserve">16:49</t>
  </si>
  <si>
    <t xml:space="preserve">12:01</t>
  </si>
  <si>
    <t xml:space="preserve">11:25</t>
  </si>
  <si>
    <t xml:space="preserve">18:42</t>
  </si>
  <si>
    <t xml:space="preserve">14:47</t>
  </si>
  <si>
    <t xml:space="preserve">19:43</t>
  </si>
  <si>
    <t xml:space="preserve">14:04</t>
  </si>
  <si>
    <t xml:space="preserve">16:11</t>
  </si>
  <si>
    <t xml:space="preserve">19:06</t>
  </si>
  <si>
    <t xml:space="preserve">15:34</t>
  </si>
  <si>
    <t xml:space="preserve">3/17/2019</t>
  </si>
  <si>
    <t xml:space="preserve">11:22</t>
  </si>
  <si>
    <t xml:space="preserve">11:23</t>
  </si>
  <si>
    <t xml:space="preserve">10:46</t>
  </si>
  <si>
    <t xml:space="preserve">13:25</t>
  </si>
  <si>
    <t xml:space="preserve">14:53</t>
  </si>
  <si>
    <t xml:space="preserve">19:22</t>
  </si>
  <si>
    <t xml:space="preserve">19:24</t>
  </si>
  <si>
    <t xml:space="preserve">3/14/2019</t>
  </si>
  <si>
    <t xml:space="preserve">17:22</t>
  </si>
  <si>
    <t xml:space="preserve">20:55</t>
  </si>
  <si>
    <t xml:space="preserve">16:05</t>
  </si>
  <si>
    <t xml:space="preserve">13:34</t>
  </si>
  <si>
    <t xml:space="preserve">18:13</t>
  </si>
  <si>
    <t xml:space="preserve">11:44</t>
  </si>
  <si>
    <t xml:space="preserve">15:51</t>
  </si>
  <si>
    <t xml:space="preserve">16:52</t>
  </si>
  <si>
    <t xml:space="preserve">20:52</t>
  </si>
  <si>
    <t xml:space="preserve">16:28</t>
  </si>
  <si>
    <t xml:space="preserve">13:29</t>
  </si>
  <si>
    <t xml:space="preserve">11:09</t>
  </si>
  <si>
    <t xml:space="preserve">15:02</t>
  </si>
  <si>
    <t xml:space="preserve">14:21</t>
  </si>
  <si>
    <t xml:space="preserve">18:01</t>
  </si>
  <si>
    <t xml:space="preserve">13:30</t>
  </si>
  <si>
    <t xml:space="preserve">14:38</t>
  </si>
  <si>
    <t xml:space="preserve">17:37</t>
  </si>
  <si>
    <t xml:space="preserve">17:20</t>
  </si>
  <si>
    <t xml:space="preserve">20:29</t>
  </si>
  <si>
    <t xml:space="preserve">11:46</t>
  </si>
  <si>
    <t xml:space="preserve">13:42</t>
  </si>
  <si>
    <t xml:space="preserve">14:44</t>
  </si>
  <si>
    <t xml:space="preserve">14:16</t>
  </si>
  <si>
    <t xml:space="preserve">15:54</t>
  </si>
  <si>
    <t xml:space="preserve">10:21</t>
  </si>
  <si>
    <t xml:space="preserve">16:46</t>
  </si>
  <si>
    <t xml:space="preserve">20:14</t>
  </si>
  <si>
    <t xml:space="preserve">17:09</t>
  </si>
  <si>
    <t xml:space="preserve">17:43</t>
  </si>
  <si>
    <t xml:space="preserve">19:05</t>
  </si>
  <si>
    <t xml:space="preserve">10:08</t>
  </si>
  <si>
    <t xml:space="preserve">13:12</t>
  </si>
  <si>
    <t xml:space="preserve">20:51</t>
  </si>
  <si>
    <t xml:space="preserve">17:29</t>
  </si>
  <si>
    <t xml:space="preserve">11:34</t>
  </si>
  <si>
    <t xml:space="preserve">18:58</t>
  </si>
  <si>
    <t xml:space="preserve">20:26</t>
  </si>
  <si>
    <t xml:space="preserve">15:08</t>
  </si>
  <si>
    <t xml:space="preserve">13:21</t>
  </si>
  <si>
    <t xml:space="preserve">12:48</t>
  </si>
  <si>
    <t xml:space="preserve">19:53</t>
  </si>
  <si>
    <t xml:space="preserve">19:09</t>
  </si>
  <si>
    <t xml:space="preserve">16:30</t>
  </si>
  <si>
    <t xml:space="preserve">13:07</t>
  </si>
  <si>
    <t xml:space="preserve">18:48</t>
  </si>
  <si>
    <t xml:space="preserve">17:27</t>
  </si>
  <si>
    <t xml:space="preserve">15:59</t>
  </si>
  <si>
    <t xml:space="preserve">11:21</t>
  </si>
  <si>
    <t xml:space="preserve">15:49</t>
  </si>
  <si>
    <t xml:space="preserve">13:02</t>
  </si>
  <si>
    <t xml:space="preserve">20:21</t>
  </si>
  <si>
    <t xml:space="preserve">15:04</t>
  </si>
  <si>
    <t xml:space="preserve">16:10</t>
  </si>
  <si>
    <t xml:space="preserve">2/4/2019</t>
  </si>
  <si>
    <t xml:space="preserve">12:14</t>
  </si>
  <si>
    <t xml:space="preserve">11:06</t>
  </si>
  <si>
    <t xml:space="preserve">18:22</t>
  </si>
  <si>
    <t xml:space="preserve">19:02</t>
  </si>
  <si>
    <t xml:space="preserve">15:44</t>
  </si>
  <si>
    <t xml:space="preserve">20:01</t>
  </si>
  <si>
    <t xml:space="preserve">13:45</t>
  </si>
  <si>
    <t xml:space="preserve">15:40</t>
  </si>
  <si>
    <t xml:space="preserve">16:58</t>
  </si>
  <si>
    <t xml:space="preserve">11:12</t>
  </si>
  <si>
    <t xml:space="preserve">15:12</t>
  </si>
  <si>
    <t xml:space="preserve">20:37</t>
  </si>
  <si>
    <t xml:space="preserve">17:44</t>
  </si>
  <si>
    <t xml:space="preserve">2/19/2019</t>
  </si>
  <si>
    <t xml:space="preserve">16:23</t>
  </si>
  <si>
    <t xml:space="preserve">12:12</t>
  </si>
  <si>
    <t xml:space="preserve">19:33</t>
  </si>
  <si>
    <t xml:space="preserve">14:28</t>
  </si>
  <si>
    <t xml:space="preserve">17:54</t>
  </si>
  <si>
    <t xml:space="preserve">12:25</t>
  </si>
  <si>
    <t xml:space="preserve">12:52</t>
  </si>
  <si>
    <t xml:space="preserve">19:50</t>
  </si>
  <si>
    <t xml:space="preserve">15:32</t>
  </si>
  <si>
    <t xml:space="preserve">13:19</t>
  </si>
  <si>
    <t xml:space="preserve">13:37</t>
  </si>
  <si>
    <t xml:space="preserve">14:55</t>
  </si>
  <si>
    <t xml:space="preserve">12:31</t>
  </si>
  <si>
    <t xml:space="preserve">10:26</t>
  </si>
  <si>
    <t xml:space="preserve">20:18</t>
  </si>
  <si>
    <t xml:space="preserve">20:04</t>
  </si>
  <si>
    <t xml:space="preserve">13:38</t>
  </si>
  <si>
    <t xml:space="preserve">17:30</t>
  </si>
  <si>
    <t xml:space="preserve">15:28</t>
  </si>
  <si>
    <t xml:space="preserve">19:07</t>
  </si>
  <si>
    <t xml:space="preserve">18:55</t>
  </si>
  <si>
    <t xml:space="preserve">19:36</t>
  </si>
  <si>
    <t xml:space="preserve">10:57</t>
  </si>
  <si>
    <t xml:space="preserve">17:13</t>
  </si>
  <si>
    <t xml:space="preserve">13:57</t>
  </si>
  <si>
    <t xml:space="preserve">13:53</t>
  </si>
  <si>
    <t xml:space="preserve">16:53</t>
  </si>
  <si>
    <t xml:space="preserve">16:51</t>
  </si>
  <si>
    <t xml:space="preserve">15:37</t>
  </si>
  <si>
    <t xml:space="preserve">20:15</t>
  </si>
  <si>
    <t xml:space="preserve">19:35</t>
  </si>
  <si>
    <t xml:space="preserve">15:42</t>
  </si>
  <si>
    <t xml:space="preserve">14:11</t>
  </si>
  <si>
    <t xml:space="preserve">17:58</t>
  </si>
  <si>
    <t xml:space="preserve">11:02</t>
  </si>
  <si>
    <t xml:space="preserve">15:09</t>
  </si>
  <si>
    <t xml:space="preserve">13:47</t>
  </si>
  <si>
    <t xml:space="preserve">16:59</t>
  </si>
  <si>
    <t xml:space="preserve">14:15</t>
  </si>
  <si>
    <t xml:space="preserve">15:19</t>
  </si>
  <si>
    <t xml:space="preserve">18:33</t>
  </si>
  <si>
    <t xml:space="preserve">12:10</t>
  </si>
  <si>
    <t xml:space="preserve">11:40</t>
  </si>
  <si>
    <t xml:space="preserve">16:54</t>
  </si>
  <si>
    <t xml:space="preserve">15:25</t>
  </si>
  <si>
    <t xml:space="preserve">20:47</t>
  </si>
  <si>
    <t xml:space="preserve">18:20</t>
  </si>
  <si>
    <t xml:space="preserve">11:48</t>
  </si>
  <si>
    <t xml:space="preserve">14:14</t>
  </si>
  <si>
    <t xml:space="preserve">11:17</t>
  </si>
  <si>
    <t xml:space="preserve">12:40</t>
  </si>
  <si>
    <t xml:space="preserve">17:53</t>
  </si>
  <si>
    <t xml:space="preserve">16:36</t>
  </si>
  <si>
    <t xml:space="preserve">10:48</t>
  </si>
  <si>
    <t xml:space="preserve">18:05</t>
  </si>
  <si>
    <t xml:space="preserve">12:07</t>
  </si>
  <si>
    <t xml:space="preserve">19:49</t>
  </si>
  <si>
    <t xml:space="preserve">15:52</t>
  </si>
  <si>
    <t xml:space="preserve">20:46</t>
  </si>
  <si>
    <t xml:space="preserve">10:34</t>
  </si>
  <si>
    <t xml:space="preserve">13:55</t>
  </si>
  <si>
    <t xml:space="preserve">11:43</t>
  </si>
  <si>
    <t xml:space="preserve">16:03</t>
  </si>
  <si>
    <t xml:space="preserve">20:03</t>
  </si>
  <si>
    <t xml:space="preserve">19:41</t>
  </si>
  <si>
    <t xml:space="preserve">18:04</t>
  </si>
  <si>
    <t xml:space="preserve">10:31</t>
  </si>
  <si>
    <t xml:space="preserve">13:28</t>
  </si>
  <si>
    <t xml:space="preserve">17:16</t>
  </si>
  <si>
    <t xml:space="preserve">18:43</t>
  </si>
  <si>
    <t xml:space="preserve">10:30</t>
  </si>
  <si>
    <t xml:space="preserve">20:40</t>
  </si>
  <si>
    <t xml:space="preserve">12:08</t>
  </si>
  <si>
    <t xml:space="preserve">17:45</t>
  </si>
  <si>
    <t xml:space="preserve">10:28</t>
  </si>
  <si>
    <t xml:space="preserve">10:49</t>
  </si>
  <si>
    <t xml:space="preserve">12:34</t>
  </si>
  <si>
    <t xml:space="preserve">18:51</t>
  </si>
  <si>
    <t xml:space="preserve">19:38</t>
  </si>
  <si>
    <t xml:space="preserve">12:32</t>
  </si>
  <si>
    <t xml:space="preserve">10:33</t>
  </si>
  <si>
    <t xml:space="preserve">19:55</t>
  </si>
  <si>
    <t xml:space="preserve">14:33</t>
  </si>
  <si>
    <t xml:space="preserve">13:54</t>
  </si>
  <si>
    <t xml:space="preserve">12:15</t>
  </si>
  <si>
    <t xml:space="preserve">12:37</t>
  </si>
  <si>
    <t xml:space="preserve">15:06</t>
  </si>
  <si>
    <t xml:space="preserve">15:58</t>
  </si>
  <si>
    <t xml:space="preserve">14:03</t>
  </si>
  <si>
    <t xml:space="preserve">16:38</t>
  </si>
  <si>
    <t xml:space="preserve">11:07</t>
  </si>
  <si>
    <t xml:space="preserve">12:23</t>
  </si>
  <si>
    <t xml:space="preserve">14:13</t>
  </si>
  <si>
    <t xml:space="preserve">19:11</t>
  </si>
  <si>
    <t xml:space="preserve">18:53</t>
  </si>
  <si>
    <t xml:space="preserve">14:22</t>
  </si>
  <si>
    <t xml:space="preserve">10:06</t>
  </si>
  <si>
    <t xml:space="preserve">20:08</t>
  </si>
  <si>
    <t xml:space="preserve">12:56</t>
  </si>
  <si>
    <t xml:space="preserve">10:18</t>
  </si>
  <si>
    <t xml:space="preserve">11:45</t>
  </si>
  <si>
    <t xml:space="preserve">16:08</t>
  </si>
  <si>
    <t xml:space="preserve">12:24</t>
  </si>
  <si>
    <t xml:space="preserve">19:51</t>
  </si>
  <si>
    <t xml:space="preserve">18:10</t>
  </si>
  <si>
    <t xml:space="preserve">15:27</t>
  </si>
  <si>
    <t xml:space="preserve">16:04</t>
  </si>
  <si>
    <t xml:space="preserve">14:41</t>
  </si>
  <si>
    <t xml:space="preserve">14:19</t>
  </si>
  <si>
    <t xml:space="preserve">14:08</t>
  </si>
  <si>
    <t xml:space="preserve">11:29</t>
  </si>
  <si>
    <t xml:space="preserve">12:16</t>
  </si>
  <si>
    <t xml:space="preserve">15:29</t>
  </si>
  <si>
    <t xml:space="preserve">14:58</t>
  </si>
  <si>
    <t xml:space="preserve">11:52</t>
  </si>
  <si>
    <t xml:space="preserve">17:46</t>
  </si>
  <si>
    <t xml:space="preserve">14:45</t>
  </si>
  <si>
    <t xml:space="preserve">11:39</t>
  </si>
  <si>
    <t xml:space="preserve">13:06</t>
  </si>
  <si>
    <t xml:space="preserve">20:43</t>
  </si>
  <si>
    <t xml:space="preserve">16:34</t>
  </si>
  <si>
    <t xml:space="preserve">13:10</t>
  </si>
  <si>
    <t xml:space="preserve">17:10</t>
  </si>
  <si>
    <t xml:space="preserve">10:22</t>
  </si>
  <si>
    <t xml:space="preserve">19:29</t>
  </si>
  <si>
    <t xml:space="preserve">14:27</t>
  </si>
  <si>
    <t xml:space="preserve">12:22</t>
  </si>
  <si>
    <t xml:space="preserve">11:59</t>
  </si>
  <si>
    <t xml:space="preserve">17:59</t>
  </si>
  <si>
    <t xml:space="preserve">12:51</t>
  </si>
  <si>
    <t xml:space="preserve">13:56</t>
  </si>
  <si>
    <t xml:space="preserve">19:45</t>
  </si>
  <si>
    <t xml:space="preserve">16:18</t>
  </si>
  <si>
    <t xml:space="preserve">18:57</t>
  </si>
  <si>
    <t xml:space="preserve">11:18</t>
  </si>
  <si>
    <t xml:space="preserve">14:06</t>
  </si>
  <si>
    <t xml:space="preserve">20:13</t>
  </si>
  <si>
    <t xml:space="preserve">15:14</t>
  </si>
  <si>
    <t xml:space="preserve">16:06</t>
  </si>
  <si>
    <t xml:space="preserve">12:47</t>
  </si>
  <si>
    <t xml:space="preserve">20:42</t>
  </si>
  <si>
    <t xml:space="preserve">20:10</t>
  </si>
  <si>
    <t xml:space="preserve">14:24</t>
  </si>
  <si>
    <t xml:space="preserve">11:42</t>
  </si>
  <si>
    <t xml:space="preserve">17:49</t>
  </si>
  <si>
    <t xml:space="preserve">15:33</t>
  </si>
  <si>
    <t xml:space="preserve">10:38</t>
  </si>
  <si>
    <t xml:space="preserve">12:39</t>
  </si>
  <si>
    <t xml:space="preserve">14:26</t>
  </si>
  <si>
    <t xml:space="preserve">12:41</t>
  </si>
  <si>
    <t xml:space="preserve">15:20</t>
  </si>
  <si>
    <t xml:space="preserve">16:33</t>
  </si>
  <si>
    <t xml:space="preserve">20:44</t>
  </si>
  <si>
    <t xml:space="preserve">11:16</t>
  </si>
  <si>
    <t xml:space="preserve">12:30</t>
  </si>
  <si>
    <t xml:space="preserve">17:48</t>
  </si>
  <si>
    <t xml:space="preserve">20:30</t>
  </si>
  <si>
    <t xml:space="preserve">13:59</t>
  </si>
  <si>
    <t xml:space="preserve">11:58</t>
  </si>
  <si>
    <t xml:space="preserve">16:50</t>
  </si>
  <si>
    <t xml:space="preserve">18:02</t>
  </si>
  <si>
    <t xml:space="preserve">17:52</t>
  </si>
  <si>
    <t xml:space="preserve">20:32</t>
  </si>
  <si>
    <t xml:space="preserve">16:09</t>
  </si>
  <si>
    <t xml:space="preserve">11:33</t>
  </si>
  <si>
    <t xml:space="preserve">15:15</t>
  </si>
  <si>
    <t xml:space="preserve">20:06</t>
  </si>
  <si>
    <t xml:space="preserve">16:26</t>
  </si>
  <si>
    <t xml:space="preserve">18:38</t>
  </si>
  <si>
    <t xml:space="preserve">16:45</t>
  </si>
  <si>
    <t xml:space="preserve">18:41</t>
  </si>
  <si>
    <t xml:space="preserve">17:12</t>
  </si>
  <si>
    <t xml:space="preserve">16:32</t>
  </si>
  <si>
    <t xml:space="preserve">10:10</t>
  </si>
  <si>
    <t xml:space="preserve">10:05</t>
  </si>
  <si>
    <t xml:space="preserve">18:15</t>
  </si>
  <si>
    <t xml:space="preserve">11:01</t>
  </si>
  <si>
    <t xml:space="preserve">15:21</t>
  </si>
  <si>
    <t xml:space="preserve">16:16</t>
  </si>
  <si>
    <t xml:space="preserve">11:05</t>
  </si>
  <si>
    <t xml:space="preserve">19:31</t>
  </si>
  <si>
    <t xml:space="preserve">18:35</t>
  </si>
  <si>
    <t xml:space="preserve">13:51</t>
  </si>
  <si>
    <t xml:space="preserve">12:35</t>
  </si>
  <si>
    <t xml:space="preserve">11:55</t>
  </si>
  <si>
    <t xml:space="preserve">15:11</t>
  </si>
  <si>
    <t xml:space="preserve">14:48</t>
  </si>
  <si>
    <t xml:space="preserve">12:36</t>
  </si>
  <si>
    <t xml:space="preserve">13:35</t>
  </si>
  <si>
    <t xml:space="preserve">15:45</t>
  </si>
  <si>
    <t xml:space="preserve">14:25</t>
  </si>
  <si>
    <t xml:space="preserve">15:18</t>
  </si>
  <si>
    <t xml:space="preserve">10:03</t>
  </si>
  <si>
    <t xml:space="preserve">13:14</t>
  </si>
  <si>
    <t xml:space="preserve">16:35</t>
  </si>
  <si>
    <t xml:space="preserve">20:57</t>
  </si>
  <si>
    <t xml:space="preserve">13:50</t>
  </si>
  <si>
    <t xml:space="preserve">17:35</t>
  </si>
  <si>
    <t xml:space="preserve">17:56</t>
  </si>
  <si>
    <t xml:space="preserve">10:44</t>
  </si>
  <si>
    <t xml:space="preserve">10:09</t>
  </si>
  <si>
    <t xml:space="preserve">10:58</t>
  </si>
  <si>
    <t xml:space="preserve">13:49</t>
  </si>
  <si>
    <t xml:space="preserve">11:10</t>
  </si>
  <si>
    <t xml:space="preserve">13:33</t>
  </si>
  <si>
    <t xml:space="preserve">14:05</t>
  </si>
  <si>
    <t xml:space="preserve">16:27</t>
  </si>
  <si>
    <t xml:space="preserve">15:23</t>
  </si>
  <si>
    <t xml:space="preserve">18:18</t>
  </si>
  <si>
    <t xml:space="preserve">15:17</t>
  </si>
  <si>
    <t xml:space="preserve">19:12</t>
  </si>
  <si>
    <t xml:space="preserve">Data Cleaning Log</t>
  </si>
  <si>
    <t xml:space="preserve">All checks are formulas, so they recalculate by themselves.</t>
  </si>
  <si>
    <t xml:space="preserve">#</t>
  </si>
  <si>
    <t xml:space="preserve">Check</t>
  </si>
  <si>
    <t xml:space="preserve">Result</t>
  </si>
  <si>
    <t xml:space="preserve">Action taken</t>
  </si>
  <si>
    <t xml:space="preserve">Rows imported (Raw_Data)</t>
  </si>
  <si>
    <t xml:space="preserve">Dataset loaded from CSV with 17 columns.</t>
  </si>
  <si>
    <t xml:space="preserve">Duplicate Invoice IDs</t>
  </si>
  <si>
    <t xml:space="preserve">No duplicates found, so nothing removed.</t>
  </si>
  <si>
    <t xml:space="preserve">Blank cells in data</t>
  </si>
  <si>
    <t xml:space="preserve">No blanks found.</t>
  </si>
  <si>
    <t xml:space="preserve">Dates stored as text (before cleaning)</t>
  </si>
  <si>
    <t xml:space="preserve">Converted from text m/d/yyyy to real Excel dates.</t>
  </si>
  <si>
    <t xml:space="preserve">Times stored as text (before cleaning)</t>
  </si>
  <si>
    <t xml:space="preserve">Converted from text hh:mm to real Excel times.</t>
  </si>
  <si>
    <t xml:space="preserve">Dates stored as text (after cleaning)</t>
  </si>
  <si>
    <t xml:space="preserve">Should be 0.</t>
  </si>
  <si>
    <t xml:space="preserve">Rows where Total &lt;&gt; Unit price x Qty x 1.05</t>
  </si>
  <si>
    <t xml:space="preserve">0 means Total matches price x quantity + 5% tax.</t>
  </si>
  <si>
    <t xml:space="preserve">Ratings outside 1-10</t>
  </si>
  <si>
    <t xml:space="preserve">0 means all ratings are between 1 and 10.</t>
  </si>
  <si>
    <t xml:space="preserve">Rows in Clean_Data</t>
  </si>
  <si>
    <t xml:space="preserve">Should equal rows imported.</t>
  </si>
  <si>
    <t xml:space="preserve">Other steps</t>
  </si>
  <si>
    <t xml:space="preserve">1. Removed 'Gross margin percentage' from Clean_Data because it is 4.76 in every row (still there in Raw_Data).</t>
  </si>
  <si>
    <t xml:space="preserve">2. Changed headings to Title Case and renamed the long rating column to just Rating.</t>
  </si>
  <si>
    <t xml:space="preserve">3. Added columns Q to V with formulas: Month, Week No, Hour, Time Slot, Order Size, Rating Band.</t>
  </si>
  <si>
    <t xml:space="preserve">Branch Code</t>
  </si>
  <si>
    <t xml:space="preserve">City Filter</t>
  </si>
  <si>
    <t xml:space="preserve">Product Filter</t>
  </si>
  <si>
    <t xml:space="preserve">Month Filter</t>
  </si>
  <si>
    <t xml:space="preserve">Setting</t>
  </si>
  <si>
    <t xml:space="preserve">Value</t>
  </si>
  <si>
    <t xml:space="preserve">Note</t>
  </si>
  <si>
    <t xml:space="preserve">Earliest sale date</t>
  </si>
  <si>
    <t xml:space="preserve">Formula - start of week numbering</t>
  </si>
  <si>
    <t xml:space="preserve">Large order: Total &gt;=</t>
  </si>
  <si>
    <t xml:space="preserve">Assumption (analyst choice). 75th percentile of Total is about 471</t>
  </si>
  <si>
    <t xml:space="preserve">Medium order: Total &gt;=</t>
  </si>
  <si>
    <t xml:space="preserve">Assumption. Median of Total is about 254</t>
  </si>
  <si>
    <t xml:space="preserve">Morning ends (hour &lt;)</t>
  </si>
  <si>
    <t xml:space="preserve">Assumption</t>
  </si>
  <si>
    <t xml:space="preserve">Afternoon ends (hour &lt;)</t>
  </si>
  <si>
    <t xml:space="preserve">Assumption; evening = 17:00 onward</t>
  </si>
  <si>
    <t xml:space="preserve">Rating Excellent &gt;=</t>
  </si>
  <si>
    <t xml:space="preserve">Assumption (ratings run 4.0 to 10.0)</t>
  </si>
  <si>
    <t xml:space="preserve">Rating Good &gt;=</t>
  </si>
  <si>
    <t xml:space="preserve">Rating Average &gt;=</t>
  </si>
  <si>
    <t xml:space="preserve">Assumption; below this = Poor</t>
  </si>
  <si>
    <t xml:space="preserve">Lists are used for dropdowns and lookups. Yellow cells are settings you can change.</t>
  </si>
  <si>
    <t xml:space="preserve">Performance band (+/-)</t>
  </si>
  <si>
    <t xml:space="preserve">Assumption: within +/-5% of the average product line = On par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</si>
</sst>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0.00"/>
    <numFmt numFmtId="168" formatCode="0.0%"/>
    <numFmt numFmtId="169" formatCode="0&quot;:00&quot;"/>
    <numFmt numFmtId="170" formatCode="0.0"/>
    <numFmt numFmtId="171" formatCode="dd\-mmm\-yyyy"/>
    <numFmt numFmtId="172" formatCode="hh:mm"/>
    <numFmt numFmtId="173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F6B73"/>
      <name val="Arial"/>
      <family val="0"/>
      <charset val="1"/>
    </font>
    <font>
      <b val="true"/>
      <sz val="12"/>
      <color rgb="FF154B52"/>
      <name val="Arial"/>
      <family val="0"/>
      <charset val="1"/>
    </font>
    <font>
      <sz val="10"/>
      <color rgb="FF2231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9"/>
      <color rgb="FF154B5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54B52"/>
      <name val="Arial"/>
      <family val="0"/>
      <charset val="1"/>
    </font>
    <font>
      <sz val="11"/>
      <color rgb="FF2231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2313A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4B52"/>
        <bgColor rgb="FF22313A"/>
      </patternFill>
    </fill>
    <fill>
      <patternFill patternType="solid">
        <fgColor rgb="FF1F6F78"/>
        <bgColor rgb="FF008080"/>
      </patternFill>
    </fill>
    <fill>
      <patternFill patternType="solid">
        <fgColor rgb="FFFFF2B3"/>
        <bgColor rgb="FFE8F1F2"/>
      </patternFill>
    </fill>
    <fill>
      <patternFill patternType="solid">
        <fgColor rgb="FFE8F1F2"/>
        <bgColor rgb="FFE3E8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3D6"/>
      </left>
      <right style="thin">
        <color rgb="FFC8D3D6"/>
      </right>
      <top style="thin">
        <color rgb="FFC8D3D6"/>
      </top>
      <bottom style="thin">
        <color rgb="FFC8D3D6"/>
      </bottom>
      <diagonal/>
    </border>
    <border diagonalUp="false" diagonalDown="false">
      <left style="thin">
        <color rgb="FFC8D3D6"/>
      </left>
      <right/>
      <top style="thin">
        <color rgb="FFC8D3D6"/>
      </top>
      <bottom style="thin">
        <color rgb="FFC8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B3261E"/>
        <sz val="20"/>
      </font>
    </dxf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1B7F3B"/>
      </font>
    </dxf>
    <dxf>
      <fill>
        <patternFill>
          <bgColor rgb="FFC6E7C9"/>
        </patternFill>
      </fill>
    </dxf>
    <dxf>
      <fill>
        <patternFill>
          <bgColor rgb="FFF6CFC9"/>
        </patternFill>
      </fill>
    </dxf>
    <dxf>
      <fill>
        <patternFill>
          <bgColor rgb="FFFFF2B3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313A"/>
          <bgColor rgb="FF000000"/>
        </patternFill>
      </fill>
    </dxf>
    <dxf>
      <fill>
        <patternFill patternType="solid">
          <fgColor rgb="FFCFE3F3"/>
          <bgColor rgb="FF000000"/>
        </patternFill>
      </fill>
    </dxf>
    <dxf>
      <fill>
        <patternFill patternType="solid">
          <fgColor rgb="FFC6E7C9"/>
          <bgColor rgb="FF000000"/>
        </patternFill>
      </fill>
    </dxf>
    <dxf>
      <fill>
        <patternFill patternType="solid">
          <fgColor rgb="FFF6CFC9"/>
          <bgColor rgb="FF000000"/>
        </patternFill>
      </fill>
    </dxf>
    <dxf>
      <fill>
        <patternFill>
          <bgColor rgb="FFCFE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1F6F78"/>
      <rgbColor rgb="FFD9D9D9"/>
      <rgbColor rgb="FF878787"/>
      <rgbColor rgb="FF6FB1B8"/>
      <rgbColor rgb="FF993366"/>
      <rgbColor rgb="FFFFF2B3"/>
      <rgbColor rgb="FFE8F1F2"/>
      <rgbColor rgb="FF660066"/>
      <rgbColor rgb="FFFF8080"/>
      <rgbColor rgb="FF0066CC"/>
      <rgbColor rgb="FFC8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3F3"/>
      <rgbColor rgb="FFC6E7C9"/>
      <rgbColor rgb="FFE3E8EA"/>
      <rgbColor rgb="FF99CCFF"/>
      <rgbColor rgb="FFFF99CC"/>
      <rgbColor rgb="FFCC99FF"/>
      <rgbColor rgb="FFF6CFC9"/>
      <rgbColor rgb="FF4F81BD"/>
      <rgbColor rgb="FF33CCCC"/>
      <rgbColor rgb="FF99CC00"/>
      <rgbColor rgb="FFFFCC00"/>
      <rgbColor rgb="FFE3A857"/>
      <rgbColor rgb="FFFF6600"/>
      <rgbColor rgb="FF5F6B73"/>
      <rgbColor rgb="FF9AA5AB"/>
      <rgbColor rgb="FF154B52"/>
      <rgbColor rgb="FF2E7D32"/>
      <rgbColor rgb="FF003300"/>
      <rgbColor rgb="FF333300"/>
      <rgbColor rgb="FFB3261E"/>
      <rgbColor rgb="FF993366"/>
      <rgbColor rgb="FF333399"/>
      <rgbColor rgb="FF22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Chart_Data!C9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Chart_Data!$B$10:$B$15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Chart_Data!$C$10:$C$15</c:f>
              <c:numCache>
                <c:formatCode>#,##0</c:formatCode>
                <c:ptCount val="6"/>
                <c:pt idx="0">
                  <c:v>56144.844</c:v>
                </c:pt>
                <c:pt idx="1">
                  <c:v>55122.8265</c:v>
                </c:pt>
                <c:pt idx="2">
                  <c:v>54337.5315</c:v>
                </c:pt>
                <c:pt idx="3">
                  <c:v>54305.895</c:v>
                </c:pt>
                <c:pt idx="4">
                  <c:v>53861.913</c:v>
                </c:pt>
                <c:pt idx="5">
                  <c:v>49193.739</c:v>
                </c:pt>
              </c:numCache>
            </c:numRef>
          </c:val>
        </c:ser>
        <c:gapWidth val="40"/>
        <c:overlap val="0"/>
        <c:axId val="52026613"/>
        <c:axId val="15431404"/>
      </c:barChart>
      <c:catAx>
        <c:axId val="5202661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31404"/>
        <c:crosses val="autoZero"/>
        <c:auto val="1"/>
        <c:lblAlgn val="ctr"/>
        <c:lblOffset val="100"/>
        <c:noMultiLvlLbl val="0"/>
      </c:catAx>
      <c:valAx>
        <c:axId val="1543140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26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Sales Trend (timeline)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Chart_Data!C18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78"/>
            </a:solidFill>
            <a:ln w="28080">
              <a:solidFill>
                <a:srgbClr val="1f6f78"/>
              </a:solidFill>
              <a:round/>
            </a:ln>
          </c:spPr>
          <c:marker>
            <c:symbol val="circle"/>
            <c:size val="6"/>
            <c:spPr>
              <a:solidFill>
                <a:srgbClr val="1f6f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Chart_Data!$B$19:$B$31</c:f>
              <c:strCache>
                <c:ptCount val="13"/>
                <c:pt idx="0">
                  <c:v>1 Jan</c:v>
                </c:pt>
                <c:pt idx="1">
                  <c:v>8 Jan</c:v>
                </c:pt>
                <c:pt idx="2">
                  <c:v>15 Jan</c:v>
                </c:pt>
                <c:pt idx="3">
                  <c:v>22 Jan</c:v>
                </c:pt>
                <c:pt idx="4">
                  <c:v>29 Jan</c:v>
                </c:pt>
                <c:pt idx="5">
                  <c:v>5 Feb</c:v>
                </c:pt>
                <c:pt idx="6">
                  <c:v>12 Feb</c:v>
                </c:pt>
                <c:pt idx="7">
                  <c:v>19 Feb</c:v>
                </c:pt>
                <c:pt idx="8">
                  <c:v>26 Feb</c:v>
                </c:pt>
                <c:pt idx="9">
                  <c:v>5 Mar</c:v>
                </c:pt>
                <c:pt idx="10">
                  <c:v>12 Mar</c:v>
                </c:pt>
                <c:pt idx="11">
                  <c:v>19 Mar</c:v>
                </c:pt>
                <c:pt idx="12">
                  <c:v>26 Mar</c:v>
                </c:pt>
              </c:strCache>
            </c:strRef>
          </c:cat>
          <c:val>
            <c:numRef>
              <c:f>Chart_Data!$C$19:$C$31</c:f>
              <c:numCache>
                <c:formatCode>#,##0</c:formatCode>
                <c:ptCount val="13"/>
                <c:pt idx="0">
                  <c:v>20377.6335</c:v>
                </c:pt>
                <c:pt idx="1">
                  <c:v>25593.5715</c:v>
                </c:pt>
                <c:pt idx="2">
                  <c:v>27118.8435</c:v>
                </c:pt>
                <c:pt idx="3">
                  <c:v>31894.4955</c:v>
                </c:pt>
                <c:pt idx="4">
                  <c:v>25800.2325</c:v>
                </c:pt>
                <c:pt idx="5">
                  <c:v>29204.49</c:v>
                </c:pt>
                <c:pt idx="6">
                  <c:v>22517.4705</c:v>
                </c:pt>
                <c:pt idx="7">
                  <c:v>20639.871</c:v>
                </c:pt>
                <c:pt idx="8">
                  <c:v>28306.9185</c:v>
                </c:pt>
                <c:pt idx="9">
                  <c:v>27485.6505</c:v>
                </c:pt>
                <c:pt idx="10">
                  <c:v>22321.803</c:v>
                </c:pt>
                <c:pt idx="11">
                  <c:v>26100.732</c:v>
                </c:pt>
                <c:pt idx="12">
                  <c:v>15605.037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850947"/>
        <c:axId val="53586084"/>
      </c:lineChart>
      <c:catAx>
        <c:axId val="928509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86084"/>
        <c:crosses val="autoZero"/>
        <c:auto val="1"/>
        <c:lblAlgn val="ctr"/>
        <c:lblOffset val="100"/>
        <c:noMultiLvlLbl val="0"/>
      </c:catAx>
      <c:valAx>
        <c:axId val="5358608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8e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509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Chart_Data!C35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6f7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fb1b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3a85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Chart_Data!$B$36:$B$38</c:f>
              <c:strCache>
                <c:ptCount val="3"/>
                <c:pt idx="0">
                  <c:v>Cash</c:v>
                </c:pt>
                <c:pt idx="1">
                  <c:v>Ewallet</c:v>
                </c:pt>
                <c:pt idx="2">
                  <c:v>Credit card</c:v>
                </c:pt>
              </c:strCache>
            </c:strRef>
          </c:cat>
          <c:val>
            <c:numRef>
              <c:f>Chart_Data!$C$36:$C$38</c:f>
              <c:numCache>
                <c:formatCode>#,##0</c:formatCode>
                <c:ptCount val="3"/>
                <c:pt idx="0">
                  <c:v>112206.57</c:v>
                </c:pt>
                <c:pt idx="1">
                  <c:v>109993.107</c:v>
                </c:pt>
                <c:pt idx="2">
                  <c:v>100767.072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Branch /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Chart_Data!$B$42:$B$44</c:f>
              <c:strCache>
                <c:ptCount val="3"/>
                <c:pt idx="0">
                  <c:v>Yangon</c:v>
                </c:pt>
                <c:pt idx="1">
                  <c:v>Mandalay</c:v>
                </c:pt>
                <c:pt idx="2">
                  <c:v>Naypyitaw</c:v>
                </c:pt>
              </c:strCache>
            </c:strRef>
          </c:cat>
          <c:val>
            <c:numRef>
              <c:f>Chart_Data!$C$42:$C$44</c:f>
              <c:numCache>
                <c:formatCode>#,##0</c:formatCode>
                <c:ptCount val="3"/>
                <c:pt idx="0">
                  <c:v>106200.3705</c:v>
                </c:pt>
                <c:pt idx="1">
                  <c:v>106197.672</c:v>
                </c:pt>
                <c:pt idx="2">
                  <c:v>110568.7065</c:v>
                </c:pt>
              </c:numCache>
            </c:numRef>
          </c:val>
        </c:ser>
        <c:gapWidth val="60"/>
        <c:overlap val="0"/>
        <c:axId val="4083038"/>
        <c:axId val="87864411"/>
      </c:barChart>
      <c:catAx>
        <c:axId val="4083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4411"/>
        <c:crosses val="autoZero"/>
        <c:auto val="1"/>
        <c:lblAlgn val="ctr"/>
        <c:lblOffset val="100"/>
        <c:noMultiLvlLbl val="0"/>
      </c:catAx>
      <c:valAx>
        <c:axId val="87864411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30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Chart_Data!$B$48:$B$58</c:f>
              <c:strCache>
                <c:ptCount val="11"/>
                <c:pt idx="0">
                  <c:v>10:00</c:v>
                </c:pt>
                <c:pt idx="1">
                  <c:v>11:00</c:v>
                </c:pt>
                <c:pt idx="2">
                  <c:v>12:00</c:v>
                </c:pt>
                <c:pt idx="3">
                  <c:v>13:00</c:v>
                </c:pt>
                <c:pt idx="4">
                  <c:v>14:00</c:v>
                </c:pt>
                <c:pt idx="5">
                  <c:v>15:00</c:v>
                </c:pt>
                <c:pt idx="6">
                  <c:v>16:00</c:v>
                </c:pt>
                <c:pt idx="7">
                  <c:v>17:00</c:v>
                </c:pt>
                <c:pt idx="8">
                  <c:v>18:00</c:v>
                </c:pt>
                <c:pt idx="9">
                  <c:v>19:00</c:v>
                </c:pt>
                <c:pt idx="10">
                  <c:v>20:00</c:v>
                </c:pt>
              </c:strCache>
            </c:strRef>
          </c:cat>
          <c:val>
            <c:numRef>
              <c:f>Chart_Data!$C$48:$C$58</c:f>
              <c:numCache>
                <c:formatCode>#,##0</c:formatCode>
                <c:ptCount val="11"/>
                <c:pt idx="0">
                  <c:v>31421.481</c:v>
                </c:pt>
                <c:pt idx="1">
                  <c:v>30377.3295</c:v>
                </c:pt>
                <c:pt idx="2">
                  <c:v>26065.8825</c:v>
                </c:pt>
                <c:pt idx="3">
                  <c:v>34723.227</c:v>
                </c:pt>
                <c:pt idx="4">
                  <c:v>30828.399</c:v>
                </c:pt>
                <c:pt idx="5">
                  <c:v>31179.5085</c:v>
                </c:pt>
                <c:pt idx="6">
                  <c:v>25226.3235</c:v>
                </c:pt>
                <c:pt idx="7">
                  <c:v>24445.218</c:v>
                </c:pt>
                <c:pt idx="8">
                  <c:v>26030.34</c:v>
                </c:pt>
                <c:pt idx="9">
                  <c:v>39699.513</c:v>
                </c:pt>
                <c:pt idx="10">
                  <c:v>22969.527</c:v>
                </c:pt>
              </c:numCache>
            </c:numRef>
          </c:val>
        </c:ser>
        <c:gapWidth val="40"/>
        <c:overlap val="0"/>
        <c:axId val="37101364"/>
        <c:axId val="66714402"/>
      </c:barChart>
      <c:catAx>
        <c:axId val="37101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14402"/>
        <c:crosses val="autoZero"/>
        <c:auto val="1"/>
        <c:lblAlgn val="ctr"/>
        <c:lblOffset val="100"/>
        <c:noMultiLvlLbl val="0"/>
      </c:catAx>
      <c:valAx>
        <c:axId val="66714402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01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753840</xdr:colOff>
      <xdr:row>24</xdr:row>
      <xdr:rowOff>68400</xdr:rowOff>
    </xdr:to>
    <xdr:graphicFrame>
      <xdr:nvGraphicFramePr>
        <xdr:cNvPr id="0" name="Chart 1"/>
        <xdr:cNvGraphicFramePr/>
      </xdr:nvGraphicFramePr>
      <xdr:xfrm>
        <a:off x="141120" y="241920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753480</xdr:colOff>
      <xdr:row>24</xdr:row>
      <xdr:rowOff>68400</xdr:rowOff>
    </xdr:to>
    <xdr:graphicFrame>
      <xdr:nvGraphicFramePr>
        <xdr:cNvPr id="1" name="Chart 2"/>
        <xdr:cNvGraphicFramePr/>
      </xdr:nvGraphicFramePr>
      <xdr:xfrm>
        <a:off x="6061680" y="241920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753840</xdr:colOff>
      <xdr:row>40</xdr:row>
      <xdr:rowOff>68760</xdr:rowOff>
    </xdr:to>
    <xdr:graphicFrame>
      <xdr:nvGraphicFramePr>
        <xdr:cNvPr id="2" name="Chart 3"/>
        <xdr:cNvGraphicFramePr/>
      </xdr:nvGraphicFramePr>
      <xdr:xfrm>
        <a:off x="141120" y="546732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753480</xdr:colOff>
      <xdr:row>40</xdr:row>
      <xdr:rowOff>68760</xdr:rowOff>
    </xdr:to>
    <xdr:graphicFrame>
      <xdr:nvGraphicFramePr>
        <xdr:cNvPr id="3" name="Chart 4"/>
        <xdr:cNvGraphicFramePr/>
      </xdr:nvGraphicFramePr>
      <xdr:xfrm>
        <a:off x="6061680" y="546732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753840</xdr:colOff>
      <xdr:row>56</xdr:row>
      <xdr:rowOff>68760</xdr:rowOff>
    </xdr:to>
    <xdr:graphicFrame>
      <xdr:nvGraphicFramePr>
        <xdr:cNvPr id="4" name="Chart 5"/>
        <xdr:cNvGraphicFramePr/>
      </xdr:nvGraphicFramePr>
      <xdr:xfrm>
        <a:off x="141120" y="851544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ales" displayName="tblSales" ref="A1:V1001" headerRowCount="1" totalsRowCount="0" totalsRowShown="0">
  <autoFilter ref="A1:V1001"/>
  <tableColumns count="22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Total"/>
    <tableColumn id="11" name="Date"/>
    <tableColumn id="12" name="Time"/>
    <tableColumn id="13" name="Payment"/>
    <tableColumn id="14" name="COGS"/>
    <tableColumn id="15" name="Gross Income"/>
    <tableColumn id="16" name="Rating"/>
    <tableColumn id="17" name="Month"/>
    <tableColumn id="18" name="Week No"/>
    <tableColumn id="19" name="Hour"/>
    <tableColumn id="20" name="Time Slot"/>
    <tableColumn id="21" name="Order Size"/>
    <tableColumn id="22" name="Rating 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6B73"/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2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4"/>
      <c r="D5" s="4"/>
      <c r="E5" s="4"/>
    </row>
    <row r="6" customFormat="false" ht="15" hidden="false" customHeight="true" outlineLevel="0" collapsed="false">
      <c r="B6" s="4" t="s">
        <v>4</v>
      </c>
      <c r="C6" s="4"/>
      <c r="D6" s="4"/>
      <c r="E6" s="4"/>
    </row>
    <row r="7" customFormat="false" ht="15" hidden="false" customHeight="true" outlineLevel="0" collapsed="false">
      <c r="B7" s="4" t="s">
        <v>5</v>
      </c>
      <c r="C7" s="4"/>
      <c r="D7" s="4"/>
      <c r="E7" s="4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5" t="s">
        <v>7</v>
      </c>
      <c r="C10" s="5" t="s">
        <v>8</v>
      </c>
      <c r="D10" s="5" t="s">
        <v>9</v>
      </c>
      <c r="E10" s="5" t="s">
        <v>10</v>
      </c>
    </row>
    <row r="11" customFormat="false" ht="30" hidden="false" customHeight="true" outlineLevel="0" collapsed="false">
      <c r="B11" s="6" t="s">
        <v>11</v>
      </c>
      <c r="C11" s="6" t="s">
        <v>12</v>
      </c>
      <c r="D11" s="6" t="s">
        <v>13</v>
      </c>
      <c r="E11" s="7" t="n">
        <v>15</v>
      </c>
    </row>
    <row r="12" customFormat="false" ht="30" hidden="false" customHeight="true" outlineLevel="0" collapsed="false">
      <c r="B12" s="6" t="s">
        <v>14</v>
      </c>
      <c r="C12" s="6" t="s">
        <v>15</v>
      </c>
      <c r="D12" s="6" t="s">
        <v>16</v>
      </c>
      <c r="E12" s="7" t="n">
        <v>25</v>
      </c>
    </row>
    <row r="13" customFormat="false" ht="30" hidden="false" customHeight="true" outlineLevel="0" collapsed="false">
      <c r="B13" s="6" t="s">
        <v>17</v>
      </c>
      <c r="C13" s="6" t="s">
        <v>18</v>
      </c>
      <c r="D13" s="6" t="s">
        <v>19</v>
      </c>
      <c r="E13" s="7" t="n">
        <v>30</v>
      </c>
    </row>
    <row r="14" customFormat="false" ht="30" hidden="false" customHeight="true" outlineLevel="0" collapsed="false">
      <c r="B14" s="6" t="s">
        <v>20</v>
      </c>
      <c r="C14" s="6" t="s">
        <v>21</v>
      </c>
      <c r="D14" s="6" t="s">
        <v>22</v>
      </c>
      <c r="E14" s="7" t="n">
        <v>35</v>
      </c>
    </row>
    <row r="15" customFormat="false" ht="30" hidden="false" customHeight="true" outlineLevel="0" collapsed="false">
      <c r="B15" s="6" t="s">
        <v>23</v>
      </c>
      <c r="C15" s="6" t="s">
        <v>24</v>
      </c>
      <c r="D15" s="6" t="s">
        <v>25</v>
      </c>
      <c r="E15" s="7" t="n">
        <v>40</v>
      </c>
    </row>
    <row r="16" customFormat="false" ht="30" hidden="false" customHeight="true" outlineLevel="0" collapsed="false">
      <c r="B16" s="6" t="s">
        <v>26</v>
      </c>
      <c r="C16" s="6" t="s">
        <v>27</v>
      </c>
      <c r="D16" s="6" t="s">
        <v>28</v>
      </c>
      <c r="E16" s="7" t="n">
        <v>45</v>
      </c>
    </row>
    <row r="17" customFormat="false" ht="30" hidden="false" customHeight="true" outlineLevel="0" collapsed="false">
      <c r="B17" s="6" t="s">
        <v>29</v>
      </c>
      <c r="C17" s="6" t="s">
        <v>30</v>
      </c>
      <c r="D17" s="6" t="s">
        <v>31</v>
      </c>
      <c r="E17" s="7" t="n">
        <v>20</v>
      </c>
    </row>
    <row r="19" customFormat="false" ht="15" hidden="false" customHeight="false" outlineLevel="0" collapsed="false">
      <c r="B19" s="3" t="s">
        <v>32</v>
      </c>
    </row>
    <row r="20" customFormat="false" ht="15" hidden="false" customHeight="true" outlineLevel="0" collapsed="false">
      <c r="B20" s="4" t="s">
        <v>33</v>
      </c>
      <c r="C20" s="4"/>
      <c r="D20" s="4"/>
      <c r="E20" s="4"/>
    </row>
    <row r="21" customFormat="false" ht="30" hidden="false" customHeight="true" outlineLevel="0" collapsed="false">
      <c r="B21" s="4" t="s">
        <v>34</v>
      </c>
      <c r="C21" s="4"/>
      <c r="D21" s="4"/>
      <c r="E21" s="4"/>
    </row>
    <row r="22" customFormat="false" ht="30" hidden="false" customHeight="true" outlineLevel="0" collapsed="false">
      <c r="B22" s="4" t="s">
        <v>35</v>
      </c>
      <c r="C22" s="4"/>
      <c r="D22" s="4"/>
      <c r="E22" s="4"/>
    </row>
    <row r="24" customFormat="false" ht="15" hidden="false" customHeight="false" outlineLevel="0" collapsed="false">
      <c r="B24" s="3" t="s">
        <v>36</v>
      </c>
    </row>
    <row r="25" customFormat="false" ht="30" hidden="false" customHeight="true" outlineLevel="0" collapsed="false">
      <c r="B25" s="4" t="s">
        <v>37</v>
      </c>
      <c r="C25" s="4"/>
      <c r="D25" s="4"/>
      <c r="E25" s="4"/>
    </row>
    <row r="26" customFormat="false" ht="30" hidden="false" customHeight="true" outlineLevel="0" collapsed="false">
      <c r="B26" s="4" t="s">
        <v>38</v>
      </c>
      <c r="C26" s="4"/>
      <c r="D26" s="4"/>
      <c r="E26" s="4"/>
    </row>
    <row r="27" customFormat="false" ht="15" hidden="false" customHeight="true" outlineLevel="0" collapsed="false">
      <c r="B27" s="4" t="s">
        <v>39</v>
      </c>
      <c r="C27" s="4"/>
      <c r="D27" s="4"/>
      <c r="E27" s="4"/>
    </row>
    <row r="28" customFormat="false" ht="30" hidden="false" customHeight="true" outlineLevel="0" collapsed="false">
      <c r="B28" s="4" t="s">
        <v>40</v>
      </c>
      <c r="C28" s="4"/>
      <c r="D28" s="4"/>
      <c r="E28" s="4"/>
    </row>
    <row r="30" customFormat="false" ht="15" hidden="false" customHeight="false" outlineLevel="0" collapsed="false">
      <c r="B30" s="3" t="s">
        <v>41</v>
      </c>
    </row>
    <row r="31" customFormat="false" ht="15" hidden="false" customHeight="true" outlineLevel="0" collapsed="false">
      <c r="B31" s="4" t="s">
        <v>42</v>
      </c>
      <c r="C31" s="4"/>
      <c r="D31" s="4"/>
      <c r="E31" s="4"/>
    </row>
    <row r="32" customFormat="false" ht="15" hidden="false" customHeight="true" outlineLevel="0" collapsed="false">
      <c r="B32" s="4" t="s">
        <v>43</v>
      </c>
      <c r="C32" s="4"/>
      <c r="D32" s="4"/>
      <c r="E32" s="4"/>
    </row>
    <row r="34" customFormat="false" ht="15" hidden="false" customHeight="false" outlineLevel="0" collapsed="false">
      <c r="B34" s="3" t="s">
        <v>44</v>
      </c>
    </row>
    <row r="35" customFormat="false" ht="30" hidden="false" customHeight="true" outlineLevel="0" collapsed="false">
      <c r="B35" s="4" t="s">
        <v>45</v>
      </c>
      <c r="C35" s="4"/>
      <c r="D35" s="4"/>
      <c r="E35" s="4"/>
    </row>
    <row r="36" customFormat="false" ht="15" hidden="false" customHeight="true" outlineLevel="0" collapsed="false">
      <c r="B36" s="4" t="s">
        <v>46</v>
      </c>
      <c r="C36" s="4"/>
      <c r="D36" s="4"/>
      <c r="E36" s="4"/>
    </row>
    <row r="37" customFormat="false" ht="30" hidden="false" customHeight="true" outlineLevel="0" collapsed="false">
      <c r="B37" s="4" t="s">
        <v>47</v>
      </c>
      <c r="C37" s="4"/>
      <c r="D37" s="4"/>
      <c r="E37" s="4"/>
    </row>
    <row r="38" customFormat="false" ht="15" hidden="false" customHeight="true" outlineLevel="0" collapsed="false">
      <c r="B38" s="4" t="s">
        <v>48</v>
      </c>
      <c r="C38" s="4"/>
      <c r="D38" s="4"/>
      <c r="E38" s="4"/>
    </row>
  </sheetData>
  <mergeCells count="17">
    <mergeCell ref="B1:F1"/>
    <mergeCell ref="B5:E5"/>
    <mergeCell ref="B6:E6"/>
    <mergeCell ref="B7:E7"/>
    <mergeCell ref="B20:E20"/>
    <mergeCell ref="B21:E21"/>
    <mergeCell ref="B22:E22"/>
    <mergeCell ref="B25:E25"/>
    <mergeCell ref="B26:E26"/>
    <mergeCell ref="B27:E27"/>
    <mergeCell ref="B28:E28"/>
    <mergeCell ref="B31:E31"/>
    <mergeCell ref="B32:E32"/>
    <mergeCell ref="B35:E35"/>
    <mergeCell ref="B36:E36"/>
    <mergeCell ref="B37:E37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true"/>
  </sheetPr>
  <dimension ref="B1:M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1" customFormat="false" ht="21.75" hidden="false" customHeight="true" outlineLevel="0" collapsed="false">
      <c r="B1" s="8" t="s">
        <v>49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21.75" hidden="false" customHeight="true" outlineLevel="0" collapsed="false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B3" s="9" t="str">
        <f aca="false">"Showing: "&amp;B5&amp;"  |  "&amp;E5&amp;"  |  "&amp;I5&amp;"   (Jan to Mar 2019, "&amp;TEXT(COUNTA(Clean_Data!A:A)-1,"#,##0")&amp;" invoices in the file)"</f>
        <v>Showing: All  |  All  |  All   (Jan to Mar 2019, 1,000 invoices in the file)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B4" s="10" t="s">
        <v>50</v>
      </c>
      <c r="C4" s="10"/>
      <c r="E4" s="10" t="s">
        <v>51</v>
      </c>
      <c r="F4" s="10"/>
      <c r="G4" s="10"/>
      <c r="I4" s="10" t="s">
        <v>52</v>
      </c>
      <c r="J4" s="10"/>
      <c r="L4" s="11" t="s">
        <v>53</v>
      </c>
      <c r="M4" s="11"/>
    </row>
    <row r="5" customFormat="false" ht="24" hidden="false" customHeight="true" outlineLevel="0" collapsed="false">
      <c r="B5" s="12" t="s">
        <v>54</v>
      </c>
      <c r="C5" s="12"/>
      <c r="E5" s="12" t="s">
        <v>54</v>
      </c>
      <c r="F5" s="12"/>
      <c r="G5" s="12"/>
      <c r="I5" s="12" t="s">
        <v>54</v>
      </c>
      <c r="J5" s="12"/>
      <c r="L5" s="11"/>
      <c r="M5" s="11"/>
    </row>
    <row r="7" customFormat="false" ht="19.5" hidden="false" customHeight="true" outlineLevel="0" collapsed="false">
      <c r="B7" s="13" t="s">
        <v>55</v>
      </c>
      <c r="C7" s="13"/>
      <c r="D7" s="13" t="s">
        <v>56</v>
      </c>
      <c r="E7" s="13"/>
      <c r="F7" s="13" t="s">
        <v>57</v>
      </c>
      <c r="G7" s="13"/>
      <c r="H7" s="13" t="s">
        <v>58</v>
      </c>
      <c r="I7" s="13"/>
      <c r="J7" s="13" t="s">
        <v>59</v>
      </c>
      <c r="K7" s="13"/>
      <c r="L7" s="13" t="s">
        <v>60</v>
      </c>
      <c r="M7" s="13"/>
    </row>
    <row r="8" customFormat="false" ht="21.75" hidden="false" customHeight="true" outlineLevel="0" collapsed="false">
      <c r="B8" s="14" t="n">
        <f aca="false">SUMIFS(rngTotal,rngCity,Chart_Data!$C$4,rngProduct,Chart_Data!$C$5,rngMonth,Chart_Data!$C$6)</f>
        <v>322966.749</v>
      </c>
      <c r="C8" s="14"/>
      <c r="D8" s="14" t="n">
        <f aca="false">SUMIFS(rngGross,rngCity,Chart_Data!$C$4,rngProduct,Chart_Data!$C$5,rngMonth,Chart_Data!$C$6)</f>
        <v>15379.369</v>
      </c>
      <c r="E8" s="14"/>
      <c r="F8" s="14" t="n">
        <f aca="false">COUNTIFS(rngCity,Chart_Data!$C$4,rngProduct,Chart_Data!$C$5,rngMonth,Chart_Data!$C$6)</f>
        <v>1000</v>
      </c>
      <c r="G8" s="14"/>
      <c r="H8" s="15" t="n">
        <f aca="false">IFERROR(B8/F8,0)</f>
        <v>322.966749</v>
      </c>
      <c r="I8" s="15"/>
      <c r="J8" s="16" t="n">
        <f aca="false">IFERROR(AVERAGEIFS(rngRating,rngCity,Chart_Data!$C$4,rngProduct,Chart_Data!$C$5,rngMonth,Chart_Data!$C$6),0)</f>
        <v>6.9727</v>
      </c>
      <c r="K8" s="16"/>
      <c r="L8" s="17" t="n">
        <f aca="false">IFERROR(B8/SUM(rngTotal),0)</f>
        <v>1</v>
      </c>
      <c r="M8" s="17"/>
    </row>
    <row r="9" customFormat="false" ht="21.75" hidden="false" customHeight="true" outlineLevel="0" collapsed="false">
      <c r="B9" s="14"/>
      <c r="C9" s="14"/>
      <c r="D9" s="14"/>
      <c r="E9" s="14"/>
      <c r="F9" s="14"/>
      <c r="G9" s="14"/>
      <c r="H9" s="15"/>
      <c r="I9" s="15"/>
      <c r="J9" s="16"/>
      <c r="K9" s="16"/>
      <c r="L9" s="17"/>
      <c r="M9" s="17"/>
    </row>
    <row r="10" customFormat="false" ht="15" hidden="false" customHeight="false" outlineLevel="0" collapsed="false">
      <c r="B10" s="2" t="s">
        <v>61</v>
      </c>
    </row>
    <row r="43" customFormat="false" ht="15" hidden="false" customHeight="false" outlineLevel="0" collapsed="false">
      <c r="H43" s="18" t="s">
        <v>62</v>
      </c>
      <c r="I43" s="18"/>
      <c r="J43" s="18"/>
      <c r="K43" s="18"/>
      <c r="L43" s="18"/>
      <c r="M43" s="18"/>
    </row>
    <row r="44" customFormat="false" ht="15" hidden="false" customHeight="false" outlineLevel="0" collapsed="false">
      <c r="H44" s="19" t="str">
        <f aca="false">"Top product line: "&amp;INDEX(Chart_Data!B10:B15,MATCH(MAX(Chart_Data!C10:C15),Chart_Data!C10:C15,0))</f>
        <v>Top product line: Food and beverages</v>
      </c>
      <c r="I44" s="19"/>
      <c r="J44" s="19"/>
      <c r="K44" s="19"/>
      <c r="L44" s="19"/>
      <c r="M44" s="19"/>
    </row>
    <row r="45" customFormat="false" ht="15" hidden="false" customHeight="false" outlineLevel="0" collapsed="false">
      <c r="H45" s="19"/>
      <c r="I45" s="19"/>
      <c r="J45" s="19"/>
      <c r="K45" s="19"/>
      <c r="L45" s="19"/>
      <c r="M45" s="19"/>
    </row>
    <row r="46" customFormat="false" ht="15" hidden="false" customHeight="false" outlineLevel="0" collapsed="false">
      <c r="H46" s="19" t="str">
        <f aca="false">"Weakest product line: "&amp;INDEX(Chart_Data!B10:B15,MATCH(MIN(Chart_Data!C10:C15),Chart_Data!C10:C15,0))</f>
        <v>Weakest product line: Health and beauty</v>
      </c>
      <c r="I46" s="19"/>
      <c r="J46" s="19"/>
      <c r="K46" s="19"/>
      <c r="L46" s="19"/>
      <c r="M46" s="19"/>
    </row>
    <row r="47" customFormat="false" ht="15" hidden="false" customHeight="false" outlineLevel="0" collapsed="false">
      <c r="H47" s="19"/>
      <c r="I47" s="19"/>
      <c r="J47" s="19"/>
      <c r="K47" s="19"/>
      <c r="L47" s="19"/>
      <c r="M47" s="19"/>
    </row>
    <row r="48" customFormat="false" ht="15" hidden="false" customHeight="false" outlineLevel="0" collapsed="false">
      <c r="H48" s="19" t="str">
        <f aca="false">"Best week: starting "&amp;INDEX(Chart_Data!B19:B31,MATCH(MAX(Chart_Data!C19:C31),Chart_Data!C19:C31,0))&amp;" ("&amp;TEXT(MAX(Chart_Data!C19:C31),"#,##0")&amp;")"</f>
        <v>Best week: starting 22 Jan (31,894)</v>
      </c>
      <c r="I48" s="19"/>
      <c r="J48" s="19"/>
      <c r="K48" s="19"/>
      <c r="L48" s="19"/>
      <c r="M48" s="19"/>
    </row>
    <row r="49" customFormat="false" ht="15" hidden="false" customHeight="false" outlineLevel="0" collapsed="false">
      <c r="H49" s="19"/>
      <c r="I49" s="19"/>
      <c r="J49" s="19"/>
      <c r="K49" s="19"/>
      <c r="L49" s="19"/>
      <c r="M49" s="19"/>
    </row>
    <row r="50" customFormat="false" ht="15" hidden="false" customHeight="false" outlineLevel="0" collapsed="false">
      <c r="H50" s="19" t="str">
        <f aca="false">"Top payment method: "&amp;INDEX(Chart_Data!B36:B38,MATCH(MAX(Chart_Data!C36:C38),Chart_Data!C36:C38,0))</f>
        <v>Top payment method: Cash</v>
      </c>
      <c r="I50" s="19"/>
      <c r="J50" s="19"/>
      <c r="K50" s="19"/>
      <c r="L50" s="19"/>
      <c r="M50" s="19"/>
    </row>
    <row r="51" customFormat="false" ht="15" hidden="false" customHeight="false" outlineLevel="0" collapsed="false">
      <c r="H51" s="19"/>
      <c r="I51" s="19"/>
      <c r="J51" s="19"/>
      <c r="K51" s="19"/>
      <c r="L51" s="19"/>
      <c r="M51" s="19"/>
    </row>
    <row r="52" customFormat="false" ht="15" hidden="false" customHeight="false" outlineLevel="0" collapsed="false">
      <c r="H52" s="19" t="str">
        <f aca="false">"Top city: "&amp;INDEX(Chart_Data!B42:B44,MATCH(MAX(Chart_Data!C42:C44),Chart_Data!C42:C44,0))</f>
        <v>Top city: Naypyitaw</v>
      </c>
      <c r="I52" s="19"/>
      <c r="J52" s="19"/>
      <c r="K52" s="19"/>
      <c r="L52" s="19"/>
      <c r="M52" s="19"/>
    </row>
    <row r="53" customFormat="false" ht="15" hidden="false" customHeight="false" outlineLevel="0" collapsed="false">
      <c r="H53" s="19"/>
      <c r="I53" s="19"/>
      <c r="J53" s="19"/>
      <c r="K53" s="19"/>
      <c r="L53" s="19"/>
      <c r="M53" s="19"/>
    </row>
    <row r="54" customFormat="false" ht="15" hidden="false" customHeight="false" outlineLevel="0" collapsed="false">
      <c r="H54" s="19" t="str">
        <f aca="false">"Busiest hour: "&amp;INDEX(Chart_Data!B48:B58,MATCH(MAX(Chart_Data!C48:C58),Chart_Data!C48:C58,0))&amp;" ("&amp;TEXT(MAX(Chart_Data!C48:C58),"#,##0")&amp;")"</f>
        <v>Busiest hour: 19:00 (39,700)</v>
      </c>
      <c r="I54" s="19"/>
      <c r="J54" s="19"/>
      <c r="K54" s="19"/>
      <c r="L54" s="19"/>
      <c r="M54" s="19"/>
    </row>
    <row r="55" customFormat="false" ht="15" hidden="false" customHeight="false" outlineLevel="0" collapsed="false">
      <c r="H55" s="19"/>
      <c r="I55" s="19"/>
      <c r="J55" s="19"/>
      <c r="K55" s="19"/>
      <c r="L55" s="19"/>
      <c r="M55" s="19"/>
    </row>
    <row r="56" customFormat="false" ht="15" hidden="false" customHeight="true" outlineLevel="0" collapsed="false">
      <c r="H56" s="20" t="s">
        <v>63</v>
      </c>
      <c r="I56" s="20"/>
      <c r="J56" s="20"/>
      <c r="K56" s="20"/>
      <c r="L56" s="20"/>
      <c r="M56" s="20"/>
    </row>
    <row r="57" customFormat="false" ht="15" hidden="false" customHeight="false" outlineLevel="0" collapsed="false">
      <c r="H57" s="20"/>
      <c r="I57" s="20"/>
      <c r="J57" s="20"/>
      <c r="K57" s="20"/>
      <c r="L57" s="20"/>
      <c r="M57" s="20"/>
    </row>
  </sheetData>
  <mergeCells count="29">
    <mergeCell ref="B1:M2"/>
    <mergeCell ref="B3:M3"/>
    <mergeCell ref="B4:C4"/>
    <mergeCell ref="E4:G4"/>
    <mergeCell ref="I4:J4"/>
    <mergeCell ref="L4:M5"/>
    <mergeCell ref="B5:C5"/>
    <mergeCell ref="E5:G5"/>
    <mergeCell ref="I5:J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H43:M43"/>
    <mergeCell ref="H44:M45"/>
    <mergeCell ref="H46:M47"/>
    <mergeCell ref="H48:M49"/>
    <mergeCell ref="H50:M51"/>
    <mergeCell ref="H52:M53"/>
    <mergeCell ref="H54:M55"/>
    <mergeCell ref="H56:M57"/>
  </mergeCells>
  <conditionalFormatting sqref="J8:K9">
    <cfRule type="cellIs" priority="2" operator="lessThan" aboveAverage="0" equalAverage="0" bottom="0" percent="0" rank="0" text="" dxfId="0">
      <formula>6.5</formula>
    </cfRule>
  </conditionalFormatting>
  <dataValidations count="3">
    <dataValidation allowBlank="false" error="Please pick a value from the list." errorStyle="stop" errorTitle="Invalid choice" operator="between" showDropDown="false" showErrorMessage="false" showInputMessage="false" sqref="B5" type="list">
      <formula1>Lists!$F$2:$F$5</formula1>
      <formula2>0</formula2>
    </dataValidation>
    <dataValidation allowBlank="false" error="Please pick a value from the list." errorStyle="stop" errorTitle="Invalid choice" operator="between" showDropDown="false" showErrorMessage="false" showInputMessage="false" sqref="E5" type="list">
      <formula1>Lists!$G$2:$G$8</formula1>
      <formula2>0</formula2>
    </dataValidation>
    <dataValidation allowBlank="false" error="Please pick a value from the list." errorStyle="stop" errorTitle="Invalid choice" operator="between" showDropDown="false" showErrorMessage="false" showInputMessage="false" sqref="I5" type="list">
      <formula1>Lists!$H$2:$H$5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B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4"/>
  </cols>
  <sheetData>
    <row r="1" customFormat="false" ht="33.75" hidden="false" customHeight="true" outlineLevel="0" collapsed="false">
      <c r="B1" s="1" t="s">
        <v>64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">
        <v>65</v>
      </c>
    </row>
    <row r="4" customFormat="false" ht="15" hidden="false" customHeight="false" outlineLevel="0" collapsed="false">
      <c r="B4" s="3" t="s">
        <v>66</v>
      </c>
    </row>
    <row r="5" customFormat="false" ht="15" hidden="false" customHeight="false" outlineLevel="0" collapsed="false"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75</v>
      </c>
    </row>
    <row r="6" customFormat="false" ht="15" hidden="false" customHeight="false" outlineLevel="0" collapsed="false">
      <c r="B6" s="21" t="s">
        <v>76</v>
      </c>
      <c r="C6" s="22" t="n">
        <f aca="false">COUNTIFS(rngProduct,$B6)</f>
        <v>174</v>
      </c>
      <c r="D6" s="22" t="n">
        <f aca="false">SUMIFS(rngQty,rngProduct,$B6)</f>
        <v>952</v>
      </c>
      <c r="E6" s="23" t="n">
        <f aca="false">SUMIFS(rngTotal,rngProduct,$B6)</f>
        <v>56144.844</v>
      </c>
      <c r="F6" s="23" t="n">
        <f aca="false">SUMIFS(rngGross,rngProduct,$B6)</f>
        <v>2673.564</v>
      </c>
      <c r="G6" s="23" t="n">
        <f aca="false">IFERROR(E6/C6,0)</f>
        <v>322.671517241379</v>
      </c>
      <c r="H6" s="24" t="n">
        <f aca="false">IFERROR(AVERAGEIFS(rngRating,rngProduct,$B6),0)</f>
        <v>7.1132183908046</v>
      </c>
      <c r="I6" s="25" t="n">
        <f aca="false">IFERROR(E6/$E$12,0)</f>
        <v>0.173840942368962</v>
      </c>
      <c r="J6" s="7" t="n">
        <f aca="false">RANK(E6,$E$6:$E$11)</f>
        <v>1</v>
      </c>
    </row>
    <row r="7" customFormat="false" ht="15" hidden="false" customHeight="false" outlineLevel="0" collapsed="false">
      <c r="B7" s="21" t="s">
        <v>77</v>
      </c>
      <c r="C7" s="22" t="n">
        <f aca="false">COUNTIFS(rngProduct,$B7)</f>
        <v>166</v>
      </c>
      <c r="D7" s="22" t="n">
        <f aca="false">SUMIFS(rngQty,rngProduct,$B7)</f>
        <v>920</v>
      </c>
      <c r="E7" s="23" t="n">
        <f aca="false">SUMIFS(rngTotal,rngProduct,$B7)</f>
        <v>55122.8265</v>
      </c>
      <c r="F7" s="23" t="n">
        <f aca="false">SUMIFS(rngGross,rngProduct,$B7)</f>
        <v>2624.8965</v>
      </c>
      <c r="G7" s="23" t="n">
        <f aca="false">IFERROR(E7/C7,0)</f>
        <v>332.065219879518</v>
      </c>
      <c r="H7" s="24" t="n">
        <f aca="false">IFERROR(AVERAGEIFS(rngRating,rngProduct,$B7),0)</f>
        <v>6.91626506024096</v>
      </c>
      <c r="I7" s="25" t="n">
        <f aca="false">IFERROR(E7/$E$12,0)</f>
        <v>0.170676475738374</v>
      </c>
      <c r="J7" s="7" t="n">
        <f aca="false">RANK(E7,$E$6:$E$11)</f>
        <v>2</v>
      </c>
    </row>
    <row r="8" customFormat="false" ht="15" hidden="false" customHeight="false" outlineLevel="0" collapsed="false">
      <c r="B8" s="21" t="s">
        <v>78</v>
      </c>
      <c r="C8" s="22" t="n">
        <f aca="false">COUNTIFS(rngProduct,$B8)</f>
        <v>170</v>
      </c>
      <c r="D8" s="22" t="n">
        <f aca="false">SUMIFS(rngQty,rngProduct,$B8)</f>
        <v>971</v>
      </c>
      <c r="E8" s="23" t="n">
        <f aca="false">SUMIFS(rngTotal,rngProduct,$B8)</f>
        <v>54337.5315</v>
      </c>
      <c r="F8" s="23" t="n">
        <f aca="false">SUMIFS(rngGross,rngProduct,$B8)</f>
        <v>2587.5015</v>
      </c>
      <c r="G8" s="23" t="n">
        <f aca="false">IFERROR(E8/C8,0)</f>
        <v>319.632538235294</v>
      </c>
      <c r="H8" s="24" t="n">
        <f aca="false">IFERROR(AVERAGEIFS(rngRating,rngProduct,$B8),0)</f>
        <v>6.92470588235294</v>
      </c>
      <c r="I8" s="25" t="n">
        <f aca="false">IFERROR(E8/$E$12,0)</f>
        <v>0.168244971558976</v>
      </c>
      <c r="J8" s="7" t="n">
        <f aca="false">RANK(E8,$E$6:$E$11)</f>
        <v>3</v>
      </c>
    </row>
    <row r="9" customFormat="false" ht="15" hidden="false" customHeight="false" outlineLevel="0" collapsed="false">
      <c r="B9" s="21" t="s">
        <v>79</v>
      </c>
      <c r="C9" s="22" t="n">
        <f aca="false">COUNTIFS(rngProduct,$B9)</f>
        <v>178</v>
      </c>
      <c r="D9" s="22" t="n">
        <f aca="false">SUMIFS(rngQty,rngProduct,$B9)</f>
        <v>902</v>
      </c>
      <c r="E9" s="23" t="n">
        <f aca="false">SUMIFS(rngTotal,rngProduct,$B9)</f>
        <v>54305.895</v>
      </c>
      <c r="F9" s="23" t="n">
        <f aca="false">SUMIFS(rngGross,rngProduct,$B9)</f>
        <v>2585.995</v>
      </c>
      <c r="G9" s="23" t="n">
        <f aca="false">IFERROR(E9/C9,0)</f>
        <v>305.089297752809</v>
      </c>
      <c r="H9" s="24" t="n">
        <f aca="false">IFERROR(AVERAGEIFS(rngRating,rngProduct,$B9),0)</f>
        <v>7.02921348314607</v>
      </c>
      <c r="I9" s="25" t="n">
        <f aca="false">IFERROR(E9/$E$12,0)</f>
        <v>0.168147015654543</v>
      </c>
      <c r="J9" s="7" t="n">
        <f aca="false">RANK(E9,$E$6:$E$11)</f>
        <v>4</v>
      </c>
    </row>
    <row r="10" customFormat="false" ht="15" hidden="false" customHeight="false" outlineLevel="0" collapsed="false">
      <c r="B10" s="21" t="s">
        <v>80</v>
      </c>
      <c r="C10" s="22" t="n">
        <f aca="false">COUNTIFS(rngProduct,$B10)</f>
        <v>160</v>
      </c>
      <c r="D10" s="22" t="n">
        <f aca="false">SUMIFS(rngQty,rngProduct,$B10)</f>
        <v>911</v>
      </c>
      <c r="E10" s="23" t="n">
        <f aca="false">SUMIFS(rngTotal,rngProduct,$B10)</f>
        <v>53861.913</v>
      </c>
      <c r="F10" s="23" t="n">
        <f aca="false">SUMIFS(rngGross,rngProduct,$B10)</f>
        <v>2564.853</v>
      </c>
      <c r="G10" s="23" t="n">
        <f aca="false">IFERROR(E10/C10,0)</f>
        <v>336.63695625</v>
      </c>
      <c r="H10" s="24" t="n">
        <f aca="false">IFERROR(AVERAGEIFS(rngRating,rngProduct,$B10),0)</f>
        <v>6.8375</v>
      </c>
      <c r="I10" s="25" t="n">
        <f aca="false">IFERROR(E10/$E$12,0)</f>
        <v>0.166772316861635</v>
      </c>
      <c r="J10" s="7" t="n">
        <f aca="false">RANK(E10,$E$6:$E$11)</f>
        <v>5</v>
      </c>
    </row>
    <row r="11" customFormat="false" ht="15" hidden="false" customHeight="false" outlineLevel="0" collapsed="false">
      <c r="B11" s="21" t="s">
        <v>81</v>
      </c>
      <c r="C11" s="22" t="n">
        <f aca="false">COUNTIFS(rngProduct,$B11)</f>
        <v>152</v>
      </c>
      <c r="D11" s="22" t="n">
        <f aca="false">SUMIFS(rngQty,rngProduct,$B11)</f>
        <v>854</v>
      </c>
      <c r="E11" s="23" t="n">
        <f aca="false">SUMIFS(rngTotal,rngProduct,$B11)</f>
        <v>49193.739</v>
      </c>
      <c r="F11" s="23" t="n">
        <f aca="false">SUMIFS(rngGross,rngProduct,$B11)</f>
        <v>2342.559</v>
      </c>
      <c r="G11" s="23" t="n">
        <f aca="false">IFERROR(E11/C11,0)</f>
        <v>323.643019736842</v>
      </c>
      <c r="H11" s="24" t="n">
        <f aca="false">IFERROR(AVERAGEIFS(rngRating,rngProduct,$B11),0)</f>
        <v>7.00328947368421</v>
      </c>
      <c r="I11" s="25" t="n">
        <f aca="false">IFERROR(E11/$E$12,0)</f>
        <v>0.15231827781751</v>
      </c>
      <c r="J11" s="7" t="n">
        <f aca="false">RANK(E11,$E$6:$E$11)</f>
        <v>6</v>
      </c>
    </row>
    <row r="12" customFormat="false" ht="15" hidden="false" customHeight="false" outlineLevel="0" collapsed="false">
      <c r="B12" s="26" t="s">
        <v>82</v>
      </c>
      <c r="C12" s="27" t="n">
        <f aca="false">SUM(C6:C11)</f>
        <v>1000</v>
      </c>
      <c r="D12" s="27" t="n">
        <f aca="false">SUM(D6:D11)</f>
        <v>5510</v>
      </c>
      <c r="E12" s="28" t="n">
        <f aca="false">SUM(E6:E11)</f>
        <v>322966.749</v>
      </c>
      <c r="F12" s="28" t="n">
        <f aca="false">SUM(F6:F11)</f>
        <v>15379.369</v>
      </c>
      <c r="G12" s="28" t="n">
        <f aca="false">IFERROR(E12/C12,0)</f>
        <v>322.966749</v>
      </c>
      <c r="H12" s="29" t="n">
        <f aca="false">AVERAGE(rngRating)</f>
        <v>6.9727</v>
      </c>
      <c r="I12" s="30" t="n">
        <f aca="false">SUM(I6:I11)</f>
        <v>1</v>
      </c>
      <c r="J12" s="26"/>
    </row>
    <row r="15" customFormat="false" ht="15" hidden="false" customHeight="false" outlineLevel="0" collapsed="false">
      <c r="B15" s="3" t="s">
        <v>83</v>
      </c>
    </row>
    <row r="16" customFormat="false" ht="31.5" hidden="false" customHeight="true" outlineLevel="0" collapsed="false">
      <c r="B16" s="5" t="s">
        <v>84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80</v>
      </c>
      <c r="H16" s="5" t="s">
        <v>81</v>
      </c>
      <c r="I16" s="5" t="s">
        <v>82</v>
      </c>
    </row>
    <row r="17" customFormat="false" ht="15" hidden="false" customHeight="false" outlineLevel="0" collapsed="false">
      <c r="B17" s="21" t="s">
        <v>85</v>
      </c>
      <c r="C17" s="22" t="n">
        <f aca="false">SUMIFS(rngTotal,rngCity,$B17,rngProduct,C$16)</f>
        <v>17163.1005</v>
      </c>
      <c r="D17" s="22" t="n">
        <f aca="false">SUMIFS(rngTotal,rngCity,$B17,rngProduct,D$16)</f>
        <v>19372.6995</v>
      </c>
      <c r="E17" s="22" t="n">
        <f aca="false">SUMIFS(rngTotal,rngCity,$B17,rngProduct,E$16)</f>
        <v>18317.1135</v>
      </c>
      <c r="F17" s="22" t="n">
        <f aca="false">SUMIFS(rngTotal,rngCity,$B17,rngProduct,F$16)</f>
        <v>16332.5085</v>
      </c>
      <c r="G17" s="22" t="n">
        <f aca="false">SUMIFS(rngTotal,rngCity,$B17,rngProduct,G$16)</f>
        <v>22417.1955</v>
      </c>
      <c r="H17" s="22" t="n">
        <f aca="false">SUMIFS(rngTotal,rngCity,$B17,rngProduct,H$16)</f>
        <v>12597.753</v>
      </c>
      <c r="I17" s="22" t="n">
        <f aca="false">SUM(C17:H17)</f>
        <v>106200.3705</v>
      </c>
    </row>
    <row r="18" customFormat="false" ht="15" hidden="false" customHeight="false" outlineLevel="0" collapsed="false">
      <c r="B18" s="21" t="s">
        <v>86</v>
      </c>
      <c r="C18" s="22" t="n">
        <f aca="false">SUMIFS(rngTotal,rngCity,$B18,rngProduct,C$16)</f>
        <v>15214.8885</v>
      </c>
      <c r="D18" s="22" t="n">
        <f aca="false">SUMIFS(rngTotal,rngCity,$B18,rngProduct,D$16)</f>
        <v>19988.199</v>
      </c>
      <c r="E18" s="22" t="n">
        <f aca="false">SUMIFS(rngTotal,rngCity,$B18,rngProduct,E$16)</f>
        <v>17051.4435</v>
      </c>
      <c r="F18" s="22" t="n">
        <f aca="false">SUMIFS(rngTotal,rngCity,$B18,rngProduct,F$16)</f>
        <v>16413.3165</v>
      </c>
      <c r="G18" s="22" t="n">
        <f aca="false">SUMIFS(rngTotal,rngCity,$B18,rngProduct,G$16)</f>
        <v>17549.1645</v>
      </c>
      <c r="H18" s="22" t="n">
        <f aca="false">SUMIFS(rngTotal,rngCity,$B18,rngProduct,H$16)</f>
        <v>19980.66</v>
      </c>
      <c r="I18" s="22" t="n">
        <f aca="false">SUM(C18:H18)</f>
        <v>106197.672</v>
      </c>
    </row>
    <row r="19" customFormat="false" ht="15" hidden="false" customHeight="false" outlineLevel="0" collapsed="false">
      <c r="B19" s="21" t="s">
        <v>87</v>
      </c>
      <c r="C19" s="22" t="n">
        <f aca="false">SUMIFS(rngTotal,rngCity,$B19,rngProduct,C$16)</f>
        <v>23766.855</v>
      </c>
      <c r="D19" s="22" t="n">
        <f aca="false">SUMIFS(rngTotal,rngCity,$B19,rngProduct,D$16)</f>
        <v>15761.928</v>
      </c>
      <c r="E19" s="22" t="n">
        <f aca="false">SUMIFS(rngTotal,rngCity,$B19,rngProduct,E$16)</f>
        <v>18968.9745</v>
      </c>
      <c r="F19" s="22" t="n">
        <f aca="false">SUMIFS(rngTotal,rngCity,$B19,rngProduct,F$16)</f>
        <v>21560.07</v>
      </c>
      <c r="G19" s="22" t="n">
        <f aca="false">SUMIFS(rngTotal,rngCity,$B19,rngProduct,G$16)</f>
        <v>13895.553</v>
      </c>
      <c r="H19" s="22" t="n">
        <f aca="false">SUMIFS(rngTotal,rngCity,$B19,rngProduct,H$16)</f>
        <v>16615.326</v>
      </c>
      <c r="I19" s="22" t="n">
        <f aca="false">SUM(C19:H19)</f>
        <v>110568.7065</v>
      </c>
    </row>
    <row r="20" customFormat="false" ht="15" hidden="false" customHeight="false" outlineLevel="0" collapsed="false">
      <c r="B20" s="26" t="s">
        <v>82</v>
      </c>
      <c r="C20" s="27" t="n">
        <f aca="false">SUM(C17:C19)</f>
        <v>56144.844</v>
      </c>
      <c r="D20" s="27" t="n">
        <f aca="false">SUM(D17:D19)</f>
        <v>55122.8265</v>
      </c>
      <c r="E20" s="27" t="n">
        <f aca="false">SUM(E17:E19)</f>
        <v>54337.5315</v>
      </c>
      <c r="F20" s="27" t="n">
        <f aca="false">SUM(F17:F19)</f>
        <v>54305.895</v>
      </c>
      <c r="G20" s="27" t="n">
        <f aca="false">SUM(G17:G19)</f>
        <v>53861.913</v>
      </c>
      <c r="H20" s="27" t="n">
        <f aca="false">SUM(H17:H19)</f>
        <v>49193.739</v>
      </c>
      <c r="I20" s="27" t="n">
        <f aca="false">SUM(I17:I19)</f>
        <v>322966.749</v>
      </c>
    </row>
    <row r="23" customFormat="false" ht="15" hidden="false" customHeight="false" outlineLevel="0" collapsed="false">
      <c r="B23" s="3" t="s">
        <v>88</v>
      </c>
    </row>
    <row r="24" customFormat="false" ht="15" hidden="false" customHeight="false" outlineLevel="0" collapsed="false">
      <c r="B24" s="5" t="s">
        <v>89</v>
      </c>
      <c r="C24" s="5" t="s">
        <v>68</v>
      </c>
      <c r="D24" s="5" t="s">
        <v>70</v>
      </c>
      <c r="E24" s="5" t="s">
        <v>72</v>
      </c>
      <c r="F24" s="5" t="s">
        <v>90</v>
      </c>
    </row>
    <row r="25" customFormat="false" ht="15" hidden="false" customHeight="false" outlineLevel="0" collapsed="false">
      <c r="B25" s="21" t="s">
        <v>91</v>
      </c>
      <c r="C25" s="22" t="n">
        <f aca="false">COUNTIFS(rngMonth,$B25)</f>
        <v>352</v>
      </c>
      <c r="D25" s="22" t="n">
        <f aca="false">SUMIFS(rngTotal,rngMonth,$B25)</f>
        <v>116291.868</v>
      </c>
      <c r="E25" s="23" t="n">
        <f aca="false">IFERROR(D25/C25,0)</f>
        <v>330.374625</v>
      </c>
      <c r="F25" s="31" t="s">
        <v>92</v>
      </c>
    </row>
    <row r="26" customFormat="false" ht="15" hidden="false" customHeight="false" outlineLevel="0" collapsed="false">
      <c r="B26" s="21" t="s">
        <v>93</v>
      </c>
      <c r="C26" s="22" t="n">
        <f aca="false">COUNTIFS(rngMonth,$B26)</f>
        <v>303</v>
      </c>
      <c r="D26" s="22" t="n">
        <f aca="false">SUMIFS(rngTotal,rngMonth,$B26)</f>
        <v>97219.374</v>
      </c>
      <c r="E26" s="23" t="n">
        <f aca="false">IFERROR(D26/C26,0)</f>
        <v>320.85601980198</v>
      </c>
      <c r="F26" s="31" t="n">
        <f aca="false">IFERROR(D26/D25-1,0)</f>
        <v>-0.164005397178761</v>
      </c>
    </row>
    <row r="27" customFormat="false" ht="15" hidden="false" customHeight="false" outlineLevel="0" collapsed="false">
      <c r="B27" s="21" t="s">
        <v>94</v>
      </c>
      <c r="C27" s="22" t="n">
        <f aca="false">COUNTIFS(rngMonth,$B27)</f>
        <v>345</v>
      </c>
      <c r="D27" s="22" t="n">
        <f aca="false">SUMIFS(rngTotal,rngMonth,$B27)</f>
        <v>109455.507</v>
      </c>
      <c r="E27" s="23" t="n">
        <f aca="false">IFERROR(D27/C27,0)</f>
        <v>317.262339130435</v>
      </c>
      <c r="F27" s="31" t="n">
        <f aca="false">IFERROR(D27/D26-1,0)</f>
        <v>0.125861055225474</v>
      </c>
    </row>
    <row r="30" customFormat="false" ht="15" hidden="false" customHeight="false" outlineLevel="0" collapsed="false">
      <c r="B30" s="3" t="s">
        <v>95</v>
      </c>
    </row>
    <row r="31" customFormat="false" ht="15" hidden="false" customHeight="false" outlineLevel="0" collapsed="false">
      <c r="B31" s="5" t="s">
        <v>96</v>
      </c>
      <c r="C31" s="5" t="s">
        <v>68</v>
      </c>
      <c r="D31" s="5" t="s">
        <v>70</v>
      </c>
      <c r="E31" s="5" t="s">
        <v>74</v>
      </c>
    </row>
    <row r="32" customFormat="false" ht="15" hidden="false" customHeight="false" outlineLevel="0" collapsed="false">
      <c r="B32" s="21" t="s">
        <v>97</v>
      </c>
      <c r="C32" s="22" t="n">
        <f aca="false">COUNTIFS(rngPayment,$B32)</f>
        <v>344</v>
      </c>
      <c r="D32" s="22" t="n">
        <f aca="false">SUMIFS(rngTotal,rngPayment,$B32)</f>
        <v>112206.57</v>
      </c>
      <c r="E32" s="25" t="n">
        <f aca="false">IFERROR(D32/$D$35,0)</f>
        <v>0.347424526975066</v>
      </c>
    </row>
    <row r="33" customFormat="false" ht="15" hidden="false" customHeight="false" outlineLevel="0" collapsed="false">
      <c r="B33" s="21" t="s">
        <v>98</v>
      </c>
      <c r="C33" s="22" t="n">
        <f aca="false">COUNTIFS(rngPayment,$B33)</f>
        <v>345</v>
      </c>
      <c r="D33" s="22" t="n">
        <f aca="false">SUMIFS(rngTotal,rngPayment,$B33)</f>
        <v>109993.107</v>
      </c>
      <c r="E33" s="25" t="n">
        <f aca="false">IFERROR(D33/$D$35,0)</f>
        <v>0.340570994817798</v>
      </c>
    </row>
    <row r="34" customFormat="false" ht="15" hidden="false" customHeight="false" outlineLevel="0" collapsed="false">
      <c r="B34" s="21" t="s">
        <v>99</v>
      </c>
      <c r="C34" s="22" t="n">
        <f aca="false">COUNTIFS(rngPayment,$B34)</f>
        <v>311</v>
      </c>
      <c r="D34" s="22" t="n">
        <f aca="false">SUMIFS(rngTotal,rngPayment,$B34)</f>
        <v>100767.072</v>
      </c>
      <c r="E34" s="25" t="n">
        <f aca="false">IFERROR(D34/$D$35,0)</f>
        <v>0.312004478207136</v>
      </c>
    </row>
    <row r="35" customFormat="false" ht="15" hidden="false" customHeight="false" outlineLevel="0" collapsed="false">
      <c r="B35" s="26" t="s">
        <v>82</v>
      </c>
      <c r="C35" s="27" t="n">
        <f aca="false">SUM(C32:C34)</f>
        <v>1000</v>
      </c>
      <c r="D35" s="27" t="n">
        <f aca="false">SUM(D32:D34)</f>
        <v>322966.749</v>
      </c>
      <c r="E35" s="30" t="n">
        <f aca="false">SUM(E32:E34)</f>
        <v>1</v>
      </c>
    </row>
    <row r="38" customFormat="false" ht="15" hidden="false" customHeight="false" outlineLevel="0" collapsed="false">
      <c r="B38" s="3" t="s">
        <v>100</v>
      </c>
    </row>
    <row r="39" customFormat="false" ht="15" hidden="false" customHeight="false" outlineLevel="0" collapsed="false">
      <c r="B39" s="5" t="s">
        <v>101</v>
      </c>
      <c r="C39" s="5" t="s">
        <v>102</v>
      </c>
      <c r="D39" s="5" t="s">
        <v>103</v>
      </c>
      <c r="E39" s="5" t="s">
        <v>82</v>
      </c>
    </row>
    <row r="40" customFormat="false" ht="15" hidden="false" customHeight="false" outlineLevel="0" collapsed="false">
      <c r="B40" s="21" t="s">
        <v>104</v>
      </c>
      <c r="C40" s="22" t="n">
        <f aca="false">SUMIFS(rngTotal,rngCust,$B40,rngGender,C$39)</f>
        <v>88146.9435</v>
      </c>
      <c r="D40" s="22" t="n">
        <f aca="false">SUMIFS(rngTotal,rngCust,$B40,rngGender,D$39)</f>
        <v>76076.5005</v>
      </c>
      <c r="E40" s="22" t="n">
        <f aca="false">SUM(C40:D40)</f>
        <v>164223.444</v>
      </c>
    </row>
    <row r="41" customFormat="false" ht="15" hidden="false" customHeight="false" outlineLevel="0" collapsed="false">
      <c r="B41" s="21" t="s">
        <v>105</v>
      </c>
      <c r="C41" s="22" t="n">
        <f aca="false">SUMIFS(rngTotal,rngCust,$B41,rngGender,C$39)</f>
        <v>79735.9815</v>
      </c>
      <c r="D41" s="22" t="n">
        <f aca="false">SUMIFS(rngTotal,rngCust,$B41,rngGender,D$39)</f>
        <v>79007.3235</v>
      </c>
      <c r="E41" s="22" t="n">
        <f aca="false">SUM(C41:D41)</f>
        <v>158743.305</v>
      </c>
    </row>
    <row r="42" customFormat="false" ht="15" hidden="false" customHeight="false" outlineLevel="0" collapsed="false">
      <c r="B42" s="26" t="s">
        <v>82</v>
      </c>
      <c r="C42" s="27" t="n">
        <f aca="false">SUM(C40:C41)</f>
        <v>167882.925</v>
      </c>
      <c r="D42" s="27" t="n">
        <f aca="false">SUM(D40:D41)</f>
        <v>155083.824</v>
      </c>
      <c r="E42" s="27" t="n">
        <f aca="false">SUM(E40:E41)</f>
        <v>322966.749</v>
      </c>
    </row>
    <row r="45" customFormat="false" ht="15" hidden="false" customHeight="false" outlineLevel="0" collapsed="false">
      <c r="B45" s="3" t="s">
        <v>106</v>
      </c>
    </row>
    <row r="46" customFormat="false" ht="15" hidden="false" customHeight="false" outlineLevel="0" collapsed="false">
      <c r="B46" s="5" t="s">
        <v>107</v>
      </c>
      <c r="C46" s="5" t="s">
        <v>68</v>
      </c>
      <c r="D46" s="5" t="s">
        <v>70</v>
      </c>
      <c r="E46" s="5" t="s">
        <v>74</v>
      </c>
    </row>
    <row r="47" customFormat="false" ht="15" hidden="false" customHeight="false" outlineLevel="0" collapsed="false">
      <c r="B47" s="21" t="s">
        <v>108</v>
      </c>
      <c r="C47" s="22" t="n">
        <f aca="false">COUNTIFS(rngSlot,$B47)</f>
        <v>191</v>
      </c>
      <c r="D47" s="22" t="n">
        <f aca="false">SUMIFS(rngTotal,rngSlot,$B47)</f>
        <v>61798.8105</v>
      </c>
      <c r="E47" s="25" t="n">
        <f aca="false">IFERROR(D47/SUM($D$47:$D$49),0)</f>
        <v>0.191347284794324</v>
      </c>
    </row>
    <row r="48" customFormat="false" ht="15" hidden="false" customHeight="false" outlineLevel="0" collapsed="false">
      <c r="B48" s="21" t="s">
        <v>109</v>
      </c>
      <c r="C48" s="22" t="n">
        <f aca="false">COUNTIFS(rngSlot,$B48)</f>
        <v>454</v>
      </c>
      <c r="D48" s="22" t="n">
        <f aca="false">SUMIFS(rngTotal,rngSlot,$B48)</f>
        <v>148023.3405</v>
      </c>
      <c r="E48" s="25" t="n">
        <f aca="false">IFERROR(D48/SUM($D$47:$D$49),0)</f>
        <v>0.458323777783081</v>
      </c>
    </row>
    <row r="49" customFormat="false" ht="15" hidden="false" customHeight="false" outlineLevel="0" collapsed="false">
      <c r="B49" s="21" t="s">
        <v>110</v>
      </c>
      <c r="C49" s="22" t="n">
        <f aca="false">COUNTIFS(rngSlot,$B49)</f>
        <v>355</v>
      </c>
      <c r="D49" s="22" t="n">
        <f aca="false">SUMIFS(rngTotal,rngSlot,$B49)</f>
        <v>113144.598</v>
      </c>
      <c r="E49" s="25" t="n">
        <f aca="false">IFERROR(D49/SUM($D$47:$D$49),0)</f>
        <v>0.350328937422595</v>
      </c>
    </row>
    <row r="52" customFormat="false" ht="15" hidden="false" customHeight="false" outlineLevel="0" collapsed="false">
      <c r="B52" s="3" t="s">
        <v>111</v>
      </c>
    </row>
    <row r="53" customFormat="false" ht="15" hidden="false" customHeight="false" outlineLevel="0" collapsed="false">
      <c r="B53" s="5" t="s">
        <v>112</v>
      </c>
      <c r="C53" s="5" t="s">
        <v>68</v>
      </c>
      <c r="D53" s="5" t="s">
        <v>70</v>
      </c>
    </row>
    <row r="54" customFormat="false" ht="15" hidden="false" customHeight="false" outlineLevel="0" collapsed="false">
      <c r="B54" s="32" t="n">
        <v>10</v>
      </c>
      <c r="C54" s="22" t="n">
        <f aca="false">COUNTIFS(rngHour,$B54)</f>
        <v>101</v>
      </c>
      <c r="D54" s="22" t="n">
        <f aca="false">SUMIFS(rngTotal,rngHour,$B54)</f>
        <v>31421.481</v>
      </c>
    </row>
    <row r="55" customFormat="false" ht="15" hidden="false" customHeight="false" outlineLevel="0" collapsed="false">
      <c r="B55" s="32" t="n">
        <v>11</v>
      </c>
      <c r="C55" s="22" t="n">
        <f aca="false">COUNTIFS(rngHour,$B55)</f>
        <v>90</v>
      </c>
      <c r="D55" s="22" t="n">
        <f aca="false">SUMIFS(rngTotal,rngHour,$B55)</f>
        <v>30377.3295</v>
      </c>
    </row>
    <row r="56" customFormat="false" ht="15" hidden="false" customHeight="false" outlineLevel="0" collapsed="false">
      <c r="B56" s="32" t="n">
        <v>12</v>
      </c>
      <c r="C56" s="22" t="n">
        <f aca="false">COUNTIFS(rngHour,$B56)</f>
        <v>89</v>
      </c>
      <c r="D56" s="22" t="n">
        <f aca="false">SUMIFS(rngTotal,rngHour,$B56)</f>
        <v>26065.8825</v>
      </c>
    </row>
    <row r="57" customFormat="false" ht="15" hidden="false" customHeight="false" outlineLevel="0" collapsed="false">
      <c r="B57" s="32" t="n">
        <v>13</v>
      </c>
      <c r="C57" s="22" t="n">
        <f aca="false">COUNTIFS(rngHour,$B57)</f>
        <v>103</v>
      </c>
      <c r="D57" s="22" t="n">
        <f aca="false">SUMIFS(rngTotal,rngHour,$B57)</f>
        <v>34723.227</v>
      </c>
    </row>
    <row r="58" customFormat="false" ht="15" hidden="false" customHeight="false" outlineLevel="0" collapsed="false">
      <c r="B58" s="32" t="n">
        <v>14</v>
      </c>
      <c r="C58" s="22" t="n">
        <f aca="false">COUNTIFS(rngHour,$B58)</f>
        <v>83</v>
      </c>
      <c r="D58" s="22" t="n">
        <f aca="false">SUMIFS(rngTotal,rngHour,$B58)</f>
        <v>30828.399</v>
      </c>
    </row>
    <row r="59" customFormat="false" ht="15" hidden="false" customHeight="false" outlineLevel="0" collapsed="false">
      <c r="B59" s="32" t="n">
        <v>15</v>
      </c>
      <c r="C59" s="22" t="n">
        <f aca="false">COUNTIFS(rngHour,$B59)</f>
        <v>102</v>
      </c>
      <c r="D59" s="22" t="n">
        <f aca="false">SUMIFS(rngTotal,rngHour,$B59)</f>
        <v>31179.5085</v>
      </c>
    </row>
    <row r="60" customFormat="false" ht="15" hidden="false" customHeight="false" outlineLevel="0" collapsed="false">
      <c r="B60" s="32" t="n">
        <v>16</v>
      </c>
      <c r="C60" s="22" t="n">
        <f aca="false">COUNTIFS(rngHour,$B60)</f>
        <v>77</v>
      </c>
      <c r="D60" s="22" t="n">
        <f aca="false">SUMIFS(rngTotal,rngHour,$B60)</f>
        <v>25226.3235</v>
      </c>
    </row>
    <row r="61" customFormat="false" ht="15" hidden="false" customHeight="false" outlineLevel="0" collapsed="false">
      <c r="B61" s="32" t="n">
        <v>17</v>
      </c>
      <c r="C61" s="22" t="n">
        <f aca="false">COUNTIFS(rngHour,$B61)</f>
        <v>74</v>
      </c>
      <c r="D61" s="22" t="n">
        <f aca="false">SUMIFS(rngTotal,rngHour,$B61)</f>
        <v>24445.218</v>
      </c>
    </row>
    <row r="62" customFormat="false" ht="15" hidden="false" customHeight="false" outlineLevel="0" collapsed="false">
      <c r="B62" s="32" t="n">
        <v>18</v>
      </c>
      <c r="C62" s="22" t="n">
        <f aca="false">COUNTIFS(rngHour,$B62)</f>
        <v>93</v>
      </c>
      <c r="D62" s="22" t="n">
        <f aca="false">SUMIFS(rngTotal,rngHour,$B62)</f>
        <v>26030.34</v>
      </c>
    </row>
    <row r="63" customFormat="false" ht="15" hidden="false" customHeight="false" outlineLevel="0" collapsed="false">
      <c r="B63" s="32" t="n">
        <v>19</v>
      </c>
      <c r="C63" s="22" t="n">
        <f aca="false">COUNTIFS(rngHour,$B63)</f>
        <v>113</v>
      </c>
      <c r="D63" s="22" t="n">
        <f aca="false">SUMIFS(rngTotal,rngHour,$B63)</f>
        <v>39699.513</v>
      </c>
    </row>
    <row r="64" customFormat="false" ht="15" hidden="false" customHeight="false" outlineLevel="0" collapsed="false">
      <c r="B64" s="32" t="n">
        <v>20</v>
      </c>
      <c r="C64" s="22" t="n">
        <f aca="false">COUNTIFS(rngHour,$B64)</f>
        <v>75</v>
      </c>
      <c r="D64" s="22" t="n">
        <f aca="false">SUMIFS(rngTotal,rngHour,$B64)</f>
        <v>22969.527</v>
      </c>
    </row>
  </sheetData>
  <mergeCells count="1">
    <mergeCell ref="B1:K1"/>
  </mergeCells>
  <conditionalFormatting sqref="E6:E11">
    <cfRule type="dataBar" priority="2">
      <dataBar showValue="1" minLength="10" maxLength="90">
        <cfvo type="num" val="0"/>
        <cfvo type="max" val="0"/>
        <color rgb="FF63A9B0"/>
      </dataBar>
      <extLst>
        <ext xmlns:x14="http://schemas.microsoft.com/office/spreadsheetml/2009/9/main" uri="{B025F937-C7B1-47D3-B67F-A62EFF666E3E}">
          <x14:id>{80552A65-305A-4CD6-B816-12CA30608A45}</x14:id>
        </ext>
      </extLst>
    </cfRule>
  </conditionalFormatting>
  <conditionalFormatting sqref="C17:H19">
    <cfRule type="colorScale" priority="3">
      <colorScale>
        <cfvo type="min" val="0"/>
        <cfvo type="max" val="0"/>
        <color rgb="FFF7FBFC"/>
        <color rgb="FF3B9AA3"/>
      </colorScale>
    </cfRule>
  </conditionalFormatting>
  <conditionalFormatting sqref="H6:H11">
    <cfRule type="colorScale" priority="4">
      <colorScale>
        <cfvo type="min" val="0"/>
        <cfvo type="percentile" val="50"/>
        <cfvo type="max" val="0"/>
        <color rgb="FFFBE3DE"/>
        <color rgb="FFFFFFFF"/>
        <color rgb="FFCFE8D2"/>
      </colorScale>
    </cfRule>
  </conditionalFormatting>
  <conditionalFormatting sqref="D25:D27">
    <cfRule type="dataBar" priority="5">
      <dataBar showValue="1" minLength="10" maxLength="90">
        <cfvo type="num" val="0"/>
        <cfvo type="max" val="0"/>
        <color rgb="FF63A9B0"/>
      </dataBar>
      <extLst>
        <ext xmlns:x14="http://schemas.microsoft.com/office/spreadsheetml/2009/9/main" uri="{B025F937-C7B1-47D3-B67F-A62EFF666E3E}">
          <x14:id>{7C3BA2D0-5E33-4819-8073-A4CD4662F1D2}</x14:id>
        </ext>
      </extLst>
    </cfRule>
  </conditionalFormatting>
  <conditionalFormatting sqref="F26:F27">
    <cfRule type="cellIs" priority="6" operator="lessThan" aboveAverage="0" equalAverage="0" bottom="0" percent="0" rank="0" text="" dxfId="1">
      <formula>0</formula>
    </cfRule>
    <cfRule type="cellIs" priority="7" operator="greaterThanOrEqual" aboveAverage="0" equalAverage="0" bottom="0" percent="0" rank="0" text="" dxfId="2">
      <formula>0</formula>
    </cfRule>
  </conditionalFormatting>
  <conditionalFormatting sqref="D32:D34">
    <cfRule type="dataBar" priority="8">
      <dataBar showValue="1" minLength="10" maxLength="90">
        <cfvo type="num" val="0"/>
        <cfvo type="max" val="0"/>
        <color rgb="FF63A9B0"/>
      </dataBar>
      <extLst>
        <ext xmlns:x14="http://schemas.microsoft.com/office/spreadsheetml/2009/9/main" uri="{B025F937-C7B1-47D3-B67F-A62EFF666E3E}">
          <x14:id>{4CD4B2C8-B4FE-4437-9F16-F02129998DB9}</x14:id>
        </ext>
      </extLst>
    </cfRule>
  </conditionalFormatting>
  <conditionalFormatting sqref="D54:D64">
    <cfRule type="dataBar" priority="9">
      <dataBar showValue="1" minLength="10" maxLength="90">
        <cfvo type="num" val="0"/>
        <cfvo type="max" val="0"/>
        <color rgb="FF63A9B0"/>
      </dataBar>
      <extLst>
        <ext xmlns:x14="http://schemas.microsoft.com/office/spreadsheetml/2009/9/main" uri="{B025F937-C7B1-47D3-B67F-A62EFF666E3E}">
          <x14:id>{D7C0F9B4-3E20-44AE-B661-644F27ECD1DA}</x14:id>
        </ext>
      </extLst>
    </cfRule>
  </conditionalFormatting>
  <conditionalFormatting sqref="C40:D41">
    <cfRule type="colorScale" priority="10">
      <colorScale>
        <cfvo type="min" val="0"/>
        <cfvo type="max" val="0"/>
        <color rgb="FFF7FBFC"/>
        <color rgb="FF3B9AA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552A65-305A-4CD6-B816-12CA30608A45}">
            <x14:dataBar minLength="10" maxLength="90" axisPosition="none" gradient="true">
              <x14:cfvo type="num">
                <xm:f>0</xm:f>
              </x14:cfvo>
              <x14:cfvo type="max"/>
              <x14:negativeFillColor rgb="FF63A9B0"/>
              <x14:axisColor rgb="FF000000"/>
            </x14:dataBar>
          </x14:cfRule>
          <xm:sqref>E6:E11</xm:sqref>
        </x14:conditionalFormatting>
        <x14:conditionalFormatting xmlns:xm="http://schemas.microsoft.com/office/excel/2006/main">
          <x14:cfRule type="dataBar" id="{7C3BA2D0-5E33-4819-8073-A4CD4662F1D2}">
            <x14:dataBar minLength="10" maxLength="90" axisPosition="none" gradient="true">
              <x14:cfvo type="num">
                <xm:f>0</xm:f>
              </x14:cfvo>
              <x14:cfvo type="max"/>
              <x14:negativeFillColor rgb="FF63A9B0"/>
              <x14:axisColor rgb="FF000000"/>
            </x14:dataBar>
          </x14:cfRule>
          <xm:sqref>D25:D27</xm:sqref>
        </x14:conditionalFormatting>
        <x14:conditionalFormatting xmlns:xm="http://schemas.microsoft.com/office/excel/2006/main">
          <x14:cfRule type="dataBar" id="{4CD4B2C8-B4FE-4437-9F16-F02129998DB9}">
            <x14:dataBar minLength="10" maxLength="90" axisPosition="none" gradient="true">
              <x14:cfvo type="num">
                <xm:f>0</xm:f>
              </x14:cfvo>
              <x14:cfvo type="max"/>
              <x14:negativeFillColor rgb="FF63A9B0"/>
              <x14:axisColor rgb="FF000000"/>
            </x14:dataBar>
          </x14:cfRule>
          <xm:sqref>D32:D34</xm:sqref>
        </x14:conditionalFormatting>
        <x14:conditionalFormatting xmlns:xm="http://schemas.microsoft.com/office/excel/2006/main">
          <x14:cfRule type="dataBar" id="{D7C0F9B4-3E20-44AE-B661-644F27ECD1DA}">
            <x14:dataBar minLength="10" maxLength="90" axisPosition="none" gradient="true">
              <x14:cfvo type="num">
                <xm:f>0</xm:f>
              </x14:cfvo>
              <x14:cfvo type="max"/>
              <x14:negativeFillColor rgb="FF63A9B0"/>
              <x14:axisColor rgb="FF000000"/>
            </x14:dataBar>
          </x14:cfRule>
          <xm:sqref>D54:D64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B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"/>
  </cols>
  <sheetData>
    <row r="1" customFormat="false" ht="33.75" hidden="false" customHeight="true" outlineLevel="0" collapsed="false">
      <c r="B1" s="1" t="s">
        <v>113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114</v>
      </c>
    </row>
    <row r="4" customFormat="false" ht="15" hidden="false" customHeight="false" outlineLevel="0" collapsed="false">
      <c r="B4" s="3" t="s">
        <v>115</v>
      </c>
    </row>
    <row r="5" customFormat="false" ht="15" hidden="false" customHeight="false" outlineLevel="0" collapsed="false">
      <c r="B5" s="33" t="s">
        <v>116</v>
      </c>
      <c r="C5" s="34" t="s">
        <v>117</v>
      </c>
      <c r="D5" s="2" t="s">
        <v>118</v>
      </c>
    </row>
    <row r="6" customFormat="false" ht="15" hidden="false" customHeight="false" outlineLevel="0" collapsed="false">
      <c r="B6" s="5" t="s">
        <v>119</v>
      </c>
      <c r="C6" s="5" t="s">
        <v>120</v>
      </c>
      <c r="D6" s="5" t="s">
        <v>121</v>
      </c>
      <c r="E6" s="5" t="s">
        <v>122</v>
      </c>
    </row>
    <row r="7" customFormat="false" ht="15" hidden="false" customHeight="true" outlineLevel="0" collapsed="false">
      <c r="B7" s="7" t="s">
        <v>84</v>
      </c>
      <c r="C7" s="7" t="str">
        <f aca="false">IFERROR(VLOOKUP($C$5,Clean_Data!$A:$P,3,FALSE()),"Not found")</f>
        <v>Yangon</v>
      </c>
      <c r="D7" s="7" t="str">
        <f aca="false">IFERROR(INDEX(Clean_Data!$C:$C,MATCH($C$5,Clean_Data!$A:$A,0)),"Not found")</f>
        <v>Yangon</v>
      </c>
      <c r="E7" s="7" t="str">
        <f aca="false">IF(C7=D7,"Match","Check")</f>
        <v>Match</v>
      </c>
      <c r="F7" s="35" t="s">
        <v>123</v>
      </c>
      <c r="G7" s="35"/>
      <c r="H7" s="35"/>
    </row>
    <row r="8" customFormat="false" ht="15" hidden="false" customHeight="false" outlineLevel="0" collapsed="false">
      <c r="B8" s="7" t="s">
        <v>67</v>
      </c>
      <c r="C8" s="7" t="str">
        <f aca="false">IFERROR(VLOOKUP($C$5,Clean_Data!$A:$P,6,FALSE()),"Not found")</f>
        <v>Health and beauty</v>
      </c>
      <c r="D8" s="7" t="str">
        <f aca="false">IFERROR(INDEX(Clean_Data!$F:$F,MATCH($C$5,Clean_Data!$A:$A,0)),"Not found")</f>
        <v>Health and beauty</v>
      </c>
      <c r="E8" s="7" t="str">
        <f aca="false">IF(C8=D8,"Match","Check")</f>
        <v>Match</v>
      </c>
      <c r="F8" s="35"/>
      <c r="G8" s="35"/>
      <c r="H8" s="35"/>
    </row>
    <row r="9" customFormat="false" ht="15" hidden="false" customHeight="false" outlineLevel="0" collapsed="false">
      <c r="B9" s="7" t="s">
        <v>124</v>
      </c>
      <c r="C9" s="7" t="n">
        <f aca="false">IFERROR(VLOOKUP($C$5,Clean_Data!$A:$P,8,FALSE()),"Not found")</f>
        <v>7</v>
      </c>
      <c r="D9" s="7" t="n">
        <f aca="false">IFERROR(INDEX(Clean_Data!$H:$H,MATCH($C$5,Clean_Data!$A:$A,0)),"Not found")</f>
        <v>7</v>
      </c>
      <c r="E9" s="7" t="str">
        <f aca="false">IF(C9=D9,"Match","Check")</f>
        <v>Match</v>
      </c>
      <c r="F9" s="35"/>
      <c r="G9" s="35"/>
      <c r="H9" s="35"/>
    </row>
    <row r="10" customFormat="false" ht="15" hidden="false" customHeight="false" outlineLevel="0" collapsed="false">
      <c r="B10" s="7" t="s">
        <v>82</v>
      </c>
      <c r="C10" s="7" t="n">
        <f aca="false">IFERROR(VLOOKUP($C$5,Clean_Data!$A:$P,10,FALSE()),"Not found")</f>
        <v>548.9715</v>
      </c>
      <c r="D10" s="36" t="n">
        <f aca="false">IFERROR(INDEX(Clean_Data!$J:$J,MATCH($C$5,Clean_Data!$A:$A,0)),"Not found")</f>
        <v>548.9715</v>
      </c>
      <c r="E10" s="7" t="str">
        <f aca="false">IF(C10=D10,"Match","Check")</f>
        <v>Match</v>
      </c>
      <c r="F10" s="35"/>
      <c r="G10" s="35"/>
      <c r="H10" s="35"/>
    </row>
    <row r="11" customFormat="false" ht="15" hidden="false" customHeight="false" outlineLevel="0" collapsed="false">
      <c r="B11" s="7" t="s">
        <v>125</v>
      </c>
      <c r="C11" s="7" t="n">
        <f aca="false">IFERROR(VLOOKUP($C$5,Clean_Data!$A:$P,16,FALSE()),"Not found")</f>
        <v>9.1</v>
      </c>
      <c r="D11" s="37" t="n">
        <f aca="false">IFERROR(INDEX(Clean_Data!$P:$P,MATCH($C$5,Clean_Data!$A:$A,0)),"Not found")</f>
        <v>9.1</v>
      </c>
      <c r="E11" s="7" t="str">
        <f aca="false">IF(C11=D11,"Match","Check")</f>
        <v>Match</v>
      </c>
      <c r="F11" s="35"/>
      <c r="G11" s="35"/>
      <c r="H11" s="35"/>
    </row>
    <row r="14" customFormat="false" ht="15" hidden="false" customHeight="false" outlineLevel="0" collapsed="false">
      <c r="B14" s="3" t="s">
        <v>126</v>
      </c>
    </row>
    <row r="15" customFormat="false" ht="15" hidden="false" customHeight="true" outlineLevel="0" collapsed="false">
      <c r="B15" s="33" t="s">
        <v>127</v>
      </c>
      <c r="C15" s="34" t="s">
        <v>86</v>
      </c>
      <c r="F15" s="35" t="s">
        <v>128</v>
      </c>
      <c r="G15" s="35"/>
      <c r="H15" s="35"/>
    </row>
    <row r="16" customFormat="false" ht="15" hidden="false" customHeight="false" outlineLevel="0" collapsed="false">
      <c r="B16" s="33" t="s">
        <v>129</v>
      </c>
      <c r="C16" s="7" t="str">
        <f aca="false">IFERROR(INDEX(Lists!$A$2:$A$4,MATCH($C$15,Lists!$B$2:$B$4,0)),"Not found")</f>
        <v>B</v>
      </c>
      <c r="F16" s="35"/>
      <c r="G16" s="35"/>
      <c r="H16" s="35"/>
    </row>
    <row r="19" customFormat="false" ht="15" hidden="false" customHeight="false" outlineLevel="0" collapsed="false">
      <c r="B19" s="3" t="s">
        <v>130</v>
      </c>
    </row>
    <row r="20" customFormat="false" ht="15" hidden="false" customHeight="true" outlineLevel="0" collapsed="false">
      <c r="B20" s="33" t="s">
        <v>131</v>
      </c>
      <c r="C20" s="34" t="s">
        <v>85</v>
      </c>
      <c r="F20" s="35" t="s">
        <v>132</v>
      </c>
      <c r="G20" s="35"/>
      <c r="H20" s="35"/>
    </row>
    <row r="21" customFormat="false" ht="15" hidden="false" customHeight="false" outlineLevel="0" collapsed="false">
      <c r="B21" s="33" t="s">
        <v>133</v>
      </c>
      <c r="C21" s="34" t="s">
        <v>76</v>
      </c>
      <c r="F21" s="35"/>
      <c r="G21" s="35"/>
      <c r="H21" s="35"/>
    </row>
    <row r="22" customFormat="false" ht="15" hidden="false" customHeight="false" outlineLevel="0" collapsed="false">
      <c r="B22" s="33" t="s">
        <v>134</v>
      </c>
      <c r="C22" s="38" t="n">
        <f aca="false">IFERROR(INDEX(Pivot_Analysis!$C$17:$H$19,MATCH($C$20,Pivot_Analysis!$B$17:$B$19,0),MATCH($C$21,Pivot_Analysis!$C$16:$H$16,0)),"Not found")</f>
        <v>17163.1005</v>
      </c>
      <c r="F22" s="35"/>
      <c r="G22" s="35"/>
      <c r="H22" s="35"/>
    </row>
    <row r="25" customFormat="false" ht="15" hidden="false" customHeight="false" outlineLevel="0" collapsed="false">
      <c r="B25" s="3" t="s">
        <v>135</v>
      </c>
    </row>
    <row r="26" customFormat="false" ht="15" hidden="false" customHeight="false" outlineLevel="0" collapsed="false">
      <c r="B26" s="5" t="s">
        <v>67</v>
      </c>
      <c r="C26" s="5" t="s">
        <v>70</v>
      </c>
      <c r="D26" s="5" t="s">
        <v>136</v>
      </c>
      <c r="E26" s="5" t="s">
        <v>137</v>
      </c>
      <c r="F26" s="5" t="s">
        <v>138</v>
      </c>
      <c r="G26" s="5" t="s">
        <v>139</v>
      </c>
    </row>
    <row r="27" customFormat="false" ht="15" hidden="false" customHeight="false" outlineLevel="0" collapsed="false">
      <c r="B27" s="21" t="str">
        <f aca="false">Pivot_Analysis!B6</f>
        <v>Food and beverages</v>
      </c>
      <c r="C27" s="22" t="n">
        <f aca="false">Pivot_Analysis!E6</f>
        <v>56144.844</v>
      </c>
      <c r="D27" s="22" t="n">
        <f aca="false">AVERAGE(Pivot_Analysis!$E$6:$E$11)</f>
        <v>53827.7915</v>
      </c>
      <c r="E27" s="24" t="n">
        <f aca="false">IFERROR(C27/D27,0)</f>
        <v>1.04304565421377</v>
      </c>
      <c r="F27" s="7" t="str">
        <f aca="false">IF(E27&gt;=1+setPerfBand,"Above average",IF(E27&gt;=1-setPerfBand,"On par","Below average"))</f>
        <v>On par</v>
      </c>
      <c r="G27" s="7" t="str">
        <f aca="false">IF(AND(F27="Above average",Pivot_Analysis!H6&gt;=Pivot_Analysis!$H$12),"Star: push",IF(OR(F27="Below average",Pivot_Analysis!H6&lt;Pivot_Analysis!$H$12-0.2),"Review","Maintain"))</f>
        <v>Maintain</v>
      </c>
    </row>
    <row r="28" customFormat="false" ht="15" hidden="false" customHeight="false" outlineLevel="0" collapsed="false">
      <c r="B28" s="21" t="str">
        <f aca="false">Pivot_Analysis!B7</f>
        <v>Sports and travel</v>
      </c>
      <c r="C28" s="22" t="n">
        <f aca="false">Pivot_Analysis!E7</f>
        <v>55122.8265</v>
      </c>
      <c r="D28" s="22" t="n">
        <f aca="false">AVERAGE(Pivot_Analysis!$E$6:$E$11)</f>
        <v>53827.7915</v>
      </c>
      <c r="E28" s="24" t="n">
        <f aca="false">IFERROR(C28/D28,0)</f>
        <v>1.02405885443024</v>
      </c>
      <c r="F28" s="7" t="str">
        <f aca="false">IF(E28&gt;=1+setPerfBand,"Above average",IF(E28&gt;=1-setPerfBand,"On par","Below average"))</f>
        <v>On par</v>
      </c>
      <c r="G28" s="7" t="str">
        <f aca="false">IF(AND(F28="Above average",Pivot_Analysis!H7&gt;=Pivot_Analysis!$H$12),"Star: push",IF(OR(F28="Below average",Pivot_Analysis!H7&lt;Pivot_Analysis!$H$12-0.2),"Review","Maintain"))</f>
        <v>Maintain</v>
      </c>
    </row>
    <row r="29" customFormat="false" ht="15" hidden="false" customHeight="false" outlineLevel="0" collapsed="false">
      <c r="B29" s="21" t="str">
        <f aca="false">Pivot_Analysis!B8</f>
        <v>Electronic accessories</v>
      </c>
      <c r="C29" s="22" t="n">
        <f aca="false">Pivot_Analysis!E8</f>
        <v>54337.5315</v>
      </c>
      <c r="D29" s="22" t="n">
        <f aca="false">AVERAGE(Pivot_Analysis!$E$6:$E$11)</f>
        <v>53827.7915</v>
      </c>
      <c r="E29" s="24" t="n">
        <f aca="false">IFERROR(C29/D29,0)</f>
        <v>1.00946982935386</v>
      </c>
      <c r="F29" s="7" t="str">
        <f aca="false">IF(E29&gt;=1+setPerfBand,"Above average",IF(E29&gt;=1-setPerfBand,"On par","Below average"))</f>
        <v>On par</v>
      </c>
      <c r="G29" s="7" t="str">
        <f aca="false">IF(AND(F29="Above average",Pivot_Analysis!H8&gt;=Pivot_Analysis!$H$12),"Star: push",IF(OR(F29="Below average",Pivot_Analysis!H8&lt;Pivot_Analysis!$H$12-0.2),"Review","Maintain"))</f>
        <v>Maintain</v>
      </c>
    </row>
    <row r="30" customFormat="false" ht="15" hidden="false" customHeight="false" outlineLevel="0" collapsed="false">
      <c r="B30" s="21" t="str">
        <f aca="false">Pivot_Analysis!B9</f>
        <v>Fashion accessories</v>
      </c>
      <c r="C30" s="22" t="n">
        <f aca="false">Pivot_Analysis!E9</f>
        <v>54305.895</v>
      </c>
      <c r="D30" s="22" t="n">
        <f aca="false">AVERAGE(Pivot_Analysis!$E$6:$E$11)</f>
        <v>53827.7915</v>
      </c>
      <c r="E30" s="24" t="n">
        <f aca="false">IFERROR(C30/D30,0)</f>
        <v>1.00888209392726</v>
      </c>
      <c r="F30" s="7" t="str">
        <f aca="false">IF(E30&gt;=1+setPerfBand,"Above average",IF(E30&gt;=1-setPerfBand,"On par","Below average"))</f>
        <v>On par</v>
      </c>
      <c r="G30" s="7" t="str">
        <f aca="false">IF(AND(F30="Above average",Pivot_Analysis!H9&gt;=Pivot_Analysis!$H$12),"Star: push",IF(OR(F30="Below average",Pivot_Analysis!H9&lt;Pivot_Analysis!$H$12-0.2),"Review","Maintain"))</f>
        <v>Maintain</v>
      </c>
    </row>
    <row r="31" customFormat="false" ht="15" hidden="false" customHeight="false" outlineLevel="0" collapsed="false">
      <c r="B31" s="21" t="str">
        <f aca="false">Pivot_Analysis!B10</f>
        <v>Home and lifestyle</v>
      </c>
      <c r="C31" s="22" t="n">
        <f aca="false">Pivot_Analysis!E10</f>
        <v>53861.913</v>
      </c>
      <c r="D31" s="22" t="n">
        <f aca="false">AVERAGE(Pivot_Analysis!$E$6:$E$11)</f>
        <v>53827.7915</v>
      </c>
      <c r="E31" s="24" t="n">
        <f aca="false">IFERROR(C31/D31,0)</f>
        <v>1.00063390116981</v>
      </c>
      <c r="F31" s="7" t="str">
        <f aca="false">IF(E31&gt;=1+setPerfBand,"Above average",IF(E31&gt;=1-setPerfBand,"On par","Below average"))</f>
        <v>On par</v>
      </c>
      <c r="G31" s="7" t="str">
        <f aca="false">IF(AND(F31="Above average",Pivot_Analysis!H10&gt;=Pivot_Analysis!$H$12),"Star: push",IF(OR(F31="Below average",Pivot_Analysis!H10&lt;Pivot_Analysis!$H$12-0.2),"Review","Maintain"))</f>
        <v>Maintain</v>
      </c>
    </row>
    <row r="32" customFormat="false" ht="15" hidden="false" customHeight="false" outlineLevel="0" collapsed="false">
      <c r="B32" s="21" t="str">
        <f aca="false">Pivot_Analysis!B11</f>
        <v>Health and beauty</v>
      </c>
      <c r="C32" s="22" t="n">
        <f aca="false">Pivot_Analysis!E11</f>
        <v>49193.739</v>
      </c>
      <c r="D32" s="22" t="n">
        <f aca="false">AVERAGE(Pivot_Analysis!$E$6:$E$11)</f>
        <v>53827.7915</v>
      </c>
      <c r="E32" s="24" t="n">
        <f aca="false">IFERROR(C32/D32,0)</f>
        <v>0.91390966690506</v>
      </c>
      <c r="F32" s="7" t="str">
        <f aca="false">IF(E32&gt;=1+setPerfBand,"Above average",IF(E32&gt;=1-setPerfBand,"On par","Below average"))</f>
        <v>Below average</v>
      </c>
      <c r="G32" s="7" t="str">
        <f aca="false">IF(AND(F32="Above average",Pivot_Analysis!H11&gt;=Pivot_Analysis!$H$12),"Star: push",IF(OR(F32="Below average",Pivot_Analysis!H11&lt;Pivot_Analysis!$H$12-0.2),"Review","Maintain"))</f>
        <v>Review</v>
      </c>
    </row>
    <row r="33" customFormat="false" ht="24" hidden="false" customHeight="true" outlineLevel="0" collapsed="false">
      <c r="B33" s="35" t="s">
        <v>140</v>
      </c>
      <c r="C33" s="35"/>
      <c r="D33" s="35"/>
      <c r="E33" s="35"/>
      <c r="F33" s="35"/>
      <c r="G33" s="35"/>
      <c r="H33" s="35"/>
    </row>
    <row r="34" customFormat="false" ht="15" hidden="false" customHeight="false" outlineLevel="0" collapsed="false">
      <c r="B34" s="35"/>
      <c r="C34" s="35"/>
      <c r="D34" s="35"/>
      <c r="E34" s="35"/>
      <c r="F34" s="35"/>
      <c r="G34" s="35"/>
      <c r="H34" s="35"/>
    </row>
    <row r="37" customFormat="false" ht="15" hidden="false" customHeight="false" outlineLevel="0" collapsed="false">
      <c r="B37" s="3" t="s">
        <v>141</v>
      </c>
    </row>
    <row r="38" customFormat="false" ht="15" hidden="false" customHeight="false" outlineLevel="0" collapsed="false">
      <c r="B38" s="39" t="str">
        <f aca="false">"Top product line: "&amp;INDEX(Pivot_Analysis!B6:B11,MATCH(MAX(Pivot_Analysis!E6:E11),Pivot_Analysis!E6:E11,0))&amp;" ("&amp;TEXT(MAX(Pivot_Analysis!E6:E11),"#,##0")&amp;" in sales, "&amp;TEXT(MAX(Pivot_Analysis!I6:I11),"0.0%")&amp;" of total)"</f>
        <v>Top product line: Food and beverages (56,145 in sales, 17.4% of total)</v>
      </c>
      <c r="C38" s="39"/>
      <c r="D38" s="39"/>
      <c r="E38" s="39"/>
      <c r="F38" s="39"/>
      <c r="G38" s="39"/>
      <c r="H38" s="39"/>
    </row>
    <row r="39" customFormat="false" ht="15" hidden="false" customHeight="false" outlineLevel="0" collapsed="false">
      <c r="B39" s="39" t="str">
        <f aca="false">"Weakest product line: "&amp;INDEX(Pivot_Analysis!B6:B11,MATCH(MIN(Pivot_Analysis!E6:E11),Pivot_Analysis!E6:E11,0))&amp;" ("&amp;TEXT(MIN(Pivot_Analysis!E6:E11),"#,##0")&amp;")"</f>
        <v>Weakest product line: Health and beauty (49,194)</v>
      </c>
      <c r="C39" s="39"/>
      <c r="D39" s="39"/>
      <c r="E39" s="39"/>
      <c r="F39" s="39"/>
      <c r="G39" s="39"/>
      <c r="H39" s="39"/>
    </row>
    <row r="40" customFormat="false" ht="15" hidden="false" customHeight="false" outlineLevel="0" collapsed="false">
      <c r="B40" s="39" t="str">
        <f aca="false">"Top city: "&amp;INDEX(Pivot_Analysis!B17:B19,MATCH(MAX(Pivot_Analysis!I17:I19),Pivot_Analysis!I17:I19,0))&amp;" ("&amp;TEXT(MAX(Pivot_Analysis!I17:I19),"#,##0")&amp;")"</f>
        <v>Top city: Naypyitaw (110,569)</v>
      </c>
      <c r="C40" s="39"/>
      <c r="D40" s="39"/>
      <c r="E40" s="39"/>
      <c r="F40" s="39"/>
      <c r="G40" s="39"/>
      <c r="H40" s="39"/>
    </row>
    <row r="41" customFormat="false" ht="15" hidden="false" customHeight="false" outlineLevel="0" collapsed="false">
      <c r="B41" s="39" t="str">
        <f aca="false">"Best month: "&amp;INDEX(Pivot_Analysis!B25:B27,MATCH(MAX(Pivot_Analysis!D25:D27),Pivot_Analysis!D25:D27,0))&amp;" ("&amp;TEXT(MAX(Pivot_Analysis!D25:D27),"#,##0")&amp;")"</f>
        <v>Best month: Jan (116,292)</v>
      </c>
      <c r="C41" s="39"/>
      <c r="D41" s="39"/>
      <c r="E41" s="39"/>
      <c r="F41" s="39"/>
      <c r="G41" s="39"/>
      <c r="H41" s="39"/>
    </row>
    <row r="42" customFormat="false" ht="15" hidden="false" customHeight="false" outlineLevel="0" collapsed="false">
      <c r="B42" s="39" t="str">
        <f aca="false">"Most used payment: "&amp;INDEX(Pivot_Analysis!B32:B34,MATCH(MAX(Pivot_Analysis!C32:C34),Pivot_Analysis!C32:C34,0))&amp;" ("&amp;MAX(Pivot_Analysis!C32:C34)&amp;" invoices)"</f>
        <v>Most used payment: Ewallet (345 invoices)</v>
      </c>
      <c r="C42" s="39"/>
      <c r="D42" s="39"/>
      <c r="E42" s="39"/>
      <c r="F42" s="39"/>
      <c r="G42" s="39"/>
      <c r="H42" s="39"/>
    </row>
    <row r="43" customFormat="false" ht="15" hidden="false" customHeight="false" outlineLevel="0" collapsed="false">
      <c r="B43" s="39" t="str">
        <f aca="false">"Peak hour: "&amp;INDEX(Pivot_Analysis!B54:B64,MATCH(MAX(Pivot_Analysis!D54:D64),Pivot_Analysis!D54:D64,0))&amp;":00 ("&amp;TEXT(MAX(Pivot_Analysis!D54:D64),"#,##0")&amp;" in sales)"</f>
        <v>Peak hour: 19:00 (39,700 in sales)</v>
      </c>
      <c r="C43" s="39"/>
      <c r="D43" s="39"/>
      <c r="E43" s="39"/>
      <c r="F43" s="39"/>
      <c r="G43" s="39"/>
      <c r="H43" s="39"/>
    </row>
    <row r="44" customFormat="false" ht="15" hidden="false" customHeight="false" outlineLevel="0" collapsed="false">
      <c r="B44" s="39" t="str">
        <f aca="false">"Members vs Normal: "&amp;TEXT(Pivot_Analysis!E40/Pivot_Analysis!E42,"0.0%")&amp;" of sales come from Members"</f>
        <v>Members vs Normal: 50.8% of sales come from Members</v>
      </c>
      <c r="C44" s="39"/>
      <c r="D44" s="39"/>
      <c r="E44" s="39"/>
      <c r="F44" s="39"/>
      <c r="G44" s="39"/>
      <c r="H44" s="39"/>
    </row>
  </sheetData>
  <mergeCells count="12">
    <mergeCell ref="B1:H1"/>
    <mergeCell ref="F7:H11"/>
    <mergeCell ref="F15:H16"/>
    <mergeCell ref="F20:H22"/>
    <mergeCell ref="B33:H34"/>
    <mergeCell ref="B38:H38"/>
    <mergeCell ref="B39:H39"/>
    <mergeCell ref="B40:H40"/>
    <mergeCell ref="B41:H41"/>
    <mergeCell ref="B42:H42"/>
    <mergeCell ref="B43:H43"/>
    <mergeCell ref="B44:H44"/>
  </mergeCells>
  <conditionalFormatting sqref="F27:F32">
    <cfRule type="cellIs" priority="2" operator="equal" aboveAverage="0" equalAverage="0" bottom="0" percent="0" rank="0" text="" dxfId="3">
      <formula>"Above average"</formula>
    </cfRule>
    <cfRule type="cellIs" priority="3" operator="equal" aboveAverage="0" equalAverage="0" bottom="0" percent="0" rank="0" text="" dxfId="4">
      <formula>"Below average"</formula>
    </cfRule>
    <cfRule type="cellIs" priority="4" operator="equal" aboveAverage="0" equalAverage="0" bottom="0" percent="0" rank="0" text="" dxfId="5">
      <formula>"On par"</formula>
    </cfRule>
  </conditionalFormatting>
  <conditionalFormatting sqref="G27:G32">
    <cfRule type="expression" priority="5" aboveAverage="0" equalAverage="0" bottom="0" percent="0" rank="0" text="" dxfId="2">
      <formula>LEFT(G27,4)="Star"</formula>
    </cfRule>
    <cfRule type="cellIs" priority="6" operator="equal" aboveAverage="0" equalAverage="0" bottom="0" percent="0" rank="0" text="" dxfId="1">
      <formula>"Review"</formula>
    </cfRule>
  </conditionalFormatting>
  <dataValidations count="3">
    <dataValidation allowBlank="false" error="Please pick a value from the list." errorStyle="stop" errorTitle="Invalid choice" operator="between" showDropDown="false" showErrorMessage="false" showInputMessage="false" sqref="C15" type="list">
      <formula1>Lists!$B$2:$B$4</formula1>
      <formula2>0</formula2>
    </dataValidation>
    <dataValidation allowBlank="false" error="Please pick a value from the list." errorStyle="stop" errorTitle="Invalid choice" operator="between" showDropDown="false" showErrorMessage="false" showInputMessage="false" sqref="C20" type="list">
      <formula1>Lists!$B$2:$B$4</formula1>
      <formula2>0</formula2>
    </dataValidation>
    <dataValidation allowBlank="false" error="Please pick a value from the list." errorStyle="stop" errorTitle="Invalid choice" operator="between" showDropDown="false" showErrorMessage="false" showInputMessage="false" sqref="C21" type="list">
      <formula1>Lists!$D$2:$D$7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B"/>
    <pageSetUpPr fitToPage="false"/>
  </sheetPr>
  <dimension ref="B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8" min="5" style="0" width="4"/>
  </cols>
  <sheetData>
    <row r="1" customFormat="false" ht="33.75" hidden="false" customHeight="true" outlineLevel="0" collapsed="false">
      <c r="B1" s="1" t="s">
        <v>142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143</v>
      </c>
    </row>
    <row r="4" customFormat="false" ht="15" hidden="false" customHeight="false" outlineLevel="0" collapsed="false">
      <c r="B4" s="21" t="s">
        <v>144</v>
      </c>
      <c r="C4" s="21" t="str">
        <f aca="false">IF(Dashboard!$B$5="All","*",Dashboard!$B$5)</f>
        <v>*</v>
      </c>
      <c r="D4" s="2" t="s">
        <v>145</v>
      </c>
    </row>
    <row r="5" customFormat="false" ht="15" hidden="false" customHeight="false" outlineLevel="0" collapsed="false">
      <c r="B5" s="21" t="s">
        <v>146</v>
      </c>
      <c r="C5" s="21" t="str">
        <f aca="false">IF(Dashboard!$E$5="All","*",Dashboard!$E$5)</f>
        <v>*</v>
      </c>
    </row>
    <row r="6" customFormat="false" ht="15" hidden="false" customHeight="false" outlineLevel="0" collapsed="false">
      <c r="B6" s="21" t="s">
        <v>147</v>
      </c>
      <c r="C6" s="21" t="str">
        <f aca="false">IF(Dashboard!$I$5="All","*",Dashboard!$I$5)</f>
        <v>*</v>
      </c>
    </row>
    <row r="8" customFormat="false" ht="15" hidden="false" customHeight="false" outlineLevel="0" collapsed="false">
      <c r="B8" s="3" t="s">
        <v>148</v>
      </c>
    </row>
    <row r="9" customFormat="false" ht="15" hidden="false" customHeight="false" outlineLevel="0" collapsed="false">
      <c r="B9" s="5" t="s">
        <v>67</v>
      </c>
      <c r="C9" s="5" t="s">
        <v>70</v>
      </c>
    </row>
    <row r="10" customFormat="false" ht="15" hidden="false" customHeight="false" outlineLevel="0" collapsed="false">
      <c r="B10" s="21" t="s">
        <v>76</v>
      </c>
      <c r="C10" s="22" t="n">
        <f aca="false">SUMIFS(rngTotal,rngCity,$C$4,rngProduct,B10,rngMonth,$C$6)</f>
        <v>56144.844</v>
      </c>
    </row>
    <row r="11" customFormat="false" ht="15" hidden="false" customHeight="false" outlineLevel="0" collapsed="false">
      <c r="B11" s="21" t="s">
        <v>77</v>
      </c>
      <c r="C11" s="22" t="n">
        <f aca="false">SUMIFS(rngTotal,rngCity,$C$4,rngProduct,B11,rngMonth,$C$6)</f>
        <v>55122.8265</v>
      </c>
    </row>
    <row r="12" customFormat="false" ht="15" hidden="false" customHeight="false" outlineLevel="0" collapsed="false">
      <c r="B12" s="21" t="s">
        <v>78</v>
      </c>
      <c r="C12" s="22" t="n">
        <f aca="false">SUMIFS(rngTotal,rngCity,$C$4,rngProduct,B12,rngMonth,$C$6)</f>
        <v>54337.5315</v>
      </c>
    </row>
    <row r="13" customFormat="false" ht="15" hidden="false" customHeight="false" outlineLevel="0" collapsed="false">
      <c r="B13" s="21" t="s">
        <v>79</v>
      </c>
      <c r="C13" s="22" t="n">
        <f aca="false">SUMIFS(rngTotal,rngCity,$C$4,rngProduct,B13,rngMonth,$C$6)</f>
        <v>54305.895</v>
      </c>
    </row>
    <row r="14" customFormat="false" ht="15" hidden="false" customHeight="false" outlineLevel="0" collapsed="false">
      <c r="B14" s="21" t="s">
        <v>80</v>
      </c>
      <c r="C14" s="22" t="n">
        <f aca="false">SUMIFS(rngTotal,rngCity,$C$4,rngProduct,B14,rngMonth,$C$6)</f>
        <v>53861.913</v>
      </c>
    </row>
    <row r="15" customFormat="false" ht="15" hidden="false" customHeight="false" outlineLevel="0" collapsed="false">
      <c r="B15" s="21" t="s">
        <v>81</v>
      </c>
      <c r="C15" s="22" t="n">
        <f aca="false">SUMIFS(rngTotal,rngCity,$C$4,rngProduct,B15,rngMonth,$C$6)</f>
        <v>49193.739</v>
      </c>
    </row>
    <row r="17" customFormat="false" ht="15" hidden="false" customHeight="false" outlineLevel="0" collapsed="false">
      <c r="B17" s="3" t="s">
        <v>149</v>
      </c>
    </row>
    <row r="18" customFormat="false" ht="15" hidden="false" customHeight="false" outlineLevel="0" collapsed="false">
      <c r="B18" s="5" t="s">
        <v>150</v>
      </c>
      <c r="C18" s="5" t="s">
        <v>70</v>
      </c>
      <c r="D18" s="5" t="s">
        <v>151</v>
      </c>
    </row>
    <row r="19" customFormat="false" ht="15" hidden="false" customHeight="false" outlineLevel="0" collapsed="false">
      <c r="B19" s="21" t="str">
        <f aca="false">TEXT(setMinDate+(D19-1)*7,"d mmm")</f>
        <v>1 Jan</v>
      </c>
      <c r="C19" s="22" t="n">
        <f aca="false">SUMIFS(rngTotal,rngCity,$C$4,rngProduct,$C$5,rngWeek,D19)</f>
        <v>20377.6335</v>
      </c>
      <c r="D19" s="21" t="n">
        <v>1</v>
      </c>
    </row>
    <row r="20" customFormat="false" ht="15" hidden="false" customHeight="false" outlineLevel="0" collapsed="false">
      <c r="B20" s="21" t="str">
        <f aca="false">TEXT(setMinDate+(D20-1)*7,"d mmm")</f>
        <v>8 Jan</v>
      </c>
      <c r="C20" s="22" t="n">
        <f aca="false">SUMIFS(rngTotal,rngCity,$C$4,rngProduct,$C$5,rngWeek,D20)</f>
        <v>25593.5715</v>
      </c>
      <c r="D20" s="21" t="n">
        <v>2</v>
      </c>
    </row>
    <row r="21" customFormat="false" ht="15" hidden="false" customHeight="false" outlineLevel="0" collapsed="false">
      <c r="B21" s="21" t="str">
        <f aca="false">TEXT(setMinDate+(D21-1)*7,"d mmm")</f>
        <v>15 Jan</v>
      </c>
      <c r="C21" s="22" t="n">
        <f aca="false">SUMIFS(rngTotal,rngCity,$C$4,rngProduct,$C$5,rngWeek,D21)</f>
        <v>27118.8435</v>
      </c>
      <c r="D21" s="21" t="n">
        <v>3</v>
      </c>
    </row>
    <row r="22" customFormat="false" ht="15" hidden="false" customHeight="false" outlineLevel="0" collapsed="false">
      <c r="B22" s="21" t="str">
        <f aca="false">TEXT(setMinDate+(D22-1)*7,"d mmm")</f>
        <v>22 Jan</v>
      </c>
      <c r="C22" s="22" t="n">
        <f aca="false">SUMIFS(rngTotal,rngCity,$C$4,rngProduct,$C$5,rngWeek,D22)</f>
        <v>31894.4955</v>
      </c>
      <c r="D22" s="21" t="n">
        <v>4</v>
      </c>
    </row>
    <row r="23" customFormat="false" ht="15" hidden="false" customHeight="false" outlineLevel="0" collapsed="false">
      <c r="B23" s="21" t="str">
        <f aca="false">TEXT(setMinDate+(D23-1)*7,"d mmm")</f>
        <v>29 Jan</v>
      </c>
      <c r="C23" s="22" t="n">
        <f aca="false">SUMIFS(rngTotal,rngCity,$C$4,rngProduct,$C$5,rngWeek,D23)</f>
        <v>25800.2325</v>
      </c>
      <c r="D23" s="21" t="n">
        <v>5</v>
      </c>
    </row>
    <row r="24" customFormat="false" ht="15" hidden="false" customHeight="false" outlineLevel="0" collapsed="false">
      <c r="B24" s="21" t="str">
        <f aca="false">TEXT(setMinDate+(D24-1)*7,"d mmm")</f>
        <v>5 Feb</v>
      </c>
      <c r="C24" s="22" t="n">
        <f aca="false">SUMIFS(rngTotal,rngCity,$C$4,rngProduct,$C$5,rngWeek,D24)</f>
        <v>29204.49</v>
      </c>
      <c r="D24" s="21" t="n">
        <v>6</v>
      </c>
    </row>
    <row r="25" customFormat="false" ht="15" hidden="false" customHeight="false" outlineLevel="0" collapsed="false">
      <c r="B25" s="21" t="str">
        <f aca="false">TEXT(setMinDate+(D25-1)*7,"d mmm")</f>
        <v>12 Feb</v>
      </c>
      <c r="C25" s="22" t="n">
        <f aca="false">SUMIFS(rngTotal,rngCity,$C$4,rngProduct,$C$5,rngWeek,D25)</f>
        <v>22517.4705</v>
      </c>
      <c r="D25" s="21" t="n">
        <v>7</v>
      </c>
    </row>
    <row r="26" customFormat="false" ht="15" hidden="false" customHeight="false" outlineLevel="0" collapsed="false">
      <c r="B26" s="21" t="str">
        <f aca="false">TEXT(setMinDate+(D26-1)*7,"d mmm")</f>
        <v>19 Feb</v>
      </c>
      <c r="C26" s="22" t="n">
        <f aca="false">SUMIFS(rngTotal,rngCity,$C$4,rngProduct,$C$5,rngWeek,D26)</f>
        <v>20639.871</v>
      </c>
      <c r="D26" s="21" t="n">
        <v>8</v>
      </c>
    </row>
    <row r="27" customFormat="false" ht="15" hidden="false" customHeight="false" outlineLevel="0" collapsed="false">
      <c r="B27" s="21" t="str">
        <f aca="false">TEXT(setMinDate+(D27-1)*7,"d mmm")</f>
        <v>26 Feb</v>
      </c>
      <c r="C27" s="22" t="n">
        <f aca="false">SUMIFS(rngTotal,rngCity,$C$4,rngProduct,$C$5,rngWeek,D27)</f>
        <v>28306.9185</v>
      </c>
      <c r="D27" s="21" t="n">
        <v>9</v>
      </c>
    </row>
    <row r="28" customFormat="false" ht="15" hidden="false" customHeight="false" outlineLevel="0" collapsed="false">
      <c r="B28" s="21" t="str">
        <f aca="false">TEXT(setMinDate+(D28-1)*7,"d mmm")</f>
        <v>5 Mar</v>
      </c>
      <c r="C28" s="22" t="n">
        <f aca="false">SUMIFS(rngTotal,rngCity,$C$4,rngProduct,$C$5,rngWeek,D28)</f>
        <v>27485.6505</v>
      </c>
      <c r="D28" s="21" t="n">
        <v>10</v>
      </c>
    </row>
    <row r="29" customFormat="false" ht="15" hidden="false" customHeight="false" outlineLevel="0" collapsed="false">
      <c r="B29" s="21" t="str">
        <f aca="false">TEXT(setMinDate+(D29-1)*7,"d mmm")</f>
        <v>12 Mar</v>
      </c>
      <c r="C29" s="22" t="n">
        <f aca="false">SUMIFS(rngTotal,rngCity,$C$4,rngProduct,$C$5,rngWeek,D29)</f>
        <v>22321.803</v>
      </c>
      <c r="D29" s="21" t="n">
        <v>11</v>
      </c>
    </row>
    <row r="30" customFormat="false" ht="15" hidden="false" customHeight="false" outlineLevel="0" collapsed="false">
      <c r="B30" s="21" t="str">
        <f aca="false">TEXT(setMinDate+(D30-1)*7,"d mmm")</f>
        <v>19 Mar</v>
      </c>
      <c r="C30" s="22" t="n">
        <f aca="false">SUMIFS(rngTotal,rngCity,$C$4,rngProduct,$C$5,rngWeek,D30)</f>
        <v>26100.732</v>
      </c>
      <c r="D30" s="21" t="n">
        <v>12</v>
      </c>
    </row>
    <row r="31" customFormat="false" ht="15" hidden="false" customHeight="false" outlineLevel="0" collapsed="false">
      <c r="B31" s="21" t="str">
        <f aca="false">TEXT(setMinDate+(D31-1)*7,"d mmm")</f>
        <v>26 Mar</v>
      </c>
      <c r="C31" s="22" t="n">
        <f aca="false">SUMIFS(rngTotal,rngCity,$C$4,rngProduct,$C$5,rngWeek,D31)</f>
        <v>15605.037</v>
      </c>
      <c r="D31" s="21" t="n">
        <v>13</v>
      </c>
    </row>
    <row r="34" customFormat="false" ht="15" hidden="false" customHeight="false" outlineLevel="0" collapsed="false">
      <c r="B34" s="3" t="s">
        <v>152</v>
      </c>
    </row>
    <row r="35" customFormat="false" ht="15" hidden="false" customHeight="false" outlineLevel="0" collapsed="false">
      <c r="B35" s="5" t="s">
        <v>96</v>
      </c>
      <c r="C35" s="5" t="s">
        <v>70</v>
      </c>
    </row>
    <row r="36" customFormat="false" ht="15" hidden="false" customHeight="false" outlineLevel="0" collapsed="false">
      <c r="B36" s="21" t="s">
        <v>97</v>
      </c>
      <c r="C36" s="22" t="n">
        <f aca="false">SUMIFS(rngTotal,rngCity,$C$4,rngProduct,$C$5,rngMonth,$C$6,rngPayment,B36)</f>
        <v>112206.57</v>
      </c>
    </row>
    <row r="37" customFormat="false" ht="15" hidden="false" customHeight="false" outlineLevel="0" collapsed="false">
      <c r="B37" s="21" t="s">
        <v>98</v>
      </c>
      <c r="C37" s="22" t="n">
        <f aca="false">SUMIFS(rngTotal,rngCity,$C$4,rngProduct,$C$5,rngMonth,$C$6,rngPayment,B37)</f>
        <v>109993.107</v>
      </c>
    </row>
    <row r="38" customFormat="false" ht="15" hidden="false" customHeight="false" outlineLevel="0" collapsed="false">
      <c r="B38" s="21" t="s">
        <v>99</v>
      </c>
      <c r="C38" s="22" t="n">
        <f aca="false">SUMIFS(rngTotal,rngCity,$C$4,rngProduct,$C$5,rngMonth,$C$6,rngPayment,B38)</f>
        <v>100767.072</v>
      </c>
    </row>
    <row r="40" customFormat="false" ht="15" hidden="false" customHeight="false" outlineLevel="0" collapsed="false">
      <c r="B40" s="3" t="s">
        <v>153</v>
      </c>
    </row>
    <row r="41" customFormat="false" ht="15" hidden="false" customHeight="false" outlineLevel="0" collapsed="false">
      <c r="B41" s="5" t="s">
        <v>84</v>
      </c>
      <c r="C41" s="5" t="s">
        <v>70</v>
      </c>
    </row>
    <row r="42" customFormat="false" ht="15" hidden="false" customHeight="false" outlineLevel="0" collapsed="false">
      <c r="B42" s="21" t="s">
        <v>85</v>
      </c>
      <c r="C42" s="22" t="n">
        <f aca="false">SUMIFS(rngTotal,rngCity,B42,rngProduct,$C$5,rngMonth,$C$6)</f>
        <v>106200.3705</v>
      </c>
    </row>
    <row r="43" customFormat="false" ht="15" hidden="false" customHeight="false" outlineLevel="0" collapsed="false">
      <c r="B43" s="21" t="s">
        <v>86</v>
      </c>
      <c r="C43" s="22" t="n">
        <f aca="false">SUMIFS(rngTotal,rngCity,B43,rngProduct,$C$5,rngMonth,$C$6)</f>
        <v>106197.672</v>
      </c>
    </row>
    <row r="44" customFormat="false" ht="15" hidden="false" customHeight="false" outlineLevel="0" collapsed="false">
      <c r="B44" s="21" t="s">
        <v>87</v>
      </c>
      <c r="C44" s="22" t="n">
        <f aca="false">SUMIFS(rngTotal,rngCity,B44,rngProduct,$C$5,rngMonth,$C$6)</f>
        <v>110568.7065</v>
      </c>
    </row>
    <row r="46" customFormat="false" ht="15" hidden="false" customHeight="false" outlineLevel="0" collapsed="false">
      <c r="B46" s="3" t="s">
        <v>154</v>
      </c>
    </row>
    <row r="47" customFormat="false" ht="15" hidden="false" customHeight="false" outlineLevel="0" collapsed="false">
      <c r="B47" s="5" t="s">
        <v>112</v>
      </c>
      <c r="C47" s="5" t="s">
        <v>70</v>
      </c>
      <c r="D47" s="2" t="s">
        <v>155</v>
      </c>
    </row>
    <row r="48" customFormat="false" ht="15" hidden="false" customHeight="false" outlineLevel="0" collapsed="false">
      <c r="B48" s="21" t="s">
        <v>156</v>
      </c>
      <c r="C48" s="22" t="n">
        <f aca="false">SUMIFS(rngTotal,rngCity,$C$4,rngProduct,$C$5,rngMonth,$C$6,rngHour,D48)</f>
        <v>31421.481</v>
      </c>
      <c r="D48" s="21" t="n">
        <v>10</v>
      </c>
    </row>
    <row r="49" customFormat="false" ht="15" hidden="false" customHeight="false" outlineLevel="0" collapsed="false">
      <c r="B49" s="21" t="s">
        <v>157</v>
      </c>
      <c r="C49" s="22" t="n">
        <f aca="false">SUMIFS(rngTotal,rngCity,$C$4,rngProduct,$C$5,rngMonth,$C$6,rngHour,D49)</f>
        <v>30377.3295</v>
      </c>
      <c r="D49" s="21" t="n">
        <v>11</v>
      </c>
    </row>
    <row r="50" customFormat="false" ht="15" hidden="false" customHeight="false" outlineLevel="0" collapsed="false">
      <c r="B50" s="21" t="s">
        <v>158</v>
      </c>
      <c r="C50" s="22" t="n">
        <f aca="false">SUMIFS(rngTotal,rngCity,$C$4,rngProduct,$C$5,rngMonth,$C$6,rngHour,D50)</f>
        <v>26065.8825</v>
      </c>
      <c r="D50" s="21" t="n">
        <v>12</v>
      </c>
    </row>
    <row r="51" customFormat="false" ht="15" hidden="false" customHeight="false" outlineLevel="0" collapsed="false">
      <c r="B51" s="21" t="s">
        <v>159</v>
      </c>
      <c r="C51" s="22" t="n">
        <f aca="false">SUMIFS(rngTotal,rngCity,$C$4,rngProduct,$C$5,rngMonth,$C$6,rngHour,D51)</f>
        <v>34723.227</v>
      </c>
      <c r="D51" s="21" t="n">
        <v>13</v>
      </c>
    </row>
    <row r="52" customFormat="false" ht="15" hidden="false" customHeight="false" outlineLevel="0" collapsed="false">
      <c r="B52" s="21" t="s">
        <v>160</v>
      </c>
      <c r="C52" s="22" t="n">
        <f aca="false">SUMIFS(rngTotal,rngCity,$C$4,rngProduct,$C$5,rngMonth,$C$6,rngHour,D52)</f>
        <v>30828.399</v>
      </c>
      <c r="D52" s="21" t="n">
        <v>14</v>
      </c>
    </row>
    <row r="53" customFormat="false" ht="15" hidden="false" customHeight="false" outlineLevel="0" collapsed="false">
      <c r="B53" s="21" t="s">
        <v>161</v>
      </c>
      <c r="C53" s="22" t="n">
        <f aca="false">SUMIFS(rngTotal,rngCity,$C$4,rngProduct,$C$5,rngMonth,$C$6,rngHour,D53)</f>
        <v>31179.5085</v>
      </c>
      <c r="D53" s="21" t="n">
        <v>15</v>
      </c>
    </row>
    <row r="54" customFormat="false" ht="15" hidden="false" customHeight="false" outlineLevel="0" collapsed="false">
      <c r="B54" s="21" t="s">
        <v>162</v>
      </c>
      <c r="C54" s="22" t="n">
        <f aca="false">SUMIFS(rngTotal,rngCity,$C$4,rngProduct,$C$5,rngMonth,$C$6,rngHour,D54)</f>
        <v>25226.3235</v>
      </c>
      <c r="D54" s="21" t="n">
        <v>16</v>
      </c>
    </row>
    <row r="55" customFormat="false" ht="15" hidden="false" customHeight="false" outlineLevel="0" collapsed="false">
      <c r="B55" s="21" t="s">
        <v>163</v>
      </c>
      <c r="C55" s="22" t="n">
        <f aca="false">SUMIFS(rngTotal,rngCity,$C$4,rngProduct,$C$5,rngMonth,$C$6,rngHour,D55)</f>
        <v>24445.218</v>
      </c>
      <c r="D55" s="21" t="n">
        <v>17</v>
      </c>
    </row>
    <row r="56" customFormat="false" ht="15" hidden="false" customHeight="false" outlineLevel="0" collapsed="false">
      <c r="B56" s="21" t="s">
        <v>164</v>
      </c>
      <c r="C56" s="22" t="n">
        <f aca="false">SUMIFS(rngTotal,rngCity,$C$4,rngProduct,$C$5,rngMonth,$C$6,rngHour,D56)</f>
        <v>26030.34</v>
      </c>
      <c r="D56" s="21" t="n">
        <v>18</v>
      </c>
    </row>
    <row r="57" customFormat="false" ht="15" hidden="false" customHeight="false" outlineLevel="0" collapsed="false">
      <c r="B57" s="21" t="s">
        <v>165</v>
      </c>
      <c r="C57" s="22" t="n">
        <f aca="false">SUMIFS(rngTotal,rngCity,$C$4,rngProduct,$C$5,rngMonth,$C$6,rngHour,D57)</f>
        <v>39699.513</v>
      </c>
      <c r="D57" s="21" t="n">
        <v>19</v>
      </c>
    </row>
    <row r="58" customFormat="false" ht="15" hidden="false" customHeight="false" outlineLevel="0" collapsed="false">
      <c r="B58" s="21" t="s">
        <v>166</v>
      </c>
      <c r="C58" s="22" t="n">
        <f aca="false">SUMIFS(rngTotal,rngCity,$C$4,rngProduct,$C$5,rngMonth,$C$6,rngHour,D58)</f>
        <v>22969.527</v>
      </c>
      <c r="D58" s="21" t="n">
        <v>20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X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1" min="20" style="0" width="11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40" t="s">
        <v>167</v>
      </c>
      <c r="B1" s="40" t="s">
        <v>168</v>
      </c>
      <c r="C1" s="40" t="s">
        <v>84</v>
      </c>
      <c r="D1" s="40" t="s">
        <v>101</v>
      </c>
      <c r="E1" s="40" t="s">
        <v>169</v>
      </c>
      <c r="F1" s="40" t="s">
        <v>67</v>
      </c>
      <c r="G1" s="40" t="s">
        <v>170</v>
      </c>
      <c r="H1" s="40" t="s">
        <v>124</v>
      </c>
      <c r="I1" s="40" t="s">
        <v>171</v>
      </c>
      <c r="J1" s="40" t="s">
        <v>82</v>
      </c>
      <c r="K1" s="40" t="s">
        <v>172</v>
      </c>
      <c r="L1" s="40" t="s">
        <v>173</v>
      </c>
      <c r="M1" s="40" t="s">
        <v>96</v>
      </c>
      <c r="N1" s="40" t="s">
        <v>174</v>
      </c>
      <c r="O1" s="40" t="s">
        <v>71</v>
      </c>
      <c r="P1" s="40" t="s">
        <v>125</v>
      </c>
      <c r="Q1" s="40" t="s">
        <v>89</v>
      </c>
      <c r="R1" s="40" t="s">
        <v>151</v>
      </c>
      <c r="S1" s="40" t="s">
        <v>112</v>
      </c>
      <c r="T1" s="40" t="s">
        <v>107</v>
      </c>
      <c r="U1" s="40" t="s">
        <v>175</v>
      </c>
      <c r="V1" s="40" t="s">
        <v>176</v>
      </c>
      <c r="X1" s="2" t="s">
        <v>177</v>
      </c>
    </row>
    <row r="2" customFormat="false" ht="15" hidden="false" customHeight="false" outlineLevel="0" collapsed="false">
      <c r="A2" s="41" t="s">
        <v>117</v>
      </c>
      <c r="B2" s="41" t="s">
        <v>178</v>
      </c>
      <c r="C2" s="41" t="s">
        <v>85</v>
      </c>
      <c r="D2" s="41" t="s">
        <v>104</v>
      </c>
      <c r="E2" s="41" t="s">
        <v>102</v>
      </c>
      <c r="F2" s="41" t="s">
        <v>81</v>
      </c>
      <c r="G2" s="42" t="n">
        <v>74.69</v>
      </c>
      <c r="H2" s="41" t="n">
        <v>7</v>
      </c>
      <c r="I2" s="42" t="n">
        <v>26.1415</v>
      </c>
      <c r="J2" s="42" t="n">
        <v>548.9715</v>
      </c>
      <c r="K2" s="43" t="n">
        <v>43470</v>
      </c>
      <c r="L2" s="44" t="n">
        <v>0.547222222222222</v>
      </c>
      <c r="M2" s="41" t="s">
        <v>98</v>
      </c>
      <c r="N2" s="42" t="n">
        <v>522.83</v>
      </c>
      <c r="O2" s="42" t="n">
        <v>26.1415</v>
      </c>
      <c r="P2" s="45" t="n">
        <v>9.1</v>
      </c>
      <c r="Q2" s="41" t="str">
        <f aca="false">CHOOSE(MONTH(K2),"Jan","Feb","Mar","Apr","May","Jun","Jul","Aug","Sep","Oct","Nov","Dec")</f>
        <v>Jan</v>
      </c>
      <c r="R2" s="41" t="n">
        <f aca="false">INT((K2-setMinDate)/7)+1</f>
        <v>1</v>
      </c>
      <c r="S2" s="41" t="n">
        <f aca="false">HOUR(L2)</f>
        <v>13</v>
      </c>
      <c r="T2" s="41" t="str">
        <f aca="false">IF(S2&lt;setMorningEnd,"Morning",IF(S2&lt;setAfternoonEnd,"Afternoon","Evening"))</f>
        <v>Afternoon</v>
      </c>
      <c r="U2" s="41" t="str">
        <f aca="false">IF(J2&gt;=setLarge,"Large",IF(J2&gt;=setMedium,"Medium","Small"))</f>
        <v>Medium</v>
      </c>
      <c r="V2" s="41" t="str">
        <f aca="false">IF(P2&gt;=setExc,"Excellent",IF(P2&gt;=setGood,"Good",IF(P2&gt;=setAvg,"Average","Poor")))</f>
        <v>Excellent</v>
      </c>
    </row>
    <row r="3" customFormat="false" ht="15" hidden="false" customHeight="false" outlineLevel="0" collapsed="false">
      <c r="A3" s="41" t="s">
        <v>179</v>
      </c>
      <c r="B3" s="41" t="s">
        <v>180</v>
      </c>
      <c r="C3" s="41" t="s">
        <v>87</v>
      </c>
      <c r="D3" s="41" t="s">
        <v>105</v>
      </c>
      <c r="E3" s="41" t="s">
        <v>102</v>
      </c>
      <c r="F3" s="41" t="s">
        <v>78</v>
      </c>
      <c r="G3" s="42" t="n">
        <v>15.28</v>
      </c>
      <c r="H3" s="41" t="n">
        <v>5</v>
      </c>
      <c r="I3" s="42" t="n">
        <v>3.82</v>
      </c>
      <c r="J3" s="42" t="n">
        <v>80.22</v>
      </c>
      <c r="K3" s="43" t="n">
        <v>43532</v>
      </c>
      <c r="L3" s="44" t="n">
        <v>0.436805555555556</v>
      </c>
      <c r="M3" s="41" t="s">
        <v>97</v>
      </c>
      <c r="N3" s="42" t="n">
        <v>76.4</v>
      </c>
      <c r="O3" s="42" t="n">
        <v>3.82</v>
      </c>
      <c r="P3" s="45" t="n">
        <v>9.6</v>
      </c>
      <c r="Q3" s="41" t="str">
        <f aca="false">CHOOSE(MONTH(K3),"Jan","Feb","Mar","Apr","May","Jun","Jul","Aug","Sep","Oct","Nov","Dec")</f>
        <v>Mar</v>
      </c>
      <c r="R3" s="41" t="n">
        <f aca="false">INT((K3-setMinDate)/7)+1</f>
        <v>10</v>
      </c>
      <c r="S3" s="41" t="n">
        <f aca="false">HOUR(L3)</f>
        <v>10</v>
      </c>
      <c r="T3" s="41" t="str">
        <f aca="false">IF(S3&lt;setMorningEnd,"Morning",IF(S3&lt;setAfternoonEnd,"Afternoon","Evening"))</f>
        <v>Morning</v>
      </c>
      <c r="U3" s="41" t="str">
        <f aca="false">IF(J3&gt;=setLarge,"Large",IF(J3&gt;=setMedium,"Medium","Small"))</f>
        <v>Small</v>
      </c>
      <c r="V3" s="41" t="str">
        <f aca="false">IF(P3&gt;=setExc,"Excellent",IF(P3&gt;=setGood,"Good",IF(P3&gt;=setAvg,"Average","Poor")))</f>
        <v>Excellent</v>
      </c>
    </row>
    <row r="4" customFormat="false" ht="15" hidden="false" customHeight="false" outlineLevel="0" collapsed="false">
      <c r="A4" s="41" t="s">
        <v>181</v>
      </c>
      <c r="B4" s="41" t="s">
        <v>178</v>
      </c>
      <c r="C4" s="41" t="s">
        <v>85</v>
      </c>
      <c r="D4" s="41" t="s">
        <v>105</v>
      </c>
      <c r="E4" s="41" t="s">
        <v>103</v>
      </c>
      <c r="F4" s="41" t="s">
        <v>80</v>
      </c>
      <c r="G4" s="42" t="n">
        <v>46.33</v>
      </c>
      <c r="H4" s="41" t="n">
        <v>7</v>
      </c>
      <c r="I4" s="42" t="n">
        <v>16.2155</v>
      </c>
      <c r="J4" s="42" t="n">
        <v>340.5255</v>
      </c>
      <c r="K4" s="43" t="n">
        <v>43527</v>
      </c>
      <c r="L4" s="44" t="n">
        <v>0.557638888888889</v>
      </c>
      <c r="M4" s="41" t="s">
        <v>99</v>
      </c>
      <c r="N4" s="42" t="n">
        <v>324.31</v>
      </c>
      <c r="O4" s="42" t="n">
        <v>16.2155</v>
      </c>
      <c r="P4" s="45" t="n">
        <v>7.4</v>
      </c>
      <c r="Q4" s="41" t="str">
        <f aca="false">CHOOSE(MONTH(K4),"Jan","Feb","Mar","Apr","May","Jun","Jul","Aug","Sep","Oct","Nov","Dec")</f>
        <v>Mar</v>
      </c>
      <c r="R4" s="41" t="n">
        <f aca="false">INT((K4-setMinDate)/7)+1</f>
        <v>9</v>
      </c>
      <c r="S4" s="41" t="n">
        <f aca="false">HOUR(L4)</f>
        <v>13</v>
      </c>
      <c r="T4" s="41" t="str">
        <f aca="false">IF(S4&lt;setMorningEnd,"Morning",IF(S4&lt;setAfternoonEnd,"Afternoon","Evening"))</f>
        <v>Afternoon</v>
      </c>
      <c r="U4" s="41" t="str">
        <f aca="false">IF(J4&gt;=setLarge,"Large",IF(J4&gt;=setMedium,"Medium","Small"))</f>
        <v>Medium</v>
      </c>
      <c r="V4" s="41" t="str">
        <f aca="false">IF(P4&gt;=setExc,"Excellent",IF(P4&gt;=setGood,"Good",IF(P4&gt;=setAvg,"Average","Poor")))</f>
        <v>Good</v>
      </c>
    </row>
    <row r="5" customFormat="false" ht="15" hidden="false" customHeight="false" outlineLevel="0" collapsed="false">
      <c r="A5" s="41" t="s">
        <v>182</v>
      </c>
      <c r="B5" s="41" t="s">
        <v>178</v>
      </c>
      <c r="C5" s="41" t="s">
        <v>85</v>
      </c>
      <c r="D5" s="41" t="s">
        <v>104</v>
      </c>
      <c r="E5" s="41" t="s">
        <v>103</v>
      </c>
      <c r="F5" s="41" t="s">
        <v>81</v>
      </c>
      <c r="G5" s="42" t="n">
        <v>58.22</v>
      </c>
      <c r="H5" s="41" t="n">
        <v>8</v>
      </c>
      <c r="I5" s="42" t="n">
        <v>23.288</v>
      </c>
      <c r="J5" s="42" t="n">
        <v>489.048</v>
      </c>
      <c r="K5" s="43" t="n">
        <v>43492</v>
      </c>
      <c r="L5" s="44" t="n">
        <v>0.85625</v>
      </c>
      <c r="M5" s="41" t="s">
        <v>98</v>
      </c>
      <c r="N5" s="42" t="n">
        <v>465.76</v>
      </c>
      <c r="O5" s="42" t="n">
        <v>23.288</v>
      </c>
      <c r="P5" s="45" t="n">
        <v>8.4</v>
      </c>
      <c r="Q5" s="41" t="str">
        <f aca="false">CHOOSE(MONTH(K5),"Jan","Feb","Mar","Apr","May","Jun","Jul","Aug","Sep","Oct","Nov","Dec")</f>
        <v>Jan</v>
      </c>
      <c r="R5" s="41" t="n">
        <f aca="false">INT((K5-setMinDate)/7)+1</f>
        <v>4</v>
      </c>
      <c r="S5" s="41" t="n">
        <f aca="false">HOUR(L5)</f>
        <v>20</v>
      </c>
      <c r="T5" s="41" t="str">
        <f aca="false">IF(S5&lt;setMorningEnd,"Morning",IF(S5&lt;setAfternoonEnd,"Afternoon","Evening"))</f>
        <v>Evening</v>
      </c>
      <c r="U5" s="41" t="str">
        <f aca="false">IF(J5&gt;=setLarge,"Large",IF(J5&gt;=setMedium,"Medium","Small"))</f>
        <v>Medium</v>
      </c>
      <c r="V5" s="41" t="str">
        <f aca="false">IF(P5&gt;=setExc,"Excellent",IF(P5&gt;=setGood,"Good",IF(P5&gt;=setAvg,"Average","Poor")))</f>
        <v>Good</v>
      </c>
    </row>
    <row r="6" customFormat="false" ht="15" hidden="false" customHeight="false" outlineLevel="0" collapsed="false">
      <c r="A6" s="41" t="s">
        <v>183</v>
      </c>
      <c r="B6" s="41" t="s">
        <v>178</v>
      </c>
      <c r="C6" s="41" t="s">
        <v>85</v>
      </c>
      <c r="D6" s="41" t="s">
        <v>105</v>
      </c>
      <c r="E6" s="41" t="s">
        <v>103</v>
      </c>
      <c r="F6" s="41" t="s">
        <v>77</v>
      </c>
      <c r="G6" s="42" t="n">
        <v>86.31</v>
      </c>
      <c r="H6" s="41" t="n">
        <v>7</v>
      </c>
      <c r="I6" s="42" t="n">
        <v>30.2085</v>
      </c>
      <c r="J6" s="42" t="n">
        <v>634.3785</v>
      </c>
      <c r="K6" s="43" t="n">
        <v>43504</v>
      </c>
      <c r="L6" s="44" t="n">
        <v>0.442361111111111</v>
      </c>
      <c r="M6" s="41" t="s">
        <v>98</v>
      </c>
      <c r="N6" s="42" t="n">
        <v>604.17</v>
      </c>
      <c r="O6" s="42" t="n">
        <v>30.2085</v>
      </c>
      <c r="P6" s="45" t="n">
        <v>5.3</v>
      </c>
      <c r="Q6" s="41" t="str">
        <f aca="false">CHOOSE(MONTH(K6),"Jan","Feb","Mar","Apr","May","Jun","Jul","Aug","Sep","Oct","Nov","Dec")</f>
        <v>Feb</v>
      </c>
      <c r="R6" s="41" t="n">
        <f aca="false">INT((K6-setMinDate)/7)+1</f>
        <v>6</v>
      </c>
      <c r="S6" s="41" t="n">
        <f aca="false">HOUR(L6)</f>
        <v>10</v>
      </c>
      <c r="T6" s="41" t="str">
        <f aca="false">IF(S6&lt;setMorningEnd,"Morning",IF(S6&lt;setAfternoonEnd,"Afternoon","Evening"))</f>
        <v>Morning</v>
      </c>
      <c r="U6" s="41" t="str">
        <f aca="false">IF(J6&gt;=setLarge,"Large",IF(J6&gt;=setMedium,"Medium","Small"))</f>
        <v>Large</v>
      </c>
      <c r="V6" s="41" t="str">
        <f aca="false">IF(P6&gt;=setExc,"Excellent",IF(P6&gt;=setGood,"Good",IF(P6&gt;=setAvg,"Average","Poor")))</f>
        <v>Average</v>
      </c>
    </row>
    <row r="7" customFormat="false" ht="15" hidden="false" customHeight="false" outlineLevel="0" collapsed="false">
      <c r="A7" s="41" t="s">
        <v>184</v>
      </c>
      <c r="B7" s="41" t="s">
        <v>180</v>
      </c>
      <c r="C7" s="41" t="s">
        <v>87</v>
      </c>
      <c r="D7" s="41" t="s">
        <v>105</v>
      </c>
      <c r="E7" s="41" t="s">
        <v>103</v>
      </c>
      <c r="F7" s="41" t="s">
        <v>78</v>
      </c>
      <c r="G7" s="42" t="n">
        <v>85.39</v>
      </c>
      <c r="H7" s="41" t="n">
        <v>7</v>
      </c>
      <c r="I7" s="42" t="n">
        <v>29.8865</v>
      </c>
      <c r="J7" s="42" t="n">
        <v>627.6165</v>
      </c>
      <c r="K7" s="43" t="n">
        <v>43549</v>
      </c>
      <c r="L7" s="44" t="n">
        <v>0.770833333333333</v>
      </c>
      <c r="M7" s="41" t="s">
        <v>98</v>
      </c>
      <c r="N7" s="42" t="n">
        <v>597.73</v>
      </c>
      <c r="O7" s="42" t="n">
        <v>29.8865</v>
      </c>
      <c r="P7" s="45" t="n">
        <v>4.1</v>
      </c>
      <c r="Q7" s="41" t="str">
        <f aca="false">CHOOSE(MONTH(K7),"Jan","Feb","Mar","Apr","May","Jun","Jul","Aug","Sep","Oct","Nov","Dec")</f>
        <v>Mar</v>
      </c>
      <c r="R7" s="41" t="n">
        <f aca="false">INT((K7-setMinDate)/7)+1</f>
        <v>12</v>
      </c>
      <c r="S7" s="41" t="n">
        <f aca="false">HOUR(L7)</f>
        <v>18</v>
      </c>
      <c r="T7" s="41" t="str">
        <f aca="false">IF(S7&lt;setMorningEnd,"Morning",IF(S7&lt;setAfternoonEnd,"Afternoon","Evening"))</f>
        <v>Evening</v>
      </c>
      <c r="U7" s="41" t="str">
        <f aca="false">IF(J7&gt;=setLarge,"Large",IF(J7&gt;=setMedium,"Medium","Small"))</f>
        <v>Large</v>
      </c>
      <c r="V7" s="41" t="str">
        <f aca="false">IF(P7&gt;=setExc,"Excellent",IF(P7&gt;=setGood,"Good",IF(P7&gt;=setAvg,"Average","Poor")))</f>
        <v>Poor</v>
      </c>
    </row>
    <row r="8" customFormat="false" ht="15" hidden="false" customHeight="false" outlineLevel="0" collapsed="false">
      <c r="A8" s="41" t="s">
        <v>185</v>
      </c>
      <c r="B8" s="41" t="s">
        <v>178</v>
      </c>
      <c r="C8" s="41" t="s">
        <v>85</v>
      </c>
      <c r="D8" s="41" t="s">
        <v>104</v>
      </c>
      <c r="E8" s="41" t="s">
        <v>102</v>
      </c>
      <c r="F8" s="41" t="s">
        <v>78</v>
      </c>
      <c r="G8" s="42" t="n">
        <v>68.84</v>
      </c>
      <c r="H8" s="41" t="n">
        <v>6</v>
      </c>
      <c r="I8" s="42" t="n">
        <v>20.652</v>
      </c>
      <c r="J8" s="42" t="n">
        <v>433.692</v>
      </c>
      <c r="K8" s="43" t="n">
        <v>43521</v>
      </c>
      <c r="L8" s="44" t="n">
        <v>0.608333333333333</v>
      </c>
      <c r="M8" s="41" t="s">
        <v>98</v>
      </c>
      <c r="N8" s="42" t="n">
        <v>413.04</v>
      </c>
      <c r="O8" s="42" t="n">
        <v>20.652</v>
      </c>
      <c r="P8" s="45" t="n">
        <v>5.8</v>
      </c>
      <c r="Q8" s="41" t="str">
        <f aca="false">CHOOSE(MONTH(K8),"Jan","Feb","Mar","Apr","May","Jun","Jul","Aug","Sep","Oct","Nov","Dec")</f>
        <v>Feb</v>
      </c>
      <c r="R8" s="41" t="n">
        <f aca="false">INT((K8-setMinDate)/7)+1</f>
        <v>8</v>
      </c>
      <c r="S8" s="41" t="n">
        <f aca="false">HOUR(L8)</f>
        <v>14</v>
      </c>
      <c r="T8" s="41" t="str">
        <f aca="false">IF(S8&lt;setMorningEnd,"Morning",IF(S8&lt;setAfternoonEnd,"Afternoon","Evening"))</f>
        <v>Afternoon</v>
      </c>
      <c r="U8" s="41" t="str">
        <f aca="false">IF(J8&gt;=setLarge,"Large",IF(J8&gt;=setMedium,"Medium","Small"))</f>
        <v>Medium</v>
      </c>
      <c r="V8" s="41" t="str">
        <f aca="false">IF(P8&gt;=setExc,"Excellent",IF(P8&gt;=setGood,"Good",IF(P8&gt;=setAvg,"Average","Poor")))</f>
        <v>Average</v>
      </c>
    </row>
    <row r="9" customFormat="false" ht="15" hidden="false" customHeight="false" outlineLevel="0" collapsed="false">
      <c r="A9" s="41" t="s">
        <v>186</v>
      </c>
      <c r="B9" s="41" t="s">
        <v>180</v>
      </c>
      <c r="C9" s="41" t="s">
        <v>87</v>
      </c>
      <c r="D9" s="41" t="s">
        <v>105</v>
      </c>
      <c r="E9" s="41" t="s">
        <v>102</v>
      </c>
      <c r="F9" s="41" t="s">
        <v>80</v>
      </c>
      <c r="G9" s="42" t="n">
        <v>73.56</v>
      </c>
      <c r="H9" s="41" t="n">
        <v>10</v>
      </c>
      <c r="I9" s="42" t="n">
        <v>36.78</v>
      </c>
      <c r="J9" s="42" t="n">
        <v>772.38</v>
      </c>
      <c r="K9" s="43" t="n">
        <v>43520</v>
      </c>
      <c r="L9" s="44" t="n">
        <v>0.484722222222222</v>
      </c>
      <c r="M9" s="41" t="s">
        <v>98</v>
      </c>
      <c r="N9" s="42" t="n">
        <v>735.6</v>
      </c>
      <c r="O9" s="42" t="n">
        <v>36.78</v>
      </c>
      <c r="P9" s="45" t="n">
        <v>8</v>
      </c>
      <c r="Q9" s="41" t="str">
        <f aca="false">CHOOSE(MONTH(K9),"Jan","Feb","Mar","Apr","May","Jun","Jul","Aug","Sep","Oct","Nov","Dec")</f>
        <v>Feb</v>
      </c>
      <c r="R9" s="41" t="n">
        <f aca="false">INT((K9-setMinDate)/7)+1</f>
        <v>8</v>
      </c>
      <c r="S9" s="41" t="n">
        <f aca="false">HOUR(L9)</f>
        <v>11</v>
      </c>
      <c r="T9" s="41" t="str">
        <f aca="false">IF(S9&lt;setMorningEnd,"Morning",IF(S9&lt;setAfternoonEnd,"Afternoon","Evening"))</f>
        <v>Morning</v>
      </c>
      <c r="U9" s="41" t="str">
        <f aca="false">IF(J9&gt;=setLarge,"Large",IF(J9&gt;=setMedium,"Medium","Small"))</f>
        <v>Large</v>
      </c>
      <c r="V9" s="41" t="str">
        <f aca="false">IF(P9&gt;=setExc,"Excellent",IF(P9&gt;=setGood,"Good",IF(P9&gt;=setAvg,"Average","Poor")))</f>
        <v>Good</v>
      </c>
    </row>
    <row r="10" customFormat="false" ht="15" hidden="false" customHeight="false" outlineLevel="0" collapsed="false">
      <c r="A10" s="41" t="s">
        <v>187</v>
      </c>
      <c r="B10" s="41" t="s">
        <v>178</v>
      </c>
      <c r="C10" s="41" t="s">
        <v>85</v>
      </c>
      <c r="D10" s="41" t="s">
        <v>104</v>
      </c>
      <c r="E10" s="41" t="s">
        <v>102</v>
      </c>
      <c r="F10" s="41" t="s">
        <v>81</v>
      </c>
      <c r="G10" s="42" t="n">
        <v>36.26</v>
      </c>
      <c r="H10" s="41" t="n">
        <v>2</v>
      </c>
      <c r="I10" s="42" t="n">
        <v>3.626</v>
      </c>
      <c r="J10" s="42" t="n">
        <v>76.146</v>
      </c>
      <c r="K10" s="43" t="n">
        <v>43475</v>
      </c>
      <c r="L10" s="44" t="n">
        <v>0.71875</v>
      </c>
      <c r="M10" s="41" t="s">
        <v>99</v>
      </c>
      <c r="N10" s="42" t="n">
        <v>72.52</v>
      </c>
      <c r="O10" s="42" t="n">
        <v>3.626</v>
      </c>
      <c r="P10" s="45" t="n">
        <v>7.2</v>
      </c>
      <c r="Q10" s="41" t="str">
        <f aca="false">CHOOSE(MONTH(K10),"Jan","Feb","Mar","Apr","May","Jun","Jul","Aug","Sep","Oct","Nov","Dec")</f>
        <v>Jan</v>
      </c>
      <c r="R10" s="41" t="n">
        <f aca="false">INT((K10-setMinDate)/7)+1</f>
        <v>2</v>
      </c>
      <c r="S10" s="41" t="n">
        <f aca="false">HOUR(L10)</f>
        <v>17</v>
      </c>
      <c r="T10" s="41" t="str">
        <f aca="false">IF(S10&lt;setMorningEnd,"Morning",IF(S10&lt;setAfternoonEnd,"Afternoon","Evening"))</f>
        <v>Evening</v>
      </c>
      <c r="U10" s="41" t="str">
        <f aca="false">IF(J10&gt;=setLarge,"Large",IF(J10&gt;=setMedium,"Medium","Small"))</f>
        <v>Small</v>
      </c>
      <c r="V10" s="41" t="str">
        <f aca="false">IF(P10&gt;=setExc,"Excellent",IF(P10&gt;=setGood,"Good",IF(P10&gt;=setAvg,"Average","Poor")))</f>
        <v>Good</v>
      </c>
    </row>
    <row r="11" customFormat="false" ht="15" hidden="false" customHeight="false" outlineLevel="0" collapsed="false">
      <c r="A11" s="41" t="s">
        <v>188</v>
      </c>
      <c r="B11" s="41" t="s">
        <v>189</v>
      </c>
      <c r="C11" s="41" t="s">
        <v>86</v>
      </c>
      <c r="D11" s="41" t="s">
        <v>104</v>
      </c>
      <c r="E11" s="41" t="s">
        <v>102</v>
      </c>
      <c r="F11" s="41" t="s">
        <v>76</v>
      </c>
      <c r="G11" s="42" t="n">
        <v>54.84</v>
      </c>
      <c r="H11" s="41" t="n">
        <v>3</v>
      </c>
      <c r="I11" s="42" t="n">
        <v>8.226</v>
      </c>
      <c r="J11" s="42" t="n">
        <v>172.746</v>
      </c>
      <c r="K11" s="43" t="n">
        <v>43516</v>
      </c>
      <c r="L11" s="44" t="n">
        <v>0.560416666666667</v>
      </c>
      <c r="M11" s="41" t="s">
        <v>99</v>
      </c>
      <c r="N11" s="42" t="n">
        <v>164.52</v>
      </c>
      <c r="O11" s="42" t="n">
        <v>8.226</v>
      </c>
      <c r="P11" s="45" t="n">
        <v>5.9</v>
      </c>
      <c r="Q11" s="41" t="str">
        <f aca="false">CHOOSE(MONTH(K11),"Jan","Feb","Mar","Apr","May","Jun","Jul","Aug","Sep","Oct","Nov","Dec")</f>
        <v>Feb</v>
      </c>
      <c r="R11" s="41" t="n">
        <f aca="false">INT((K11-setMinDate)/7)+1</f>
        <v>8</v>
      </c>
      <c r="S11" s="41" t="n">
        <f aca="false">HOUR(L11)</f>
        <v>13</v>
      </c>
      <c r="T11" s="41" t="str">
        <f aca="false">IF(S11&lt;setMorningEnd,"Morning",IF(S11&lt;setAfternoonEnd,"Afternoon","Evening"))</f>
        <v>Afternoon</v>
      </c>
      <c r="U11" s="41" t="str">
        <f aca="false">IF(J11&gt;=setLarge,"Large",IF(J11&gt;=setMedium,"Medium","Small"))</f>
        <v>Small</v>
      </c>
      <c r="V11" s="41" t="str">
        <f aca="false">IF(P11&gt;=setExc,"Excellent",IF(P11&gt;=setGood,"Good",IF(P11&gt;=setAvg,"Average","Poor")))</f>
        <v>Average</v>
      </c>
    </row>
    <row r="12" customFormat="false" ht="15" hidden="false" customHeight="false" outlineLevel="0" collapsed="false">
      <c r="A12" s="41" t="s">
        <v>190</v>
      </c>
      <c r="B12" s="41" t="s">
        <v>189</v>
      </c>
      <c r="C12" s="41" t="s">
        <v>86</v>
      </c>
      <c r="D12" s="41" t="s">
        <v>104</v>
      </c>
      <c r="E12" s="41" t="s">
        <v>102</v>
      </c>
      <c r="F12" s="41" t="s">
        <v>79</v>
      </c>
      <c r="G12" s="42" t="n">
        <v>14.48</v>
      </c>
      <c r="H12" s="41" t="n">
        <v>4</v>
      </c>
      <c r="I12" s="42" t="n">
        <v>2.896</v>
      </c>
      <c r="J12" s="42" t="n">
        <v>60.816</v>
      </c>
      <c r="K12" s="43" t="n">
        <v>43502</v>
      </c>
      <c r="L12" s="44" t="n">
        <v>0.754861111111111</v>
      </c>
      <c r="M12" s="41" t="s">
        <v>98</v>
      </c>
      <c r="N12" s="42" t="n">
        <v>57.92</v>
      </c>
      <c r="O12" s="42" t="n">
        <v>2.896</v>
      </c>
      <c r="P12" s="45" t="n">
        <v>4.5</v>
      </c>
      <c r="Q12" s="41" t="str">
        <f aca="false">CHOOSE(MONTH(K12),"Jan","Feb","Mar","Apr","May","Jun","Jul","Aug","Sep","Oct","Nov","Dec")</f>
        <v>Feb</v>
      </c>
      <c r="R12" s="41" t="n">
        <f aca="false">INT((K12-setMinDate)/7)+1</f>
        <v>6</v>
      </c>
      <c r="S12" s="41" t="n">
        <f aca="false">HOUR(L12)</f>
        <v>18</v>
      </c>
      <c r="T12" s="41" t="str">
        <f aca="false">IF(S12&lt;setMorningEnd,"Morning",IF(S12&lt;setAfternoonEnd,"Afternoon","Evening"))</f>
        <v>Evening</v>
      </c>
      <c r="U12" s="41" t="str">
        <f aca="false">IF(J12&gt;=setLarge,"Large",IF(J12&gt;=setMedium,"Medium","Small"))</f>
        <v>Small</v>
      </c>
      <c r="V12" s="41" t="str">
        <f aca="false">IF(P12&gt;=setExc,"Excellent",IF(P12&gt;=setGood,"Good",IF(P12&gt;=setAvg,"Average","Poor")))</f>
        <v>Poor</v>
      </c>
    </row>
    <row r="13" customFormat="false" ht="15" hidden="false" customHeight="false" outlineLevel="0" collapsed="false">
      <c r="A13" s="41" t="s">
        <v>191</v>
      </c>
      <c r="B13" s="41" t="s">
        <v>189</v>
      </c>
      <c r="C13" s="41" t="s">
        <v>86</v>
      </c>
      <c r="D13" s="41" t="s">
        <v>104</v>
      </c>
      <c r="E13" s="41" t="s">
        <v>103</v>
      </c>
      <c r="F13" s="41" t="s">
        <v>78</v>
      </c>
      <c r="G13" s="42" t="n">
        <v>25.51</v>
      </c>
      <c r="H13" s="41" t="n">
        <v>4</v>
      </c>
      <c r="I13" s="42" t="n">
        <v>5.102</v>
      </c>
      <c r="J13" s="42" t="n">
        <v>107.142</v>
      </c>
      <c r="K13" s="43" t="n">
        <v>43533</v>
      </c>
      <c r="L13" s="44" t="n">
        <v>0.710416666666667</v>
      </c>
      <c r="M13" s="41" t="s">
        <v>97</v>
      </c>
      <c r="N13" s="42" t="n">
        <v>102.04</v>
      </c>
      <c r="O13" s="42" t="n">
        <v>5.102</v>
      </c>
      <c r="P13" s="45" t="n">
        <v>6.8</v>
      </c>
      <c r="Q13" s="41" t="str">
        <f aca="false">CHOOSE(MONTH(K13),"Jan","Feb","Mar","Apr","May","Jun","Jul","Aug","Sep","Oct","Nov","Dec")</f>
        <v>Mar</v>
      </c>
      <c r="R13" s="41" t="n">
        <f aca="false">INT((K13-setMinDate)/7)+1</f>
        <v>10</v>
      </c>
      <c r="S13" s="41" t="n">
        <f aca="false">HOUR(L13)</f>
        <v>17</v>
      </c>
      <c r="T13" s="41" t="str">
        <f aca="false">IF(S13&lt;setMorningEnd,"Morning",IF(S13&lt;setAfternoonEnd,"Afternoon","Evening"))</f>
        <v>Evening</v>
      </c>
      <c r="U13" s="41" t="str">
        <f aca="false">IF(J13&gt;=setLarge,"Large",IF(J13&gt;=setMedium,"Medium","Small"))</f>
        <v>Small</v>
      </c>
      <c r="V13" s="41" t="str">
        <f aca="false">IF(P13&gt;=setExc,"Excellent",IF(P13&gt;=setGood,"Good",IF(P13&gt;=setAvg,"Average","Poor")))</f>
        <v>Average</v>
      </c>
    </row>
    <row r="14" customFormat="false" ht="15" hidden="false" customHeight="false" outlineLevel="0" collapsed="false">
      <c r="A14" s="41" t="s">
        <v>192</v>
      </c>
      <c r="B14" s="41" t="s">
        <v>178</v>
      </c>
      <c r="C14" s="41" t="s">
        <v>85</v>
      </c>
      <c r="D14" s="41" t="s">
        <v>105</v>
      </c>
      <c r="E14" s="41" t="s">
        <v>102</v>
      </c>
      <c r="F14" s="41" t="s">
        <v>78</v>
      </c>
      <c r="G14" s="42" t="n">
        <v>46.95</v>
      </c>
      <c r="H14" s="41" t="n">
        <v>5</v>
      </c>
      <c r="I14" s="42" t="n">
        <v>11.7375</v>
      </c>
      <c r="J14" s="42" t="n">
        <v>246.4875</v>
      </c>
      <c r="K14" s="43" t="n">
        <v>43508</v>
      </c>
      <c r="L14" s="44" t="n">
        <v>0.434027777777778</v>
      </c>
      <c r="M14" s="41" t="s">
        <v>98</v>
      </c>
      <c r="N14" s="42" t="n">
        <v>234.75</v>
      </c>
      <c r="O14" s="42" t="n">
        <v>11.7375</v>
      </c>
      <c r="P14" s="45" t="n">
        <v>7.1</v>
      </c>
      <c r="Q14" s="41" t="str">
        <f aca="false">CHOOSE(MONTH(K14),"Jan","Feb","Mar","Apr","May","Jun","Jul","Aug","Sep","Oct","Nov","Dec")</f>
        <v>Feb</v>
      </c>
      <c r="R14" s="41" t="n">
        <f aca="false">INT((K14-setMinDate)/7)+1</f>
        <v>7</v>
      </c>
      <c r="S14" s="41" t="n">
        <f aca="false">HOUR(L14)</f>
        <v>10</v>
      </c>
      <c r="T14" s="41" t="str">
        <f aca="false">IF(S14&lt;setMorningEnd,"Morning",IF(S14&lt;setAfternoonEnd,"Afternoon","Evening"))</f>
        <v>Morning</v>
      </c>
      <c r="U14" s="41" t="str">
        <f aca="false">IF(J14&gt;=setLarge,"Large",IF(J14&gt;=setMedium,"Medium","Small"))</f>
        <v>Small</v>
      </c>
      <c r="V14" s="41" t="str">
        <f aca="false">IF(P14&gt;=setExc,"Excellent",IF(P14&gt;=setGood,"Good",IF(P14&gt;=setAvg,"Average","Poor")))</f>
        <v>Good</v>
      </c>
    </row>
    <row r="15" customFormat="false" ht="15" hidden="false" customHeight="false" outlineLevel="0" collapsed="false">
      <c r="A15" s="41" t="s">
        <v>193</v>
      </c>
      <c r="B15" s="41" t="s">
        <v>178</v>
      </c>
      <c r="C15" s="41" t="s">
        <v>85</v>
      </c>
      <c r="D15" s="41" t="s">
        <v>105</v>
      </c>
      <c r="E15" s="41" t="s">
        <v>103</v>
      </c>
      <c r="F15" s="41" t="s">
        <v>76</v>
      </c>
      <c r="G15" s="42" t="n">
        <v>43.19</v>
      </c>
      <c r="H15" s="41" t="n">
        <v>10</v>
      </c>
      <c r="I15" s="42" t="n">
        <v>21.595</v>
      </c>
      <c r="J15" s="42" t="n">
        <v>453.495</v>
      </c>
      <c r="K15" s="43" t="n">
        <v>43503</v>
      </c>
      <c r="L15" s="44" t="n">
        <v>0.7</v>
      </c>
      <c r="M15" s="41" t="s">
        <v>98</v>
      </c>
      <c r="N15" s="42" t="n">
        <v>431.9</v>
      </c>
      <c r="O15" s="42" t="n">
        <v>21.595</v>
      </c>
      <c r="P15" s="45" t="n">
        <v>8.2</v>
      </c>
      <c r="Q15" s="41" t="str">
        <f aca="false">CHOOSE(MONTH(K15),"Jan","Feb","Mar","Apr","May","Jun","Jul","Aug","Sep","Oct","Nov","Dec")</f>
        <v>Feb</v>
      </c>
      <c r="R15" s="41" t="n">
        <f aca="false">INT((K15-setMinDate)/7)+1</f>
        <v>6</v>
      </c>
      <c r="S15" s="41" t="n">
        <f aca="false">HOUR(L15)</f>
        <v>16</v>
      </c>
      <c r="T15" s="41" t="str">
        <f aca="false">IF(S15&lt;setMorningEnd,"Morning",IF(S15&lt;setAfternoonEnd,"Afternoon","Evening"))</f>
        <v>Afternoon</v>
      </c>
      <c r="U15" s="41" t="str">
        <f aca="false">IF(J15&gt;=setLarge,"Large",IF(J15&gt;=setMedium,"Medium","Small"))</f>
        <v>Medium</v>
      </c>
      <c r="V15" s="41" t="str">
        <f aca="false">IF(P15&gt;=setExc,"Excellent",IF(P15&gt;=setGood,"Good",IF(P15&gt;=setAvg,"Average","Poor")))</f>
        <v>Good</v>
      </c>
    </row>
    <row r="16" customFormat="false" ht="15" hidden="false" customHeight="false" outlineLevel="0" collapsed="false">
      <c r="A16" s="41" t="s">
        <v>194</v>
      </c>
      <c r="B16" s="41" t="s">
        <v>178</v>
      </c>
      <c r="C16" s="41" t="s">
        <v>85</v>
      </c>
      <c r="D16" s="41" t="s">
        <v>105</v>
      </c>
      <c r="E16" s="41" t="s">
        <v>102</v>
      </c>
      <c r="F16" s="41" t="s">
        <v>81</v>
      </c>
      <c r="G16" s="42" t="n">
        <v>71.38</v>
      </c>
      <c r="H16" s="41" t="n">
        <v>10</v>
      </c>
      <c r="I16" s="42" t="n">
        <v>35.69</v>
      </c>
      <c r="J16" s="42" t="n">
        <v>749.49</v>
      </c>
      <c r="K16" s="43" t="n">
        <v>43553</v>
      </c>
      <c r="L16" s="44" t="n">
        <v>0.80625</v>
      </c>
      <c r="M16" s="41" t="s">
        <v>97</v>
      </c>
      <c r="N16" s="42" t="n">
        <v>713.8</v>
      </c>
      <c r="O16" s="42" t="n">
        <v>35.69</v>
      </c>
      <c r="P16" s="45" t="n">
        <v>5.7</v>
      </c>
      <c r="Q16" s="41" t="str">
        <f aca="false">CHOOSE(MONTH(K16),"Jan","Feb","Mar","Apr","May","Jun","Jul","Aug","Sep","Oct","Nov","Dec")</f>
        <v>Mar</v>
      </c>
      <c r="R16" s="41" t="n">
        <f aca="false">INT((K16-setMinDate)/7)+1</f>
        <v>13</v>
      </c>
      <c r="S16" s="41" t="n">
        <f aca="false">HOUR(L16)</f>
        <v>19</v>
      </c>
      <c r="T16" s="41" t="str">
        <f aca="false">IF(S16&lt;setMorningEnd,"Morning",IF(S16&lt;setAfternoonEnd,"Afternoon","Evening"))</f>
        <v>Evening</v>
      </c>
      <c r="U16" s="41" t="str">
        <f aca="false">IF(J16&gt;=setLarge,"Large",IF(J16&gt;=setMedium,"Medium","Small"))</f>
        <v>Large</v>
      </c>
      <c r="V16" s="41" t="str">
        <f aca="false">IF(P16&gt;=setExc,"Excellent",IF(P16&gt;=setGood,"Good",IF(P16&gt;=setAvg,"Average","Poor")))</f>
        <v>Average</v>
      </c>
    </row>
    <row r="17" customFormat="false" ht="15" hidden="false" customHeight="false" outlineLevel="0" collapsed="false">
      <c r="A17" s="41" t="s">
        <v>195</v>
      </c>
      <c r="B17" s="41" t="s">
        <v>189</v>
      </c>
      <c r="C17" s="41" t="s">
        <v>86</v>
      </c>
      <c r="D17" s="41" t="s">
        <v>104</v>
      </c>
      <c r="E17" s="41" t="s">
        <v>102</v>
      </c>
      <c r="F17" s="41" t="s">
        <v>77</v>
      </c>
      <c r="G17" s="42" t="n">
        <v>93.72</v>
      </c>
      <c r="H17" s="41" t="n">
        <v>6</v>
      </c>
      <c r="I17" s="42" t="n">
        <v>28.116</v>
      </c>
      <c r="J17" s="42" t="n">
        <v>590.436</v>
      </c>
      <c r="K17" s="43" t="n">
        <v>43480</v>
      </c>
      <c r="L17" s="44" t="n">
        <v>0.679861111111111</v>
      </c>
      <c r="M17" s="41" t="s">
        <v>97</v>
      </c>
      <c r="N17" s="42" t="n">
        <v>562.32</v>
      </c>
      <c r="O17" s="42" t="n">
        <v>28.116</v>
      </c>
      <c r="P17" s="45" t="n">
        <v>4.5</v>
      </c>
      <c r="Q17" s="41" t="str">
        <f aca="false">CHOOSE(MONTH(K17),"Jan","Feb","Mar","Apr","May","Jun","Jul","Aug","Sep","Oct","Nov","Dec")</f>
        <v>Jan</v>
      </c>
      <c r="R17" s="41" t="n">
        <f aca="false">INT((K17-setMinDate)/7)+1</f>
        <v>3</v>
      </c>
      <c r="S17" s="41" t="n">
        <f aca="false">HOUR(L17)</f>
        <v>16</v>
      </c>
      <c r="T17" s="41" t="str">
        <f aca="false">IF(S17&lt;setMorningEnd,"Morning",IF(S17&lt;setAfternoonEnd,"Afternoon","Evening"))</f>
        <v>Afternoon</v>
      </c>
      <c r="U17" s="41" t="str">
        <f aca="false">IF(J17&gt;=setLarge,"Large",IF(J17&gt;=setMedium,"Medium","Small"))</f>
        <v>Medium</v>
      </c>
      <c r="V17" s="41" t="str">
        <f aca="false">IF(P17&gt;=setExc,"Excellent",IF(P17&gt;=setGood,"Good",IF(P17&gt;=setAvg,"Average","Poor")))</f>
        <v>Poor</v>
      </c>
    </row>
    <row r="18" customFormat="false" ht="15" hidden="false" customHeight="false" outlineLevel="0" collapsed="false">
      <c r="A18" s="41" t="s">
        <v>196</v>
      </c>
      <c r="B18" s="41" t="s">
        <v>178</v>
      </c>
      <c r="C18" s="41" t="s">
        <v>85</v>
      </c>
      <c r="D18" s="41" t="s">
        <v>104</v>
      </c>
      <c r="E18" s="41" t="s">
        <v>102</v>
      </c>
      <c r="F18" s="41" t="s">
        <v>81</v>
      </c>
      <c r="G18" s="42" t="n">
        <v>68.93</v>
      </c>
      <c r="H18" s="41" t="n">
        <v>7</v>
      </c>
      <c r="I18" s="42" t="n">
        <v>24.1255</v>
      </c>
      <c r="J18" s="42" t="n">
        <v>506.6355</v>
      </c>
      <c r="K18" s="43" t="n">
        <v>43535</v>
      </c>
      <c r="L18" s="44" t="n">
        <v>0.460416666666667</v>
      </c>
      <c r="M18" s="41" t="s">
        <v>99</v>
      </c>
      <c r="N18" s="42" t="n">
        <v>482.51</v>
      </c>
      <c r="O18" s="42" t="n">
        <v>24.1255</v>
      </c>
      <c r="P18" s="45" t="n">
        <v>4.6</v>
      </c>
      <c r="Q18" s="41" t="str">
        <f aca="false">CHOOSE(MONTH(K18),"Jan","Feb","Mar","Apr","May","Jun","Jul","Aug","Sep","Oct","Nov","Dec")</f>
        <v>Mar</v>
      </c>
      <c r="R18" s="41" t="n">
        <f aca="false">INT((K18-setMinDate)/7)+1</f>
        <v>10</v>
      </c>
      <c r="S18" s="41" t="n">
        <f aca="false">HOUR(L18)</f>
        <v>11</v>
      </c>
      <c r="T18" s="41" t="str">
        <f aca="false">IF(S18&lt;setMorningEnd,"Morning",IF(S18&lt;setAfternoonEnd,"Afternoon","Evening"))</f>
        <v>Morning</v>
      </c>
      <c r="U18" s="41" t="str">
        <f aca="false">IF(J18&gt;=setLarge,"Large",IF(J18&gt;=setMedium,"Medium","Small"))</f>
        <v>Medium</v>
      </c>
      <c r="V18" s="41" t="str">
        <f aca="false">IF(P18&gt;=setExc,"Excellent",IF(P18&gt;=setGood,"Good",IF(P18&gt;=setAvg,"Average","Poor")))</f>
        <v>Poor</v>
      </c>
    </row>
    <row r="19" customFormat="false" ht="15" hidden="false" customHeight="false" outlineLevel="0" collapsed="false">
      <c r="A19" s="41" t="s">
        <v>197</v>
      </c>
      <c r="B19" s="41" t="s">
        <v>178</v>
      </c>
      <c r="C19" s="41" t="s">
        <v>85</v>
      </c>
      <c r="D19" s="41" t="s">
        <v>105</v>
      </c>
      <c r="E19" s="41" t="s">
        <v>103</v>
      </c>
      <c r="F19" s="41" t="s">
        <v>77</v>
      </c>
      <c r="G19" s="42" t="n">
        <v>72.61</v>
      </c>
      <c r="H19" s="41" t="n">
        <v>6</v>
      </c>
      <c r="I19" s="42" t="n">
        <v>21.783</v>
      </c>
      <c r="J19" s="42" t="n">
        <v>457.443</v>
      </c>
      <c r="K19" s="43" t="n">
        <v>43466</v>
      </c>
      <c r="L19" s="44" t="n">
        <v>0.44375</v>
      </c>
      <c r="M19" s="41" t="s">
        <v>99</v>
      </c>
      <c r="N19" s="42" t="n">
        <v>435.66</v>
      </c>
      <c r="O19" s="42" t="n">
        <v>21.783</v>
      </c>
      <c r="P19" s="45" t="n">
        <v>6.9</v>
      </c>
      <c r="Q19" s="41" t="str">
        <f aca="false">CHOOSE(MONTH(K19),"Jan","Feb","Mar","Apr","May","Jun","Jul","Aug","Sep","Oct","Nov","Dec")</f>
        <v>Jan</v>
      </c>
      <c r="R19" s="41" t="n">
        <f aca="false">INT((K19-setMinDate)/7)+1</f>
        <v>1</v>
      </c>
      <c r="S19" s="41" t="n">
        <f aca="false">HOUR(L19)</f>
        <v>10</v>
      </c>
      <c r="T19" s="41" t="str">
        <f aca="false">IF(S19&lt;setMorningEnd,"Morning",IF(S19&lt;setAfternoonEnd,"Afternoon","Evening"))</f>
        <v>Morning</v>
      </c>
      <c r="U19" s="41" t="str">
        <f aca="false">IF(J19&gt;=setLarge,"Large",IF(J19&gt;=setMedium,"Medium","Small"))</f>
        <v>Medium</v>
      </c>
      <c r="V19" s="41" t="str">
        <f aca="false">IF(P19&gt;=setExc,"Excellent",IF(P19&gt;=setGood,"Good",IF(P19&gt;=setAvg,"Average","Poor")))</f>
        <v>Average</v>
      </c>
    </row>
    <row r="20" customFormat="false" ht="15" hidden="false" customHeight="false" outlineLevel="0" collapsed="false">
      <c r="A20" s="41" t="s">
        <v>198</v>
      </c>
      <c r="B20" s="41" t="s">
        <v>178</v>
      </c>
      <c r="C20" s="41" t="s">
        <v>85</v>
      </c>
      <c r="D20" s="41" t="s">
        <v>105</v>
      </c>
      <c r="E20" s="41" t="s">
        <v>103</v>
      </c>
      <c r="F20" s="41" t="s">
        <v>76</v>
      </c>
      <c r="G20" s="42" t="n">
        <v>54.67</v>
      </c>
      <c r="H20" s="41" t="n">
        <v>3</v>
      </c>
      <c r="I20" s="42" t="n">
        <v>8.2005</v>
      </c>
      <c r="J20" s="42" t="n">
        <v>172.2105</v>
      </c>
      <c r="K20" s="43" t="n">
        <v>43486</v>
      </c>
      <c r="L20" s="44" t="n">
        <v>0.75</v>
      </c>
      <c r="M20" s="41" t="s">
        <v>99</v>
      </c>
      <c r="N20" s="42" t="n">
        <v>164.01</v>
      </c>
      <c r="O20" s="42" t="n">
        <v>8.2005</v>
      </c>
      <c r="P20" s="45" t="n">
        <v>8.6</v>
      </c>
      <c r="Q20" s="41" t="str">
        <f aca="false">CHOOSE(MONTH(K20),"Jan","Feb","Mar","Apr","May","Jun","Jul","Aug","Sep","Oct","Nov","Dec")</f>
        <v>Jan</v>
      </c>
      <c r="R20" s="41" t="n">
        <f aca="false">INT((K20-setMinDate)/7)+1</f>
        <v>3</v>
      </c>
      <c r="S20" s="41" t="n">
        <f aca="false">HOUR(L20)</f>
        <v>18</v>
      </c>
      <c r="T20" s="41" t="str">
        <f aca="false">IF(S20&lt;setMorningEnd,"Morning",IF(S20&lt;setAfternoonEnd,"Afternoon","Evening"))</f>
        <v>Evening</v>
      </c>
      <c r="U20" s="41" t="str">
        <f aca="false">IF(J20&gt;=setLarge,"Large",IF(J20&gt;=setMedium,"Medium","Small"))</f>
        <v>Small</v>
      </c>
      <c r="V20" s="41" t="str">
        <f aca="false">IF(P20&gt;=setExc,"Excellent",IF(P20&gt;=setGood,"Good",IF(P20&gt;=setAvg,"Average","Poor")))</f>
        <v>Good</v>
      </c>
    </row>
    <row r="21" customFormat="false" ht="15" hidden="false" customHeight="false" outlineLevel="0" collapsed="false">
      <c r="A21" s="41" t="s">
        <v>199</v>
      </c>
      <c r="B21" s="41" t="s">
        <v>189</v>
      </c>
      <c r="C21" s="41" t="s">
        <v>86</v>
      </c>
      <c r="D21" s="41" t="s">
        <v>105</v>
      </c>
      <c r="E21" s="41" t="s">
        <v>102</v>
      </c>
      <c r="F21" s="41" t="s">
        <v>80</v>
      </c>
      <c r="G21" s="42" t="n">
        <v>40.3</v>
      </c>
      <c r="H21" s="41" t="n">
        <v>2</v>
      </c>
      <c r="I21" s="42" t="n">
        <v>4.03</v>
      </c>
      <c r="J21" s="42" t="n">
        <v>84.63</v>
      </c>
      <c r="K21" s="43" t="n">
        <v>43535</v>
      </c>
      <c r="L21" s="44" t="n">
        <v>0.645833333333333</v>
      </c>
      <c r="M21" s="41" t="s">
        <v>98</v>
      </c>
      <c r="N21" s="42" t="n">
        <v>80.6</v>
      </c>
      <c r="O21" s="42" t="n">
        <v>4.03</v>
      </c>
      <c r="P21" s="45" t="n">
        <v>4.4</v>
      </c>
      <c r="Q21" s="41" t="str">
        <f aca="false">CHOOSE(MONTH(K21),"Jan","Feb","Mar","Apr","May","Jun","Jul","Aug","Sep","Oct","Nov","Dec")</f>
        <v>Mar</v>
      </c>
      <c r="R21" s="41" t="n">
        <f aca="false">INT((K21-setMinDate)/7)+1</f>
        <v>10</v>
      </c>
      <c r="S21" s="41" t="n">
        <f aca="false">HOUR(L21)</f>
        <v>15</v>
      </c>
      <c r="T21" s="41" t="str">
        <f aca="false">IF(S21&lt;setMorningEnd,"Morning",IF(S21&lt;setAfternoonEnd,"Afternoon","Evening"))</f>
        <v>Afternoon</v>
      </c>
      <c r="U21" s="41" t="str">
        <f aca="false">IF(J21&gt;=setLarge,"Large",IF(J21&gt;=setMedium,"Medium","Small"))</f>
        <v>Small</v>
      </c>
      <c r="V21" s="41" t="str">
        <f aca="false">IF(P21&gt;=setExc,"Excellent",IF(P21&gt;=setGood,"Good",IF(P21&gt;=setAvg,"Average","Poor")))</f>
        <v>Poor</v>
      </c>
    </row>
    <row r="22" customFormat="false" ht="15" hidden="false" customHeight="false" outlineLevel="0" collapsed="false">
      <c r="A22" s="41" t="s">
        <v>200</v>
      </c>
      <c r="B22" s="41" t="s">
        <v>180</v>
      </c>
      <c r="C22" s="41" t="s">
        <v>87</v>
      </c>
      <c r="D22" s="41" t="s">
        <v>104</v>
      </c>
      <c r="E22" s="41" t="s">
        <v>103</v>
      </c>
      <c r="F22" s="41" t="s">
        <v>78</v>
      </c>
      <c r="G22" s="42" t="n">
        <v>86.04</v>
      </c>
      <c r="H22" s="41" t="n">
        <v>5</v>
      </c>
      <c r="I22" s="42" t="n">
        <v>21.51</v>
      </c>
      <c r="J22" s="42" t="n">
        <v>451.71</v>
      </c>
      <c r="K22" s="43" t="n">
        <v>43521</v>
      </c>
      <c r="L22" s="44" t="n">
        <v>0.475</v>
      </c>
      <c r="M22" s="41" t="s">
        <v>98</v>
      </c>
      <c r="N22" s="42" t="n">
        <v>430.2</v>
      </c>
      <c r="O22" s="42" t="n">
        <v>21.51</v>
      </c>
      <c r="P22" s="45" t="n">
        <v>4.8</v>
      </c>
      <c r="Q22" s="41" t="str">
        <f aca="false">CHOOSE(MONTH(K22),"Jan","Feb","Mar","Apr","May","Jun","Jul","Aug","Sep","Oct","Nov","Dec")</f>
        <v>Feb</v>
      </c>
      <c r="R22" s="41" t="n">
        <f aca="false">INT((K22-setMinDate)/7)+1</f>
        <v>8</v>
      </c>
      <c r="S22" s="41" t="n">
        <f aca="false">HOUR(L22)</f>
        <v>11</v>
      </c>
      <c r="T22" s="41" t="str">
        <f aca="false">IF(S22&lt;setMorningEnd,"Morning",IF(S22&lt;setAfternoonEnd,"Afternoon","Evening"))</f>
        <v>Morning</v>
      </c>
      <c r="U22" s="41" t="str">
        <f aca="false">IF(J22&gt;=setLarge,"Large",IF(J22&gt;=setMedium,"Medium","Small"))</f>
        <v>Medium</v>
      </c>
      <c r="V22" s="41" t="str">
        <f aca="false">IF(P22&gt;=setExc,"Excellent",IF(P22&gt;=setGood,"Good",IF(P22&gt;=setAvg,"Average","Poor")))</f>
        <v>Poor</v>
      </c>
    </row>
    <row r="23" customFormat="false" ht="15" hidden="false" customHeight="false" outlineLevel="0" collapsed="false">
      <c r="A23" s="41" t="s">
        <v>201</v>
      </c>
      <c r="B23" s="41" t="s">
        <v>189</v>
      </c>
      <c r="C23" s="41" t="s">
        <v>86</v>
      </c>
      <c r="D23" s="41" t="s">
        <v>105</v>
      </c>
      <c r="E23" s="41" t="s">
        <v>103</v>
      </c>
      <c r="F23" s="41" t="s">
        <v>81</v>
      </c>
      <c r="G23" s="42" t="n">
        <v>87.98</v>
      </c>
      <c r="H23" s="41" t="n">
        <v>3</v>
      </c>
      <c r="I23" s="42" t="n">
        <v>13.197</v>
      </c>
      <c r="J23" s="42" t="n">
        <v>277.137</v>
      </c>
      <c r="K23" s="43" t="n">
        <v>43529</v>
      </c>
      <c r="L23" s="44" t="n">
        <v>0.444444444444444</v>
      </c>
      <c r="M23" s="41" t="s">
        <v>98</v>
      </c>
      <c r="N23" s="42" t="n">
        <v>263.94</v>
      </c>
      <c r="O23" s="42" t="n">
        <v>13.197</v>
      </c>
      <c r="P23" s="45" t="n">
        <v>5.1</v>
      </c>
      <c r="Q23" s="41" t="str">
        <f aca="false">CHOOSE(MONTH(K23),"Jan","Feb","Mar","Apr","May","Jun","Jul","Aug","Sep","Oct","Nov","Dec")</f>
        <v>Mar</v>
      </c>
      <c r="R23" s="41" t="n">
        <f aca="false">INT((K23-setMinDate)/7)+1</f>
        <v>10</v>
      </c>
      <c r="S23" s="41" t="n">
        <f aca="false">HOUR(L23)</f>
        <v>10</v>
      </c>
      <c r="T23" s="41" t="str">
        <f aca="false">IF(S23&lt;setMorningEnd,"Morning",IF(S23&lt;setAfternoonEnd,"Afternoon","Evening"))</f>
        <v>Morning</v>
      </c>
      <c r="U23" s="41" t="str">
        <f aca="false">IF(J23&gt;=setLarge,"Large",IF(J23&gt;=setMedium,"Medium","Small"))</f>
        <v>Medium</v>
      </c>
      <c r="V23" s="41" t="str">
        <f aca="false">IF(P23&gt;=setExc,"Excellent",IF(P23&gt;=setGood,"Good",IF(P23&gt;=setAvg,"Average","Poor")))</f>
        <v>Average</v>
      </c>
    </row>
    <row r="24" customFormat="false" ht="15" hidden="false" customHeight="false" outlineLevel="0" collapsed="false">
      <c r="A24" s="41" t="s">
        <v>202</v>
      </c>
      <c r="B24" s="41" t="s">
        <v>189</v>
      </c>
      <c r="C24" s="41" t="s">
        <v>86</v>
      </c>
      <c r="D24" s="41" t="s">
        <v>105</v>
      </c>
      <c r="E24" s="41" t="s">
        <v>103</v>
      </c>
      <c r="F24" s="41" t="s">
        <v>80</v>
      </c>
      <c r="G24" s="42" t="n">
        <v>33.2</v>
      </c>
      <c r="H24" s="41" t="n">
        <v>2</v>
      </c>
      <c r="I24" s="42" t="n">
        <v>3.32</v>
      </c>
      <c r="J24" s="42" t="n">
        <v>69.72</v>
      </c>
      <c r="K24" s="43" t="n">
        <v>43539</v>
      </c>
      <c r="L24" s="44" t="n">
        <v>0.513888888888889</v>
      </c>
      <c r="M24" s="41" t="s">
        <v>99</v>
      </c>
      <c r="N24" s="42" t="n">
        <v>66.4</v>
      </c>
      <c r="O24" s="42" t="n">
        <v>3.32</v>
      </c>
      <c r="P24" s="45" t="n">
        <v>4.4</v>
      </c>
      <c r="Q24" s="41" t="str">
        <f aca="false">CHOOSE(MONTH(K24),"Jan","Feb","Mar","Apr","May","Jun","Jul","Aug","Sep","Oct","Nov","Dec")</f>
        <v>Mar</v>
      </c>
      <c r="R24" s="41" t="n">
        <f aca="false">INT((K24-setMinDate)/7)+1</f>
        <v>11</v>
      </c>
      <c r="S24" s="41" t="n">
        <f aca="false">HOUR(L24)</f>
        <v>12</v>
      </c>
      <c r="T24" s="41" t="str">
        <f aca="false">IF(S24&lt;setMorningEnd,"Morning",IF(S24&lt;setAfternoonEnd,"Afternoon","Evening"))</f>
        <v>Afternoon</v>
      </c>
      <c r="U24" s="41" t="str">
        <f aca="false">IF(J24&gt;=setLarge,"Large",IF(J24&gt;=setMedium,"Medium","Small"))</f>
        <v>Small</v>
      </c>
      <c r="V24" s="41" t="str">
        <f aca="false">IF(P24&gt;=setExc,"Excellent",IF(P24&gt;=setGood,"Good",IF(P24&gt;=setAvg,"Average","Poor")))</f>
        <v>Poor</v>
      </c>
    </row>
    <row r="25" customFormat="false" ht="15" hidden="false" customHeight="false" outlineLevel="0" collapsed="false">
      <c r="A25" s="41" t="s">
        <v>203</v>
      </c>
      <c r="B25" s="41" t="s">
        <v>178</v>
      </c>
      <c r="C25" s="41" t="s">
        <v>85</v>
      </c>
      <c r="D25" s="41" t="s">
        <v>105</v>
      </c>
      <c r="E25" s="41" t="s">
        <v>103</v>
      </c>
      <c r="F25" s="41" t="s">
        <v>78</v>
      </c>
      <c r="G25" s="42" t="n">
        <v>34.56</v>
      </c>
      <c r="H25" s="41" t="n">
        <v>5</v>
      </c>
      <c r="I25" s="42" t="n">
        <v>8.64</v>
      </c>
      <c r="J25" s="42" t="n">
        <v>181.44</v>
      </c>
      <c r="K25" s="43" t="n">
        <v>43513</v>
      </c>
      <c r="L25" s="44" t="n">
        <v>0.46875</v>
      </c>
      <c r="M25" s="41" t="s">
        <v>98</v>
      </c>
      <c r="N25" s="42" t="n">
        <v>172.8</v>
      </c>
      <c r="O25" s="42" t="n">
        <v>8.64</v>
      </c>
      <c r="P25" s="45" t="n">
        <v>9.9</v>
      </c>
      <c r="Q25" s="41" t="str">
        <f aca="false">CHOOSE(MONTH(K25),"Jan","Feb","Mar","Apr","May","Jun","Jul","Aug","Sep","Oct","Nov","Dec")</f>
        <v>Feb</v>
      </c>
      <c r="R25" s="41" t="n">
        <f aca="false">INT((K25-setMinDate)/7)+1</f>
        <v>7</v>
      </c>
      <c r="S25" s="41" t="n">
        <f aca="false">HOUR(L25)</f>
        <v>11</v>
      </c>
      <c r="T25" s="41" t="str">
        <f aca="false">IF(S25&lt;setMorningEnd,"Morning",IF(S25&lt;setAfternoonEnd,"Afternoon","Evening"))</f>
        <v>Morning</v>
      </c>
      <c r="U25" s="41" t="str">
        <f aca="false">IF(J25&gt;=setLarge,"Large",IF(J25&gt;=setMedium,"Medium","Small"))</f>
        <v>Small</v>
      </c>
      <c r="V25" s="41" t="str">
        <f aca="false">IF(P25&gt;=setExc,"Excellent",IF(P25&gt;=setGood,"Good",IF(P25&gt;=setAvg,"Average","Poor")))</f>
        <v>Excellent</v>
      </c>
    </row>
    <row r="26" customFormat="false" ht="15" hidden="false" customHeight="false" outlineLevel="0" collapsed="false">
      <c r="A26" s="41" t="s">
        <v>204</v>
      </c>
      <c r="B26" s="41" t="s">
        <v>178</v>
      </c>
      <c r="C26" s="41" t="s">
        <v>85</v>
      </c>
      <c r="D26" s="41" t="s">
        <v>104</v>
      </c>
      <c r="E26" s="41" t="s">
        <v>103</v>
      </c>
      <c r="F26" s="41" t="s">
        <v>77</v>
      </c>
      <c r="G26" s="42" t="n">
        <v>88.63</v>
      </c>
      <c r="H26" s="41" t="n">
        <v>3</v>
      </c>
      <c r="I26" s="42" t="n">
        <v>13.2945</v>
      </c>
      <c r="J26" s="42" t="n">
        <v>279.1845</v>
      </c>
      <c r="K26" s="43" t="n">
        <v>43526</v>
      </c>
      <c r="L26" s="44" t="n">
        <v>0.733333333333333</v>
      </c>
      <c r="M26" s="41" t="s">
        <v>98</v>
      </c>
      <c r="N26" s="42" t="n">
        <v>265.89</v>
      </c>
      <c r="O26" s="42" t="n">
        <v>13.2945</v>
      </c>
      <c r="P26" s="45" t="n">
        <v>6</v>
      </c>
      <c r="Q26" s="41" t="str">
        <f aca="false">CHOOSE(MONTH(K26),"Jan","Feb","Mar","Apr","May","Jun","Jul","Aug","Sep","Oct","Nov","Dec")</f>
        <v>Mar</v>
      </c>
      <c r="R26" s="41" t="n">
        <f aca="false">INT((K26-setMinDate)/7)+1</f>
        <v>9</v>
      </c>
      <c r="S26" s="41" t="n">
        <f aca="false">HOUR(L26)</f>
        <v>17</v>
      </c>
      <c r="T26" s="41" t="str">
        <f aca="false">IF(S26&lt;setMorningEnd,"Morning",IF(S26&lt;setAfternoonEnd,"Afternoon","Evening"))</f>
        <v>Evening</v>
      </c>
      <c r="U26" s="41" t="str">
        <f aca="false">IF(J26&gt;=setLarge,"Large",IF(J26&gt;=setMedium,"Medium","Small"))</f>
        <v>Medium</v>
      </c>
      <c r="V26" s="41" t="str">
        <f aca="false">IF(P26&gt;=setExc,"Excellent",IF(P26&gt;=setGood,"Good",IF(P26&gt;=setAvg,"Average","Poor")))</f>
        <v>Average</v>
      </c>
    </row>
    <row r="27" customFormat="false" ht="15" hidden="false" customHeight="false" outlineLevel="0" collapsed="false">
      <c r="A27" s="41" t="s">
        <v>205</v>
      </c>
      <c r="B27" s="41" t="s">
        <v>178</v>
      </c>
      <c r="C27" s="41" t="s">
        <v>85</v>
      </c>
      <c r="D27" s="41" t="s">
        <v>104</v>
      </c>
      <c r="E27" s="41" t="s">
        <v>102</v>
      </c>
      <c r="F27" s="41" t="s">
        <v>80</v>
      </c>
      <c r="G27" s="42" t="n">
        <v>52.59</v>
      </c>
      <c r="H27" s="41" t="n">
        <v>8</v>
      </c>
      <c r="I27" s="42" t="n">
        <v>21.036</v>
      </c>
      <c r="J27" s="42" t="n">
        <v>441.756</v>
      </c>
      <c r="K27" s="43" t="n">
        <v>43546</v>
      </c>
      <c r="L27" s="44" t="n">
        <v>0.805555555555556</v>
      </c>
      <c r="M27" s="41" t="s">
        <v>99</v>
      </c>
      <c r="N27" s="42" t="n">
        <v>420.72</v>
      </c>
      <c r="O27" s="42" t="n">
        <v>21.036</v>
      </c>
      <c r="P27" s="45" t="n">
        <v>8.5</v>
      </c>
      <c r="Q27" s="41" t="str">
        <f aca="false">CHOOSE(MONTH(K27),"Jan","Feb","Mar","Apr","May","Jun","Jul","Aug","Sep","Oct","Nov","Dec")</f>
        <v>Mar</v>
      </c>
      <c r="R27" s="41" t="n">
        <f aca="false">INT((K27-setMinDate)/7)+1</f>
        <v>12</v>
      </c>
      <c r="S27" s="41" t="n">
        <f aca="false">HOUR(L27)</f>
        <v>19</v>
      </c>
      <c r="T27" s="41" t="str">
        <f aca="false">IF(S27&lt;setMorningEnd,"Morning",IF(S27&lt;setAfternoonEnd,"Afternoon","Evening"))</f>
        <v>Evening</v>
      </c>
      <c r="U27" s="41" t="str">
        <f aca="false">IF(J27&gt;=setLarge,"Large",IF(J27&gt;=setMedium,"Medium","Small"))</f>
        <v>Medium</v>
      </c>
      <c r="V27" s="41" t="str">
        <f aca="false">IF(P27&gt;=setExc,"Excellent",IF(P27&gt;=setGood,"Good",IF(P27&gt;=setAvg,"Average","Poor")))</f>
        <v>Good</v>
      </c>
    </row>
    <row r="28" customFormat="false" ht="15" hidden="false" customHeight="false" outlineLevel="0" collapsed="false">
      <c r="A28" s="41" t="s">
        <v>206</v>
      </c>
      <c r="B28" s="41" t="s">
        <v>189</v>
      </c>
      <c r="C28" s="41" t="s">
        <v>86</v>
      </c>
      <c r="D28" s="41" t="s">
        <v>105</v>
      </c>
      <c r="E28" s="41" t="s">
        <v>103</v>
      </c>
      <c r="F28" s="41" t="s">
        <v>79</v>
      </c>
      <c r="G28" s="42" t="n">
        <v>33.52</v>
      </c>
      <c r="H28" s="41" t="n">
        <v>1</v>
      </c>
      <c r="I28" s="42" t="n">
        <v>1.676</v>
      </c>
      <c r="J28" s="42" t="n">
        <v>35.196</v>
      </c>
      <c r="K28" s="43" t="n">
        <v>43504</v>
      </c>
      <c r="L28" s="44" t="n">
        <v>0.646527777777778</v>
      </c>
      <c r="M28" s="41" t="s">
        <v>97</v>
      </c>
      <c r="N28" s="42" t="n">
        <v>33.52</v>
      </c>
      <c r="O28" s="42" t="n">
        <v>1.676</v>
      </c>
      <c r="P28" s="45" t="n">
        <v>6.7</v>
      </c>
      <c r="Q28" s="41" t="str">
        <f aca="false">CHOOSE(MONTH(K28),"Jan","Feb","Mar","Apr","May","Jun","Jul","Aug","Sep","Oct","Nov","Dec")</f>
        <v>Feb</v>
      </c>
      <c r="R28" s="41" t="n">
        <f aca="false">INT((K28-setMinDate)/7)+1</f>
        <v>6</v>
      </c>
      <c r="S28" s="41" t="n">
        <f aca="false">HOUR(L28)</f>
        <v>15</v>
      </c>
      <c r="T28" s="41" t="str">
        <f aca="false">IF(S28&lt;setMorningEnd,"Morning",IF(S28&lt;setAfternoonEnd,"Afternoon","Evening"))</f>
        <v>Afternoon</v>
      </c>
      <c r="U28" s="41" t="str">
        <f aca="false">IF(J28&gt;=setLarge,"Large",IF(J28&gt;=setMedium,"Medium","Small"))</f>
        <v>Small</v>
      </c>
      <c r="V28" s="41" t="str">
        <f aca="false">IF(P28&gt;=setExc,"Excellent",IF(P28&gt;=setGood,"Good",IF(P28&gt;=setAvg,"Average","Poor")))</f>
        <v>Average</v>
      </c>
    </row>
    <row r="29" customFormat="false" ht="15" hidden="false" customHeight="false" outlineLevel="0" collapsed="false">
      <c r="A29" s="41" t="s">
        <v>207</v>
      </c>
      <c r="B29" s="41" t="s">
        <v>178</v>
      </c>
      <c r="C29" s="41" t="s">
        <v>85</v>
      </c>
      <c r="D29" s="41" t="s">
        <v>105</v>
      </c>
      <c r="E29" s="41" t="s">
        <v>102</v>
      </c>
      <c r="F29" s="41" t="s">
        <v>79</v>
      </c>
      <c r="G29" s="42" t="n">
        <v>87.67</v>
      </c>
      <c r="H29" s="41" t="n">
        <v>2</v>
      </c>
      <c r="I29" s="42" t="n">
        <v>8.767</v>
      </c>
      <c r="J29" s="42" t="n">
        <v>184.107</v>
      </c>
      <c r="K29" s="43" t="n">
        <v>43534</v>
      </c>
      <c r="L29" s="44" t="n">
        <v>0.511805555555556</v>
      </c>
      <c r="M29" s="41" t="s">
        <v>99</v>
      </c>
      <c r="N29" s="42" t="n">
        <v>175.34</v>
      </c>
      <c r="O29" s="42" t="n">
        <v>8.767</v>
      </c>
      <c r="P29" s="45" t="n">
        <v>7.7</v>
      </c>
      <c r="Q29" s="41" t="str">
        <f aca="false">CHOOSE(MONTH(K29),"Jan","Feb","Mar","Apr","May","Jun","Jul","Aug","Sep","Oct","Nov","Dec")</f>
        <v>Mar</v>
      </c>
      <c r="R29" s="41" t="n">
        <f aca="false">INT((K29-setMinDate)/7)+1</f>
        <v>10</v>
      </c>
      <c r="S29" s="41" t="n">
        <f aca="false">HOUR(L29)</f>
        <v>12</v>
      </c>
      <c r="T29" s="41" t="str">
        <f aca="false">IF(S29&lt;setMorningEnd,"Morning",IF(S29&lt;setAfternoonEnd,"Afternoon","Evening"))</f>
        <v>Afternoon</v>
      </c>
      <c r="U29" s="41" t="str">
        <f aca="false">IF(J29&gt;=setLarge,"Large",IF(J29&gt;=setMedium,"Medium","Small"))</f>
        <v>Small</v>
      </c>
      <c r="V29" s="41" t="str">
        <f aca="false">IF(P29&gt;=setExc,"Excellent",IF(P29&gt;=setGood,"Good",IF(P29&gt;=setAvg,"Average","Poor")))</f>
        <v>Good</v>
      </c>
    </row>
    <row r="30" customFormat="false" ht="15" hidden="false" customHeight="false" outlineLevel="0" collapsed="false">
      <c r="A30" s="41" t="s">
        <v>208</v>
      </c>
      <c r="B30" s="41" t="s">
        <v>189</v>
      </c>
      <c r="C30" s="41" t="s">
        <v>86</v>
      </c>
      <c r="D30" s="41" t="s">
        <v>105</v>
      </c>
      <c r="E30" s="41" t="s">
        <v>102</v>
      </c>
      <c r="F30" s="41" t="s">
        <v>76</v>
      </c>
      <c r="G30" s="42" t="n">
        <v>88.36</v>
      </c>
      <c r="H30" s="41" t="n">
        <v>5</v>
      </c>
      <c r="I30" s="42" t="n">
        <v>22.09</v>
      </c>
      <c r="J30" s="42" t="n">
        <v>463.89</v>
      </c>
      <c r="K30" s="43" t="n">
        <v>43490</v>
      </c>
      <c r="L30" s="44" t="n">
        <v>0.825</v>
      </c>
      <c r="M30" s="41" t="s">
        <v>97</v>
      </c>
      <c r="N30" s="42" t="n">
        <v>441.8</v>
      </c>
      <c r="O30" s="42" t="n">
        <v>22.09</v>
      </c>
      <c r="P30" s="45" t="n">
        <v>9.6</v>
      </c>
      <c r="Q30" s="41" t="str">
        <f aca="false">CHOOSE(MONTH(K30),"Jan","Feb","Mar","Apr","May","Jun","Jul","Aug","Sep","Oct","Nov","Dec")</f>
        <v>Jan</v>
      </c>
      <c r="R30" s="41" t="n">
        <f aca="false">INT((K30-setMinDate)/7)+1</f>
        <v>4</v>
      </c>
      <c r="S30" s="41" t="n">
        <f aca="false">HOUR(L30)</f>
        <v>19</v>
      </c>
      <c r="T30" s="41" t="str">
        <f aca="false">IF(S30&lt;setMorningEnd,"Morning",IF(S30&lt;setAfternoonEnd,"Afternoon","Evening"))</f>
        <v>Evening</v>
      </c>
      <c r="U30" s="41" t="str">
        <f aca="false">IF(J30&gt;=setLarge,"Large",IF(J30&gt;=setMedium,"Medium","Small"))</f>
        <v>Medium</v>
      </c>
      <c r="V30" s="41" t="str">
        <f aca="false">IF(P30&gt;=setExc,"Excellent",IF(P30&gt;=setGood,"Good",IF(P30&gt;=setAvg,"Average","Poor")))</f>
        <v>Excellent</v>
      </c>
    </row>
    <row r="31" customFormat="false" ht="15" hidden="false" customHeight="false" outlineLevel="0" collapsed="false">
      <c r="A31" s="41" t="s">
        <v>209</v>
      </c>
      <c r="B31" s="41" t="s">
        <v>178</v>
      </c>
      <c r="C31" s="41" t="s">
        <v>85</v>
      </c>
      <c r="D31" s="41" t="s">
        <v>105</v>
      </c>
      <c r="E31" s="41" t="s">
        <v>103</v>
      </c>
      <c r="F31" s="41" t="s">
        <v>81</v>
      </c>
      <c r="G31" s="42" t="n">
        <v>24.89</v>
      </c>
      <c r="H31" s="41" t="n">
        <v>9</v>
      </c>
      <c r="I31" s="42" t="n">
        <v>11.2005</v>
      </c>
      <c r="J31" s="42" t="n">
        <v>235.2105</v>
      </c>
      <c r="K31" s="43" t="n">
        <v>43539</v>
      </c>
      <c r="L31" s="44" t="n">
        <v>0.65</v>
      </c>
      <c r="M31" s="41" t="s">
        <v>97</v>
      </c>
      <c r="N31" s="42" t="n">
        <v>224.01</v>
      </c>
      <c r="O31" s="42" t="n">
        <v>11.2005</v>
      </c>
      <c r="P31" s="45" t="n">
        <v>7.4</v>
      </c>
      <c r="Q31" s="41" t="str">
        <f aca="false">CHOOSE(MONTH(K31),"Jan","Feb","Mar","Apr","May","Jun","Jul","Aug","Sep","Oct","Nov","Dec")</f>
        <v>Mar</v>
      </c>
      <c r="R31" s="41" t="n">
        <f aca="false">INT((K31-setMinDate)/7)+1</f>
        <v>11</v>
      </c>
      <c r="S31" s="41" t="n">
        <f aca="false">HOUR(L31)</f>
        <v>15</v>
      </c>
      <c r="T31" s="41" t="str">
        <f aca="false">IF(S31&lt;setMorningEnd,"Morning",IF(S31&lt;setAfternoonEnd,"Afternoon","Evening"))</f>
        <v>Afternoon</v>
      </c>
      <c r="U31" s="41" t="str">
        <f aca="false">IF(J31&gt;=setLarge,"Large",IF(J31&gt;=setMedium,"Medium","Small"))</f>
        <v>Small</v>
      </c>
      <c r="V31" s="41" t="str">
        <f aca="false">IF(P31&gt;=setExc,"Excellent",IF(P31&gt;=setGood,"Good",IF(P31&gt;=setAvg,"Average","Poor")))</f>
        <v>Good</v>
      </c>
    </row>
    <row r="32" customFormat="false" ht="15" hidden="false" customHeight="false" outlineLevel="0" collapsed="false">
      <c r="A32" s="41" t="s">
        <v>210</v>
      </c>
      <c r="B32" s="41" t="s">
        <v>189</v>
      </c>
      <c r="C32" s="41" t="s">
        <v>86</v>
      </c>
      <c r="D32" s="41" t="s">
        <v>105</v>
      </c>
      <c r="E32" s="41" t="s">
        <v>103</v>
      </c>
      <c r="F32" s="41" t="s">
        <v>79</v>
      </c>
      <c r="G32" s="42" t="n">
        <v>94.13</v>
      </c>
      <c r="H32" s="41" t="n">
        <v>5</v>
      </c>
      <c r="I32" s="42" t="n">
        <v>23.5325</v>
      </c>
      <c r="J32" s="42" t="n">
        <v>494.1825</v>
      </c>
      <c r="K32" s="43" t="n">
        <v>43521</v>
      </c>
      <c r="L32" s="44" t="n">
        <v>0.81875</v>
      </c>
      <c r="M32" s="41" t="s">
        <v>99</v>
      </c>
      <c r="N32" s="42" t="n">
        <v>470.65</v>
      </c>
      <c r="O32" s="42" t="n">
        <v>23.5325</v>
      </c>
      <c r="P32" s="45" t="n">
        <v>4.8</v>
      </c>
      <c r="Q32" s="41" t="str">
        <f aca="false">CHOOSE(MONTH(K32),"Jan","Feb","Mar","Apr","May","Jun","Jul","Aug","Sep","Oct","Nov","Dec")</f>
        <v>Feb</v>
      </c>
      <c r="R32" s="41" t="n">
        <f aca="false">INT((K32-setMinDate)/7)+1</f>
        <v>8</v>
      </c>
      <c r="S32" s="41" t="n">
        <f aca="false">HOUR(L32)</f>
        <v>19</v>
      </c>
      <c r="T32" s="41" t="str">
        <f aca="false">IF(S32&lt;setMorningEnd,"Morning",IF(S32&lt;setAfternoonEnd,"Afternoon","Evening"))</f>
        <v>Evening</v>
      </c>
      <c r="U32" s="41" t="str">
        <f aca="false">IF(J32&gt;=setLarge,"Large",IF(J32&gt;=setMedium,"Medium","Small"))</f>
        <v>Medium</v>
      </c>
      <c r="V32" s="41" t="str">
        <f aca="false">IF(P32&gt;=setExc,"Excellent",IF(P32&gt;=setGood,"Good",IF(P32&gt;=setAvg,"Average","Poor")))</f>
        <v>Poor</v>
      </c>
    </row>
    <row r="33" customFormat="false" ht="15" hidden="false" customHeight="false" outlineLevel="0" collapsed="false">
      <c r="A33" s="41" t="s">
        <v>211</v>
      </c>
      <c r="B33" s="41" t="s">
        <v>189</v>
      </c>
      <c r="C33" s="41" t="s">
        <v>86</v>
      </c>
      <c r="D33" s="41" t="s">
        <v>104</v>
      </c>
      <c r="E33" s="41" t="s">
        <v>103</v>
      </c>
      <c r="F33" s="41" t="s">
        <v>77</v>
      </c>
      <c r="G33" s="42" t="n">
        <v>78.07</v>
      </c>
      <c r="H33" s="41" t="n">
        <v>9</v>
      </c>
      <c r="I33" s="42" t="n">
        <v>35.1315</v>
      </c>
      <c r="J33" s="42" t="n">
        <v>737.7615</v>
      </c>
      <c r="K33" s="43" t="n">
        <v>43493</v>
      </c>
      <c r="L33" s="44" t="n">
        <v>0.529861111111111</v>
      </c>
      <c r="M33" s="41" t="s">
        <v>97</v>
      </c>
      <c r="N33" s="42" t="n">
        <v>702.63</v>
      </c>
      <c r="O33" s="42" t="n">
        <v>35.1315</v>
      </c>
      <c r="P33" s="45" t="n">
        <v>4.5</v>
      </c>
      <c r="Q33" s="41" t="str">
        <f aca="false">CHOOSE(MONTH(K33),"Jan","Feb","Mar","Apr","May","Jun","Jul","Aug","Sep","Oct","Nov","Dec")</f>
        <v>Jan</v>
      </c>
      <c r="R33" s="41" t="n">
        <f aca="false">INT((K33-setMinDate)/7)+1</f>
        <v>4</v>
      </c>
      <c r="S33" s="41" t="n">
        <f aca="false">HOUR(L33)</f>
        <v>12</v>
      </c>
      <c r="T33" s="41" t="str">
        <f aca="false">IF(S33&lt;setMorningEnd,"Morning",IF(S33&lt;setAfternoonEnd,"Afternoon","Evening"))</f>
        <v>Afternoon</v>
      </c>
      <c r="U33" s="41" t="str">
        <f aca="false">IF(J33&gt;=setLarge,"Large",IF(J33&gt;=setMedium,"Medium","Small"))</f>
        <v>Large</v>
      </c>
      <c r="V33" s="41" t="str">
        <f aca="false">IF(P33&gt;=setExc,"Excellent",IF(P33&gt;=setGood,"Good",IF(P33&gt;=setAvg,"Average","Poor")))</f>
        <v>Poor</v>
      </c>
    </row>
    <row r="34" customFormat="false" ht="15" hidden="false" customHeight="false" outlineLevel="0" collapsed="false">
      <c r="A34" s="41" t="s">
        <v>212</v>
      </c>
      <c r="B34" s="41" t="s">
        <v>189</v>
      </c>
      <c r="C34" s="41" t="s">
        <v>86</v>
      </c>
      <c r="D34" s="41" t="s">
        <v>105</v>
      </c>
      <c r="E34" s="41" t="s">
        <v>103</v>
      </c>
      <c r="F34" s="41" t="s">
        <v>77</v>
      </c>
      <c r="G34" s="42" t="n">
        <v>83.78</v>
      </c>
      <c r="H34" s="41" t="n">
        <v>8</v>
      </c>
      <c r="I34" s="42" t="n">
        <v>33.512</v>
      </c>
      <c r="J34" s="42" t="n">
        <v>703.752</v>
      </c>
      <c r="K34" s="43" t="n">
        <v>43475</v>
      </c>
      <c r="L34" s="44" t="n">
        <v>0.617361111111111</v>
      </c>
      <c r="M34" s="41" t="s">
        <v>97</v>
      </c>
      <c r="N34" s="42" t="n">
        <v>670.24</v>
      </c>
      <c r="O34" s="42" t="n">
        <v>33.512</v>
      </c>
      <c r="P34" s="45" t="n">
        <v>5.1</v>
      </c>
      <c r="Q34" s="41" t="str">
        <f aca="false">CHOOSE(MONTH(K34),"Jan","Feb","Mar","Apr","May","Jun","Jul","Aug","Sep","Oct","Nov","Dec")</f>
        <v>Jan</v>
      </c>
      <c r="R34" s="41" t="n">
        <f aca="false">INT((K34-setMinDate)/7)+1</f>
        <v>2</v>
      </c>
      <c r="S34" s="41" t="n">
        <f aca="false">HOUR(L34)</f>
        <v>14</v>
      </c>
      <c r="T34" s="41" t="str">
        <f aca="false">IF(S34&lt;setMorningEnd,"Morning",IF(S34&lt;setAfternoonEnd,"Afternoon","Evening"))</f>
        <v>Afternoon</v>
      </c>
      <c r="U34" s="41" t="str">
        <f aca="false">IF(J34&gt;=setLarge,"Large",IF(J34&gt;=setMedium,"Medium","Small"))</f>
        <v>Large</v>
      </c>
      <c r="V34" s="41" t="str">
        <f aca="false">IF(P34&gt;=setExc,"Excellent",IF(P34&gt;=setGood,"Good",IF(P34&gt;=setAvg,"Average","Poor")))</f>
        <v>Average</v>
      </c>
    </row>
    <row r="35" customFormat="false" ht="15" hidden="false" customHeight="false" outlineLevel="0" collapsed="false">
      <c r="A35" s="41" t="s">
        <v>213</v>
      </c>
      <c r="B35" s="41" t="s">
        <v>178</v>
      </c>
      <c r="C35" s="41" t="s">
        <v>85</v>
      </c>
      <c r="D35" s="41" t="s">
        <v>105</v>
      </c>
      <c r="E35" s="41" t="s">
        <v>103</v>
      </c>
      <c r="F35" s="41" t="s">
        <v>81</v>
      </c>
      <c r="G35" s="42" t="n">
        <v>96.58</v>
      </c>
      <c r="H35" s="41" t="n">
        <v>2</v>
      </c>
      <c r="I35" s="42" t="n">
        <v>9.658</v>
      </c>
      <c r="J35" s="42" t="n">
        <v>202.818</v>
      </c>
      <c r="K35" s="43" t="n">
        <v>43539</v>
      </c>
      <c r="L35" s="44" t="n">
        <v>0.425</v>
      </c>
      <c r="M35" s="41" t="s">
        <v>99</v>
      </c>
      <c r="N35" s="42" t="n">
        <v>193.16</v>
      </c>
      <c r="O35" s="42" t="n">
        <v>9.658</v>
      </c>
      <c r="P35" s="45" t="n">
        <v>5.1</v>
      </c>
      <c r="Q35" s="41" t="str">
        <f aca="false">CHOOSE(MONTH(K35),"Jan","Feb","Mar","Apr","May","Jun","Jul","Aug","Sep","Oct","Nov","Dec")</f>
        <v>Mar</v>
      </c>
      <c r="R35" s="41" t="n">
        <f aca="false">INT((K35-setMinDate)/7)+1</f>
        <v>11</v>
      </c>
      <c r="S35" s="41" t="n">
        <f aca="false">HOUR(L35)</f>
        <v>10</v>
      </c>
      <c r="T35" s="41" t="str">
        <f aca="false">IF(S35&lt;setMorningEnd,"Morning",IF(S35&lt;setAfternoonEnd,"Afternoon","Evening"))</f>
        <v>Morning</v>
      </c>
      <c r="U35" s="41" t="str">
        <f aca="false">IF(J35&gt;=setLarge,"Large",IF(J35&gt;=setMedium,"Medium","Small"))</f>
        <v>Small</v>
      </c>
      <c r="V35" s="41" t="str">
        <f aca="false">IF(P35&gt;=setExc,"Excellent",IF(P35&gt;=setGood,"Good",IF(P35&gt;=setAvg,"Average","Poor")))</f>
        <v>Average</v>
      </c>
    </row>
    <row r="36" customFormat="false" ht="15" hidden="false" customHeight="false" outlineLevel="0" collapsed="false">
      <c r="A36" s="41" t="s">
        <v>214</v>
      </c>
      <c r="B36" s="41" t="s">
        <v>180</v>
      </c>
      <c r="C36" s="41" t="s">
        <v>87</v>
      </c>
      <c r="D36" s="41" t="s">
        <v>104</v>
      </c>
      <c r="E36" s="41" t="s">
        <v>102</v>
      </c>
      <c r="F36" s="41" t="s">
        <v>76</v>
      </c>
      <c r="G36" s="42" t="n">
        <v>99.42</v>
      </c>
      <c r="H36" s="41" t="n">
        <v>4</v>
      </c>
      <c r="I36" s="42" t="n">
        <v>19.884</v>
      </c>
      <c r="J36" s="42" t="n">
        <v>417.564</v>
      </c>
      <c r="K36" s="43" t="n">
        <v>43502</v>
      </c>
      <c r="L36" s="44" t="n">
        <v>0.445833333333333</v>
      </c>
      <c r="M36" s="41" t="s">
        <v>98</v>
      </c>
      <c r="N36" s="42" t="n">
        <v>397.68</v>
      </c>
      <c r="O36" s="42" t="n">
        <v>19.884</v>
      </c>
      <c r="P36" s="45" t="n">
        <v>7.5</v>
      </c>
      <c r="Q36" s="41" t="str">
        <f aca="false">CHOOSE(MONTH(K36),"Jan","Feb","Mar","Apr","May","Jun","Jul","Aug","Sep","Oct","Nov","Dec")</f>
        <v>Feb</v>
      </c>
      <c r="R36" s="41" t="n">
        <f aca="false">INT((K36-setMinDate)/7)+1</f>
        <v>6</v>
      </c>
      <c r="S36" s="41" t="n">
        <f aca="false">HOUR(L36)</f>
        <v>10</v>
      </c>
      <c r="T36" s="41" t="str">
        <f aca="false">IF(S36&lt;setMorningEnd,"Morning",IF(S36&lt;setAfternoonEnd,"Afternoon","Evening"))</f>
        <v>Morning</v>
      </c>
      <c r="U36" s="41" t="str">
        <f aca="false">IF(J36&gt;=setLarge,"Large",IF(J36&gt;=setMedium,"Medium","Small"))</f>
        <v>Medium</v>
      </c>
      <c r="V36" s="41" t="str">
        <f aca="false">IF(P36&gt;=setExc,"Excellent",IF(P36&gt;=setGood,"Good",IF(P36&gt;=setAvg,"Average","Poor")))</f>
        <v>Good</v>
      </c>
    </row>
    <row r="37" customFormat="false" ht="15" hidden="false" customHeight="false" outlineLevel="0" collapsed="false">
      <c r="A37" s="41" t="s">
        <v>215</v>
      </c>
      <c r="B37" s="41" t="s">
        <v>180</v>
      </c>
      <c r="C37" s="41" t="s">
        <v>87</v>
      </c>
      <c r="D37" s="41" t="s">
        <v>104</v>
      </c>
      <c r="E37" s="41" t="s">
        <v>102</v>
      </c>
      <c r="F37" s="41" t="s">
        <v>77</v>
      </c>
      <c r="G37" s="42" t="n">
        <v>68.12</v>
      </c>
      <c r="H37" s="41" t="n">
        <v>1</v>
      </c>
      <c r="I37" s="42" t="n">
        <v>3.406</v>
      </c>
      <c r="J37" s="42" t="n">
        <v>71.526</v>
      </c>
      <c r="K37" s="43" t="n">
        <v>43472</v>
      </c>
      <c r="L37" s="44" t="n">
        <v>0.519444444444445</v>
      </c>
      <c r="M37" s="41" t="s">
        <v>98</v>
      </c>
      <c r="N37" s="42" t="n">
        <v>68.12</v>
      </c>
      <c r="O37" s="42" t="n">
        <v>3.406</v>
      </c>
      <c r="P37" s="45" t="n">
        <v>6.8</v>
      </c>
      <c r="Q37" s="41" t="str">
        <f aca="false">CHOOSE(MONTH(K37),"Jan","Feb","Mar","Apr","May","Jun","Jul","Aug","Sep","Oct","Nov","Dec")</f>
        <v>Jan</v>
      </c>
      <c r="R37" s="41" t="n">
        <f aca="false">INT((K37-setMinDate)/7)+1</f>
        <v>1</v>
      </c>
      <c r="S37" s="41" t="n">
        <f aca="false">HOUR(L37)</f>
        <v>12</v>
      </c>
      <c r="T37" s="41" t="str">
        <f aca="false">IF(S37&lt;setMorningEnd,"Morning",IF(S37&lt;setAfternoonEnd,"Afternoon","Evening"))</f>
        <v>Afternoon</v>
      </c>
      <c r="U37" s="41" t="str">
        <f aca="false">IF(J37&gt;=setLarge,"Large",IF(J37&gt;=setMedium,"Medium","Small"))</f>
        <v>Small</v>
      </c>
      <c r="V37" s="41" t="str">
        <f aca="false">IF(P37&gt;=setExc,"Excellent",IF(P37&gt;=setGood,"Good",IF(P37&gt;=setAvg,"Average","Poor")))</f>
        <v>Average</v>
      </c>
    </row>
    <row r="38" customFormat="false" ht="15" hidden="false" customHeight="false" outlineLevel="0" collapsed="false">
      <c r="A38" s="41" t="s">
        <v>216</v>
      </c>
      <c r="B38" s="41" t="s">
        <v>178</v>
      </c>
      <c r="C38" s="41" t="s">
        <v>85</v>
      </c>
      <c r="D38" s="41" t="s">
        <v>104</v>
      </c>
      <c r="E38" s="41" t="s">
        <v>103</v>
      </c>
      <c r="F38" s="41" t="s">
        <v>77</v>
      </c>
      <c r="G38" s="42" t="n">
        <v>62.62</v>
      </c>
      <c r="H38" s="41" t="n">
        <v>5</v>
      </c>
      <c r="I38" s="42" t="n">
        <v>15.655</v>
      </c>
      <c r="J38" s="42" t="n">
        <v>328.755</v>
      </c>
      <c r="K38" s="43" t="n">
        <v>43534</v>
      </c>
      <c r="L38" s="44" t="n">
        <v>0.802083333333333</v>
      </c>
      <c r="M38" s="41" t="s">
        <v>98</v>
      </c>
      <c r="N38" s="42" t="n">
        <v>313.1</v>
      </c>
      <c r="O38" s="42" t="n">
        <v>15.655</v>
      </c>
      <c r="P38" s="45" t="n">
        <v>7</v>
      </c>
      <c r="Q38" s="41" t="str">
        <f aca="false">CHOOSE(MONTH(K38),"Jan","Feb","Mar","Apr","May","Jun","Jul","Aug","Sep","Oct","Nov","Dec")</f>
        <v>Mar</v>
      </c>
      <c r="R38" s="41" t="n">
        <f aca="false">INT((K38-setMinDate)/7)+1</f>
        <v>10</v>
      </c>
      <c r="S38" s="41" t="n">
        <f aca="false">HOUR(L38)</f>
        <v>19</v>
      </c>
      <c r="T38" s="41" t="str">
        <f aca="false">IF(S38&lt;setMorningEnd,"Morning",IF(S38&lt;setAfternoonEnd,"Afternoon","Evening"))</f>
        <v>Evening</v>
      </c>
      <c r="U38" s="41" t="str">
        <f aca="false">IF(J38&gt;=setLarge,"Large",IF(J38&gt;=setMedium,"Medium","Small"))</f>
        <v>Medium</v>
      </c>
      <c r="V38" s="41" t="str">
        <f aca="false">IF(P38&gt;=setExc,"Excellent",IF(P38&gt;=setGood,"Good",IF(P38&gt;=setAvg,"Average","Poor")))</f>
        <v>Good</v>
      </c>
    </row>
    <row r="39" customFormat="false" ht="15" hidden="false" customHeight="false" outlineLevel="0" collapsed="false">
      <c r="A39" s="41" t="s">
        <v>217</v>
      </c>
      <c r="B39" s="41" t="s">
        <v>178</v>
      </c>
      <c r="C39" s="41" t="s">
        <v>85</v>
      </c>
      <c r="D39" s="41" t="s">
        <v>105</v>
      </c>
      <c r="E39" s="41" t="s">
        <v>102</v>
      </c>
      <c r="F39" s="41" t="s">
        <v>78</v>
      </c>
      <c r="G39" s="42" t="n">
        <v>60.88</v>
      </c>
      <c r="H39" s="41" t="n">
        <v>9</v>
      </c>
      <c r="I39" s="42" t="n">
        <v>27.396</v>
      </c>
      <c r="J39" s="42" t="n">
        <v>575.316</v>
      </c>
      <c r="K39" s="43" t="n">
        <v>43480</v>
      </c>
      <c r="L39" s="44" t="n">
        <v>0.720138888888889</v>
      </c>
      <c r="M39" s="41" t="s">
        <v>98</v>
      </c>
      <c r="N39" s="42" t="n">
        <v>547.92</v>
      </c>
      <c r="O39" s="42" t="n">
        <v>27.396</v>
      </c>
      <c r="P39" s="45" t="n">
        <v>4.7</v>
      </c>
      <c r="Q39" s="41" t="str">
        <f aca="false">CHOOSE(MONTH(K39),"Jan","Feb","Mar","Apr","May","Jun","Jul","Aug","Sep","Oct","Nov","Dec")</f>
        <v>Jan</v>
      </c>
      <c r="R39" s="41" t="n">
        <f aca="false">INT((K39-setMinDate)/7)+1</f>
        <v>3</v>
      </c>
      <c r="S39" s="41" t="n">
        <f aca="false">HOUR(L39)</f>
        <v>17</v>
      </c>
      <c r="T39" s="41" t="str">
        <f aca="false">IF(S39&lt;setMorningEnd,"Morning",IF(S39&lt;setAfternoonEnd,"Afternoon","Evening"))</f>
        <v>Evening</v>
      </c>
      <c r="U39" s="41" t="str">
        <f aca="false">IF(J39&gt;=setLarge,"Large",IF(J39&gt;=setMedium,"Medium","Small"))</f>
        <v>Medium</v>
      </c>
      <c r="V39" s="41" t="str">
        <f aca="false">IF(P39&gt;=setExc,"Excellent",IF(P39&gt;=setGood,"Good",IF(P39&gt;=setAvg,"Average","Poor")))</f>
        <v>Poor</v>
      </c>
    </row>
    <row r="40" customFormat="false" ht="15" hidden="false" customHeight="false" outlineLevel="0" collapsed="false">
      <c r="A40" s="41" t="s">
        <v>218</v>
      </c>
      <c r="B40" s="41" t="s">
        <v>180</v>
      </c>
      <c r="C40" s="41" t="s">
        <v>87</v>
      </c>
      <c r="D40" s="41" t="s">
        <v>105</v>
      </c>
      <c r="E40" s="41" t="s">
        <v>102</v>
      </c>
      <c r="F40" s="41" t="s">
        <v>81</v>
      </c>
      <c r="G40" s="42" t="n">
        <v>54.92</v>
      </c>
      <c r="H40" s="41" t="n">
        <v>8</v>
      </c>
      <c r="I40" s="42" t="n">
        <v>21.968</v>
      </c>
      <c r="J40" s="42" t="n">
        <v>461.328</v>
      </c>
      <c r="K40" s="43" t="n">
        <v>43547</v>
      </c>
      <c r="L40" s="44" t="n">
        <v>0.558333333333333</v>
      </c>
      <c r="M40" s="41" t="s">
        <v>98</v>
      </c>
      <c r="N40" s="42" t="n">
        <v>439.36</v>
      </c>
      <c r="O40" s="42" t="n">
        <v>21.968</v>
      </c>
      <c r="P40" s="45" t="n">
        <v>7.6</v>
      </c>
      <c r="Q40" s="41" t="str">
        <f aca="false">CHOOSE(MONTH(K40),"Jan","Feb","Mar","Apr","May","Jun","Jul","Aug","Sep","Oct","Nov","Dec")</f>
        <v>Mar</v>
      </c>
      <c r="R40" s="41" t="n">
        <f aca="false">INT((K40-setMinDate)/7)+1</f>
        <v>12</v>
      </c>
      <c r="S40" s="41" t="n">
        <f aca="false">HOUR(L40)</f>
        <v>13</v>
      </c>
      <c r="T40" s="41" t="str">
        <f aca="false">IF(S40&lt;setMorningEnd,"Morning",IF(S40&lt;setAfternoonEnd,"Afternoon","Evening"))</f>
        <v>Afternoon</v>
      </c>
      <c r="U40" s="41" t="str">
        <f aca="false">IF(J40&gt;=setLarge,"Large",IF(J40&gt;=setMedium,"Medium","Small"))</f>
        <v>Medium</v>
      </c>
      <c r="V40" s="41" t="str">
        <f aca="false">IF(P40&gt;=setExc,"Excellent",IF(P40&gt;=setGood,"Good",IF(P40&gt;=setAvg,"Average","Poor")))</f>
        <v>Good</v>
      </c>
    </row>
    <row r="41" customFormat="false" ht="15" hidden="false" customHeight="false" outlineLevel="0" collapsed="false">
      <c r="A41" s="41" t="s">
        <v>219</v>
      </c>
      <c r="B41" s="41" t="s">
        <v>189</v>
      </c>
      <c r="C41" s="41" t="s">
        <v>86</v>
      </c>
      <c r="D41" s="41" t="s">
        <v>104</v>
      </c>
      <c r="E41" s="41" t="s">
        <v>103</v>
      </c>
      <c r="F41" s="41" t="s">
        <v>80</v>
      </c>
      <c r="G41" s="42" t="n">
        <v>30.12</v>
      </c>
      <c r="H41" s="41" t="n">
        <v>8</v>
      </c>
      <c r="I41" s="42" t="n">
        <v>12.048</v>
      </c>
      <c r="J41" s="42" t="n">
        <v>253.008</v>
      </c>
      <c r="K41" s="43" t="n">
        <v>43527</v>
      </c>
      <c r="L41" s="44" t="n">
        <v>0.542361111111111</v>
      </c>
      <c r="M41" s="41" t="s">
        <v>97</v>
      </c>
      <c r="N41" s="42" t="n">
        <v>240.96</v>
      </c>
      <c r="O41" s="42" t="n">
        <v>12.048</v>
      </c>
      <c r="P41" s="45" t="n">
        <v>7.7</v>
      </c>
      <c r="Q41" s="41" t="str">
        <f aca="false">CHOOSE(MONTH(K41),"Jan","Feb","Mar","Apr","May","Jun","Jul","Aug","Sep","Oct","Nov","Dec")</f>
        <v>Mar</v>
      </c>
      <c r="R41" s="41" t="n">
        <f aca="false">INT((K41-setMinDate)/7)+1</f>
        <v>9</v>
      </c>
      <c r="S41" s="41" t="n">
        <f aca="false">HOUR(L41)</f>
        <v>13</v>
      </c>
      <c r="T41" s="41" t="str">
        <f aca="false">IF(S41&lt;setMorningEnd,"Morning",IF(S41&lt;setAfternoonEnd,"Afternoon","Evening"))</f>
        <v>Afternoon</v>
      </c>
      <c r="U41" s="41" t="str">
        <f aca="false">IF(J41&gt;=setLarge,"Large",IF(J41&gt;=setMedium,"Medium","Small"))</f>
        <v>Medium</v>
      </c>
      <c r="V41" s="41" t="str">
        <f aca="false">IF(P41&gt;=setExc,"Excellent",IF(P41&gt;=setGood,"Good",IF(P41&gt;=setAvg,"Average","Poor")))</f>
        <v>Good</v>
      </c>
    </row>
    <row r="42" customFormat="false" ht="15" hidden="false" customHeight="false" outlineLevel="0" collapsed="false">
      <c r="A42" s="41" t="s">
        <v>220</v>
      </c>
      <c r="B42" s="41" t="s">
        <v>189</v>
      </c>
      <c r="C42" s="41" t="s">
        <v>86</v>
      </c>
      <c r="D42" s="41" t="s">
        <v>104</v>
      </c>
      <c r="E42" s="41" t="s">
        <v>102</v>
      </c>
      <c r="F42" s="41" t="s">
        <v>80</v>
      </c>
      <c r="G42" s="42" t="n">
        <v>86.72</v>
      </c>
      <c r="H42" s="41" t="n">
        <v>1</v>
      </c>
      <c r="I42" s="42" t="n">
        <v>4.336</v>
      </c>
      <c r="J42" s="42" t="n">
        <v>91.056</v>
      </c>
      <c r="K42" s="43" t="n">
        <v>43482</v>
      </c>
      <c r="L42" s="44" t="n">
        <v>0.78125</v>
      </c>
      <c r="M42" s="41" t="s">
        <v>98</v>
      </c>
      <c r="N42" s="42" t="n">
        <v>86.72</v>
      </c>
      <c r="O42" s="42" t="n">
        <v>4.336</v>
      </c>
      <c r="P42" s="45" t="n">
        <v>7.9</v>
      </c>
      <c r="Q42" s="41" t="str">
        <f aca="false">CHOOSE(MONTH(K42),"Jan","Feb","Mar","Apr","May","Jun","Jul","Aug","Sep","Oct","Nov","Dec")</f>
        <v>Jan</v>
      </c>
      <c r="R42" s="41" t="n">
        <f aca="false">INT((K42-setMinDate)/7)+1</f>
        <v>3</v>
      </c>
      <c r="S42" s="41" t="n">
        <f aca="false">HOUR(L42)</f>
        <v>18</v>
      </c>
      <c r="T42" s="41" t="str">
        <f aca="false">IF(S42&lt;setMorningEnd,"Morning",IF(S42&lt;setAfternoonEnd,"Afternoon","Evening"))</f>
        <v>Evening</v>
      </c>
      <c r="U42" s="41" t="str">
        <f aca="false">IF(J42&gt;=setLarge,"Large",IF(J42&gt;=setMedium,"Medium","Small"))</f>
        <v>Small</v>
      </c>
      <c r="V42" s="41" t="str">
        <f aca="false">IF(P42&gt;=setExc,"Excellent",IF(P42&gt;=setGood,"Good",IF(P42&gt;=setAvg,"Average","Poor")))</f>
        <v>Good</v>
      </c>
    </row>
    <row r="43" customFormat="false" ht="15" hidden="false" customHeight="false" outlineLevel="0" collapsed="false">
      <c r="A43" s="41" t="s">
        <v>221</v>
      </c>
      <c r="B43" s="41" t="s">
        <v>180</v>
      </c>
      <c r="C43" s="41" t="s">
        <v>87</v>
      </c>
      <c r="D43" s="41" t="s">
        <v>104</v>
      </c>
      <c r="E43" s="41" t="s">
        <v>103</v>
      </c>
      <c r="F43" s="41" t="s">
        <v>80</v>
      </c>
      <c r="G43" s="42" t="n">
        <v>56.11</v>
      </c>
      <c r="H43" s="41" t="n">
        <v>2</v>
      </c>
      <c r="I43" s="42" t="n">
        <v>5.611</v>
      </c>
      <c r="J43" s="42" t="n">
        <v>117.831</v>
      </c>
      <c r="K43" s="43" t="n">
        <v>43498</v>
      </c>
      <c r="L43" s="44" t="n">
        <v>0.424305555555556</v>
      </c>
      <c r="M43" s="41" t="s">
        <v>97</v>
      </c>
      <c r="N43" s="42" t="n">
        <v>112.22</v>
      </c>
      <c r="O43" s="42" t="n">
        <v>5.611</v>
      </c>
      <c r="P43" s="45" t="n">
        <v>6.3</v>
      </c>
      <c r="Q43" s="41" t="str">
        <f aca="false">CHOOSE(MONTH(K43),"Jan","Feb","Mar","Apr","May","Jun","Jul","Aug","Sep","Oct","Nov","Dec")</f>
        <v>Feb</v>
      </c>
      <c r="R43" s="41" t="n">
        <f aca="false">INT((K43-setMinDate)/7)+1</f>
        <v>5</v>
      </c>
      <c r="S43" s="41" t="n">
        <f aca="false">HOUR(L43)</f>
        <v>10</v>
      </c>
      <c r="T43" s="41" t="str">
        <f aca="false">IF(S43&lt;setMorningEnd,"Morning",IF(S43&lt;setAfternoonEnd,"Afternoon","Evening"))</f>
        <v>Morning</v>
      </c>
      <c r="U43" s="41" t="str">
        <f aca="false">IF(J43&gt;=setLarge,"Large",IF(J43&gt;=setMedium,"Medium","Small"))</f>
        <v>Small</v>
      </c>
      <c r="V43" s="41" t="str">
        <f aca="false">IF(P43&gt;=setExc,"Excellent",IF(P43&gt;=setGood,"Good",IF(P43&gt;=setAvg,"Average","Poor")))</f>
        <v>Average</v>
      </c>
    </row>
    <row r="44" customFormat="false" ht="15" hidden="false" customHeight="false" outlineLevel="0" collapsed="false">
      <c r="A44" s="41" t="s">
        <v>222</v>
      </c>
      <c r="B44" s="41" t="s">
        <v>189</v>
      </c>
      <c r="C44" s="41" t="s">
        <v>86</v>
      </c>
      <c r="D44" s="41" t="s">
        <v>104</v>
      </c>
      <c r="E44" s="41" t="s">
        <v>102</v>
      </c>
      <c r="F44" s="41" t="s">
        <v>77</v>
      </c>
      <c r="G44" s="42" t="n">
        <v>69.12</v>
      </c>
      <c r="H44" s="41" t="n">
        <v>6</v>
      </c>
      <c r="I44" s="42" t="n">
        <v>20.736</v>
      </c>
      <c r="J44" s="42" t="n">
        <v>435.456</v>
      </c>
      <c r="K44" s="43" t="n">
        <v>43504</v>
      </c>
      <c r="L44" s="44" t="n">
        <v>0.54375</v>
      </c>
      <c r="M44" s="41" t="s">
        <v>97</v>
      </c>
      <c r="N44" s="42" t="n">
        <v>414.72</v>
      </c>
      <c r="O44" s="42" t="n">
        <v>20.736</v>
      </c>
      <c r="P44" s="45" t="n">
        <v>5.6</v>
      </c>
      <c r="Q44" s="41" t="str">
        <f aca="false">CHOOSE(MONTH(K44),"Jan","Feb","Mar","Apr","May","Jun","Jul","Aug","Sep","Oct","Nov","Dec")</f>
        <v>Feb</v>
      </c>
      <c r="R44" s="41" t="n">
        <f aca="false">INT((K44-setMinDate)/7)+1</f>
        <v>6</v>
      </c>
      <c r="S44" s="41" t="n">
        <f aca="false">HOUR(L44)</f>
        <v>13</v>
      </c>
      <c r="T44" s="41" t="str">
        <f aca="false">IF(S44&lt;setMorningEnd,"Morning",IF(S44&lt;setAfternoonEnd,"Afternoon","Evening"))</f>
        <v>Afternoon</v>
      </c>
      <c r="U44" s="41" t="str">
        <f aca="false">IF(J44&gt;=setLarge,"Large",IF(J44&gt;=setMedium,"Medium","Small"))</f>
        <v>Medium</v>
      </c>
      <c r="V44" s="41" t="str">
        <f aca="false">IF(P44&gt;=setExc,"Excellent",IF(P44&gt;=setGood,"Good",IF(P44&gt;=setAvg,"Average","Poor")))</f>
        <v>Average</v>
      </c>
    </row>
    <row r="45" customFormat="false" ht="15" hidden="false" customHeight="false" outlineLevel="0" collapsed="false">
      <c r="A45" s="41" t="s">
        <v>223</v>
      </c>
      <c r="B45" s="41" t="s">
        <v>180</v>
      </c>
      <c r="C45" s="41" t="s">
        <v>87</v>
      </c>
      <c r="D45" s="41" t="s">
        <v>104</v>
      </c>
      <c r="E45" s="41" t="s">
        <v>102</v>
      </c>
      <c r="F45" s="41" t="s">
        <v>76</v>
      </c>
      <c r="G45" s="42" t="n">
        <v>98.7</v>
      </c>
      <c r="H45" s="41" t="n">
        <v>8</v>
      </c>
      <c r="I45" s="42" t="n">
        <v>39.48</v>
      </c>
      <c r="J45" s="42" t="n">
        <v>829.08</v>
      </c>
      <c r="K45" s="43" t="n">
        <v>43528</v>
      </c>
      <c r="L45" s="44" t="n">
        <v>0.860416666666667</v>
      </c>
      <c r="M45" s="41" t="s">
        <v>97</v>
      </c>
      <c r="N45" s="42" t="n">
        <v>789.6</v>
      </c>
      <c r="O45" s="42" t="n">
        <v>39.48</v>
      </c>
      <c r="P45" s="45" t="n">
        <v>7.6</v>
      </c>
      <c r="Q45" s="41" t="str">
        <f aca="false">CHOOSE(MONTH(K45),"Jan","Feb","Mar","Apr","May","Jun","Jul","Aug","Sep","Oct","Nov","Dec")</f>
        <v>Mar</v>
      </c>
      <c r="R45" s="41" t="n">
        <f aca="false">INT((K45-setMinDate)/7)+1</f>
        <v>9</v>
      </c>
      <c r="S45" s="41" t="n">
        <f aca="false">HOUR(L45)</f>
        <v>20</v>
      </c>
      <c r="T45" s="41" t="str">
        <f aca="false">IF(S45&lt;setMorningEnd,"Morning",IF(S45&lt;setAfternoonEnd,"Afternoon","Evening"))</f>
        <v>Evening</v>
      </c>
      <c r="U45" s="41" t="str">
        <f aca="false">IF(J45&gt;=setLarge,"Large",IF(J45&gt;=setMedium,"Medium","Small"))</f>
        <v>Large</v>
      </c>
      <c r="V45" s="41" t="str">
        <f aca="false">IF(P45&gt;=setExc,"Excellent",IF(P45&gt;=setGood,"Good",IF(P45&gt;=setAvg,"Average","Poor")))</f>
        <v>Good</v>
      </c>
    </row>
    <row r="46" customFormat="false" ht="15" hidden="false" customHeight="false" outlineLevel="0" collapsed="false">
      <c r="A46" s="41" t="s">
        <v>224</v>
      </c>
      <c r="B46" s="41" t="s">
        <v>180</v>
      </c>
      <c r="C46" s="41" t="s">
        <v>87</v>
      </c>
      <c r="D46" s="41" t="s">
        <v>104</v>
      </c>
      <c r="E46" s="41" t="s">
        <v>103</v>
      </c>
      <c r="F46" s="41" t="s">
        <v>81</v>
      </c>
      <c r="G46" s="42" t="n">
        <v>15.37</v>
      </c>
      <c r="H46" s="41" t="n">
        <v>2</v>
      </c>
      <c r="I46" s="42" t="n">
        <v>1.537</v>
      </c>
      <c r="J46" s="42" t="n">
        <v>32.277</v>
      </c>
      <c r="K46" s="43" t="n">
        <v>43540</v>
      </c>
      <c r="L46" s="44" t="n">
        <v>0.824305555555556</v>
      </c>
      <c r="M46" s="41" t="s">
        <v>97</v>
      </c>
      <c r="N46" s="42" t="n">
        <v>30.74</v>
      </c>
      <c r="O46" s="42" t="n">
        <v>1.537</v>
      </c>
      <c r="P46" s="45" t="n">
        <v>7.2</v>
      </c>
      <c r="Q46" s="41" t="str">
        <f aca="false">CHOOSE(MONTH(K46),"Jan","Feb","Mar","Apr","May","Jun","Jul","Aug","Sep","Oct","Nov","Dec")</f>
        <v>Mar</v>
      </c>
      <c r="R46" s="41" t="n">
        <f aca="false">INT((K46-setMinDate)/7)+1</f>
        <v>11</v>
      </c>
      <c r="S46" s="41" t="n">
        <f aca="false">HOUR(L46)</f>
        <v>19</v>
      </c>
      <c r="T46" s="41" t="str">
        <f aca="false">IF(S46&lt;setMorningEnd,"Morning",IF(S46&lt;setAfternoonEnd,"Afternoon","Evening"))</f>
        <v>Evening</v>
      </c>
      <c r="U46" s="41" t="str">
        <f aca="false">IF(J46&gt;=setLarge,"Large",IF(J46&gt;=setMedium,"Medium","Small"))</f>
        <v>Small</v>
      </c>
      <c r="V46" s="41" t="str">
        <f aca="false">IF(P46&gt;=setExc,"Excellent",IF(P46&gt;=setGood,"Good",IF(P46&gt;=setAvg,"Average","Poor")))</f>
        <v>Good</v>
      </c>
    </row>
    <row r="47" customFormat="false" ht="15" hidden="false" customHeight="false" outlineLevel="0" collapsed="false">
      <c r="A47" s="41" t="s">
        <v>225</v>
      </c>
      <c r="B47" s="41" t="s">
        <v>189</v>
      </c>
      <c r="C47" s="41" t="s">
        <v>86</v>
      </c>
      <c r="D47" s="41" t="s">
        <v>104</v>
      </c>
      <c r="E47" s="41" t="s">
        <v>102</v>
      </c>
      <c r="F47" s="41" t="s">
        <v>78</v>
      </c>
      <c r="G47" s="42" t="n">
        <v>93.96</v>
      </c>
      <c r="H47" s="41" t="n">
        <v>4</v>
      </c>
      <c r="I47" s="42" t="n">
        <v>18.792</v>
      </c>
      <c r="J47" s="42" t="n">
        <v>394.632</v>
      </c>
      <c r="K47" s="43" t="n">
        <v>43533</v>
      </c>
      <c r="L47" s="44" t="n">
        <v>0.75</v>
      </c>
      <c r="M47" s="41" t="s">
        <v>97</v>
      </c>
      <c r="N47" s="42" t="n">
        <v>375.84</v>
      </c>
      <c r="O47" s="42" t="n">
        <v>18.792</v>
      </c>
      <c r="P47" s="45" t="n">
        <v>9.5</v>
      </c>
      <c r="Q47" s="41" t="str">
        <f aca="false">CHOOSE(MONTH(K47),"Jan","Feb","Mar","Apr","May","Jun","Jul","Aug","Sep","Oct","Nov","Dec")</f>
        <v>Mar</v>
      </c>
      <c r="R47" s="41" t="n">
        <f aca="false">INT((K47-setMinDate)/7)+1</f>
        <v>10</v>
      </c>
      <c r="S47" s="41" t="n">
        <f aca="false">HOUR(L47)</f>
        <v>18</v>
      </c>
      <c r="T47" s="41" t="str">
        <f aca="false">IF(S47&lt;setMorningEnd,"Morning",IF(S47&lt;setAfternoonEnd,"Afternoon","Evening"))</f>
        <v>Evening</v>
      </c>
      <c r="U47" s="41" t="str">
        <f aca="false">IF(J47&gt;=setLarge,"Large",IF(J47&gt;=setMedium,"Medium","Small"))</f>
        <v>Medium</v>
      </c>
      <c r="V47" s="41" t="str">
        <f aca="false">IF(P47&gt;=setExc,"Excellent",IF(P47&gt;=setGood,"Good",IF(P47&gt;=setAvg,"Average","Poor")))</f>
        <v>Excellent</v>
      </c>
    </row>
    <row r="48" customFormat="false" ht="15" hidden="false" customHeight="false" outlineLevel="0" collapsed="false">
      <c r="A48" s="41" t="s">
        <v>226</v>
      </c>
      <c r="B48" s="41" t="s">
        <v>189</v>
      </c>
      <c r="C48" s="41" t="s">
        <v>86</v>
      </c>
      <c r="D48" s="41" t="s">
        <v>104</v>
      </c>
      <c r="E48" s="41" t="s">
        <v>103</v>
      </c>
      <c r="F48" s="41" t="s">
        <v>81</v>
      </c>
      <c r="G48" s="42" t="n">
        <v>56.69</v>
      </c>
      <c r="H48" s="41" t="n">
        <v>9</v>
      </c>
      <c r="I48" s="42" t="n">
        <v>25.5105</v>
      </c>
      <c r="J48" s="42" t="n">
        <v>535.7205</v>
      </c>
      <c r="K48" s="43" t="n">
        <v>43523</v>
      </c>
      <c r="L48" s="44" t="n">
        <v>0.725</v>
      </c>
      <c r="M48" s="41" t="s">
        <v>99</v>
      </c>
      <c r="N48" s="42" t="n">
        <v>510.21</v>
      </c>
      <c r="O48" s="42" t="n">
        <v>25.5105</v>
      </c>
      <c r="P48" s="45" t="n">
        <v>8.4</v>
      </c>
      <c r="Q48" s="41" t="str">
        <f aca="false">CHOOSE(MONTH(K48),"Jan","Feb","Mar","Apr","May","Jun","Jul","Aug","Sep","Oct","Nov","Dec")</f>
        <v>Feb</v>
      </c>
      <c r="R48" s="41" t="n">
        <f aca="false">INT((K48-setMinDate)/7)+1</f>
        <v>9</v>
      </c>
      <c r="S48" s="41" t="n">
        <f aca="false">HOUR(L48)</f>
        <v>17</v>
      </c>
      <c r="T48" s="41" t="str">
        <f aca="false">IF(S48&lt;setMorningEnd,"Morning",IF(S48&lt;setAfternoonEnd,"Afternoon","Evening"))</f>
        <v>Evening</v>
      </c>
      <c r="U48" s="41" t="str">
        <f aca="false">IF(J48&gt;=setLarge,"Large",IF(J48&gt;=setMedium,"Medium","Small"))</f>
        <v>Medium</v>
      </c>
      <c r="V48" s="41" t="str">
        <f aca="false">IF(P48&gt;=setExc,"Excellent",IF(P48&gt;=setGood,"Good",IF(P48&gt;=setAvg,"Average","Poor")))</f>
        <v>Good</v>
      </c>
    </row>
    <row r="49" customFormat="false" ht="15" hidden="false" customHeight="false" outlineLevel="0" collapsed="false">
      <c r="A49" s="41" t="s">
        <v>227</v>
      </c>
      <c r="B49" s="41" t="s">
        <v>189</v>
      </c>
      <c r="C49" s="41" t="s">
        <v>86</v>
      </c>
      <c r="D49" s="41" t="s">
        <v>104</v>
      </c>
      <c r="E49" s="41" t="s">
        <v>102</v>
      </c>
      <c r="F49" s="41" t="s">
        <v>76</v>
      </c>
      <c r="G49" s="42" t="n">
        <v>20.01</v>
      </c>
      <c r="H49" s="41" t="n">
        <v>9</v>
      </c>
      <c r="I49" s="42" t="n">
        <v>9.0045</v>
      </c>
      <c r="J49" s="42" t="n">
        <v>189.0945</v>
      </c>
      <c r="K49" s="43" t="n">
        <v>43502</v>
      </c>
      <c r="L49" s="44" t="n">
        <v>0.657638888888889</v>
      </c>
      <c r="M49" s="41" t="s">
        <v>98</v>
      </c>
      <c r="N49" s="42" t="n">
        <v>180.09</v>
      </c>
      <c r="O49" s="42" t="n">
        <v>9.0045</v>
      </c>
      <c r="P49" s="45" t="n">
        <v>4.1</v>
      </c>
      <c r="Q49" s="41" t="str">
        <f aca="false">CHOOSE(MONTH(K49),"Jan","Feb","Mar","Apr","May","Jun","Jul","Aug","Sep","Oct","Nov","Dec")</f>
        <v>Feb</v>
      </c>
      <c r="R49" s="41" t="n">
        <f aca="false">INT((K49-setMinDate)/7)+1</f>
        <v>6</v>
      </c>
      <c r="S49" s="41" t="n">
        <f aca="false">HOUR(L49)</f>
        <v>15</v>
      </c>
      <c r="T49" s="41" t="str">
        <f aca="false">IF(S49&lt;setMorningEnd,"Morning",IF(S49&lt;setAfternoonEnd,"Afternoon","Evening"))</f>
        <v>Afternoon</v>
      </c>
      <c r="U49" s="41" t="str">
        <f aca="false">IF(J49&gt;=setLarge,"Large",IF(J49&gt;=setMedium,"Medium","Small"))</f>
        <v>Small</v>
      </c>
      <c r="V49" s="41" t="str">
        <f aca="false">IF(P49&gt;=setExc,"Excellent",IF(P49&gt;=setGood,"Good",IF(P49&gt;=setAvg,"Average","Poor")))</f>
        <v>Poor</v>
      </c>
    </row>
    <row r="50" customFormat="false" ht="15" hidden="false" customHeight="false" outlineLevel="0" collapsed="false">
      <c r="A50" s="41" t="s">
        <v>228</v>
      </c>
      <c r="B50" s="41" t="s">
        <v>189</v>
      </c>
      <c r="C50" s="41" t="s">
        <v>86</v>
      </c>
      <c r="D50" s="41" t="s">
        <v>104</v>
      </c>
      <c r="E50" s="41" t="s">
        <v>103</v>
      </c>
      <c r="F50" s="41" t="s">
        <v>78</v>
      </c>
      <c r="G50" s="42" t="n">
        <v>18.93</v>
      </c>
      <c r="H50" s="41" t="n">
        <v>6</v>
      </c>
      <c r="I50" s="42" t="n">
        <v>5.679</v>
      </c>
      <c r="J50" s="42" t="n">
        <v>119.259</v>
      </c>
      <c r="K50" s="43" t="n">
        <v>43506</v>
      </c>
      <c r="L50" s="44" t="n">
        <v>0.53125</v>
      </c>
      <c r="M50" s="41" t="s">
        <v>99</v>
      </c>
      <c r="N50" s="42" t="n">
        <v>113.58</v>
      </c>
      <c r="O50" s="42" t="n">
        <v>5.679</v>
      </c>
      <c r="P50" s="45" t="n">
        <v>8.1</v>
      </c>
      <c r="Q50" s="41" t="str">
        <f aca="false">CHOOSE(MONTH(K50),"Jan","Feb","Mar","Apr","May","Jun","Jul","Aug","Sep","Oct","Nov","Dec")</f>
        <v>Feb</v>
      </c>
      <c r="R50" s="41" t="n">
        <f aca="false">INT((K50-setMinDate)/7)+1</f>
        <v>6</v>
      </c>
      <c r="S50" s="41" t="n">
        <f aca="false">HOUR(L50)</f>
        <v>12</v>
      </c>
      <c r="T50" s="41" t="str">
        <f aca="false">IF(S50&lt;setMorningEnd,"Morning",IF(S50&lt;setAfternoonEnd,"Afternoon","Evening"))</f>
        <v>Afternoon</v>
      </c>
      <c r="U50" s="41" t="str">
        <f aca="false">IF(J50&gt;=setLarge,"Large",IF(J50&gt;=setMedium,"Medium","Small"))</f>
        <v>Small</v>
      </c>
      <c r="V50" s="41" t="str">
        <f aca="false">IF(P50&gt;=setExc,"Excellent",IF(P50&gt;=setGood,"Good",IF(P50&gt;=setAvg,"Average","Poor")))</f>
        <v>Good</v>
      </c>
    </row>
    <row r="51" customFormat="false" ht="15" hidden="false" customHeight="false" outlineLevel="0" collapsed="false">
      <c r="A51" s="41" t="s">
        <v>229</v>
      </c>
      <c r="B51" s="41" t="s">
        <v>180</v>
      </c>
      <c r="C51" s="41" t="s">
        <v>87</v>
      </c>
      <c r="D51" s="41" t="s">
        <v>104</v>
      </c>
      <c r="E51" s="41" t="s">
        <v>102</v>
      </c>
      <c r="F51" s="41" t="s">
        <v>79</v>
      </c>
      <c r="G51" s="42" t="n">
        <v>82.63</v>
      </c>
      <c r="H51" s="41" t="n">
        <v>10</v>
      </c>
      <c r="I51" s="42" t="n">
        <v>41.315</v>
      </c>
      <c r="J51" s="42" t="n">
        <v>867.615</v>
      </c>
      <c r="K51" s="43" t="n">
        <v>43543</v>
      </c>
      <c r="L51" s="44" t="n">
        <v>0.713888888888889</v>
      </c>
      <c r="M51" s="41" t="s">
        <v>98</v>
      </c>
      <c r="N51" s="42" t="n">
        <v>826.3</v>
      </c>
      <c r="O51" s="42" t="n">
        <v>41.315</v>
      </c>
      <c r="P51" s="45" t="n">
        <v>7.9</v>
      </c>
      <c r="Q51" s="41" t="str">
        <f aca="false">CHOOSE(MONTH(K51),"Jan","Feb","Mar","Apr","May","Jun","Jul","Aug","Sep","Oct","Nov","Dec")</f>
        <v>Mar</v>
      </c>
      <c r="R51" s="41" t="n">
        <f aca="false">INT((K51-setMinDate)/7)+1</f>
        <v>12</v>
      </c>
      <c r="S51" s="41" t="n">
        <f aca="false">HOUR(L51)</f>
        <v>17</v>
      </c>
      <c r="T51" s="41" t="str">
        <f aca="false">IF(S51&lt;setMorningEnd,"Morning",IF(S51&lt;setAfternoonEnd,"Afternoon","Evening"))</f>
        <v>Evening</v>
      </c>
      <c r="U51" s="41" t="str">
        <f aca="false">IF(J51&gt;=setLarge,"Large",IF(J51&gt;=setMedium,"Medium","Small"))</f>
        <v>Large</v>
      </c>
      <c r="V51" s="41" t="str">
        <f aca="false">IF(P51&gt;=setExc,"Excellent",IF(P51&gt;=setGood,"Good",IF(P51&gt;=setAvg,"Average","Poor")))</f>
        <v>Good</v>
      </c>
    </row>
    <row r="52" customFormat="false" ht="15" hidden="false" customHeight="false" outlineLevel="0" collapsed="false">
      <c r="A52" s="41" t="s">
        <v>230</v>
      </c>
      <c r="B52" s="41" t="s">
        <v>180</v>
      </c>
      <c r="C52" s="41" t="s">
        <v>87</v>
      </c>
      <c r="D52" s="41" t="s">
        <v>104</v>
      </c>
      <c r="E52" s="41" t="s">
        <v>103</v>
      </c>
      <c r="F52" s="41" t="s">
        <v>76</v>
      </c>
      <c r="G52" s="42" t="n">
        <v>91.4</v>
      </c>
      <c r="H52" s="41" t="n">
        <v>7</v>
      </c>
      <c r="I52" s="42" t="n">
        <v>31.99</v>
      </c>
      <c r="J52" s="42" t="n">
        <v>671.79</v>
      </c>
      <c r="K52" s="43" t="n">
        <v>43499</v>
      </c>
      <c r="L52" s="44" t="n">
        <v>0.429861111111111</v>
      </c>
      <c r="M52" s="41" t="s">
        <v>97</v>
      </c>
      <c r="N52" s="42" t="n">
        <v>639.8</v>
      </c>
      <c r="O52" s="42" t="n">
        <v>31.99</v>
      </c>
      <c r="P52" s="45" t="n">
        <v>9.5</v>
      </c>
      <c r="Q52" s="41" t="str">
        <f aca="false">CHOOSE(MONTH(K52),"Jan","Feb","Mar","Apr","May","Jun","Jul","Aug","Sep","Oct","Nov","Dec")</f>
        <v>Feb</v>
      </c>
      <c r="R52" s="41" t="n">
        <f aca="false">INT((K52-setMinDate)/7)+1</f>
        <v>5</v>
      </c>
      <c r="S52" s="41" t="n">
        <f aca="false">HOUR(L52)</f>
        <v>10</v>
      </c>
      <c r="T52" s="41" t="str">
        <f aca="false">IF(S52&lt;setMorningEnd,"Morning",IF(S52&lt;setAfternoonEnd,"Afternoon","Evening"))</f>
        <v>Morning</v>
      </c>
      <c r="U52" s="41" t="str">
        <f aca="false">IF(J52&gt;=setLarge,"Large",IF(J52&gt;=setMedium,"Medium","Small"))</f>
        <v>Large</v>
      </c>
      <c r="V52" s="41" t="str">
        <f aca="false">IF(P52&gt;=setExc,"Excellent",IF(P52&gt;=setGood,"Good",IF(P52&gt;=setAvg,"Average","Poor")))</f>
        <v>Excellent</v>
      </c>
    </row>
    <row r="53" customFormat="false" ht="15" hidden="false" customHeight="false" outlineLevel="0" collapsed="false">
      <c r="A53" s="41" t="s">
        <v>231</v>
      </c>
      <c r="B53" s="41" t="s">
        <v>178</v>
      </c>
      <c r="C53" s="41" t="s">
        <v>85</v>
      </c>
      <c r="D53" s="41" t="s">
        <v>104</v>
      </c>
      <c r="E53" s="41" t="s">
        <v>102</v>
      </c>
      <c r="F53" s="41" t="s">
        <v>76</v>
      </c>
      <c r="G53" s="42" t="n">
        <v>44.59</v>
      </c>
      <c r="H53" s="41" t="n">
        <v>5</v>
      </c>
      <c r="I53" s="42" t="n">
        <v>11.1475</v>
      </c>
      <c r="J53" s="42" t="n">
        <v>234.0975</v>
      </c>
      <c r="K53" s="43" t="n">
        <v>43506</v>
      </c>
      <c r="L53" s="44" t="n">
        <v>0.631944444444444</v>
      </c>
      <c r="M53" s="41" t="s">
        <v>97</v>
      </c>
      <c r="N53" s="42" t="n">
        <v>222.95</v>
      </c>
      <c r="O53" s="42" t="n">
        <v>11.1475</v>
      </c>
      <c r="P53" s="45" t="n">
        <v>8.5</v>
      </c>
      <c r="Q53" s="41" t="str">
        <f aca="false">CHOOSE(MONTH(K53),"Jan","Feb","Mar","Apr","May","Jun","Jul","Aug","Sep","Oct","Nov","Dec")</f>
        <v>Feb</v>
      </c>
      <c r="R53" s="41" t="n">
        <f aca="false">INT((K53-setMinDate)/7)+1</f>
        <v>6</v>
      </c>
      <c r="S53" s="41" t="n">
        <f aca="false">HOUR(L53)</f>
        <v>15</v>
      </c>
      <c r="T53" s="41" t="str">
        <f aca="false">IF(S53&lt;setMorningEnd,"Morning",IF(S53&lt;setAfternoonEnd,"Afternoon","Evening"))</f>
        <v>Afternoon</v>
      </c>
      <c r="U53" s="41" t="str">
        <f aca="false">IF(J53&gt;=setLarge,"Large",IF(J53&gt;=setMedium,"Medium","Small"))</f>
        <v>Small</v>
      </c>
      <c r="V53" s="41" t="str">
        <f aca="false">IF(P53&gt;=setExc,"Excellent",IF(P53&gt;=setGood,"Good",IF(P53&gt;=setAvg,"Average","Poor")))</f>
        <v>Good</v>
      </c>
    </row>
    <row r="54" customFormat="false" ht="15" hidden="false" customHeight="false" outlineLevel="0" collapsed="false">
      <c r="A54" s="41" t="s">
        <v>232</v>
      </c>
      <c r="B54" s="41" t="s">
        <v>189</v>
      </c>
      <c r="C54" s="41" t="s">
        <v>86</v>
      </c>
      <c r="D54" s="41" t="s">
        <v>104</v>
      </c>
      <c r="E54" s="41" t="s">
        <v>102</v>
      </c>
      <c r="F54" s="41" t="s">
        <v>79</v>
      </c>
      <c r="G54" s="42" t="n">
        <v>17.87</v>
      </c>
      <c r="H54" s="41" t="n">
        <v>4</v>
      </c>
      <c r="I54" s="42" t="n">
        <v>3.574</v>
      </c>
      <c r="J54" s="42" t="n">
        <v>75.054</v>
      </c>
      <c r="K54" s="43" t="n">
        <v>43546</v>
      </c>
      <c r="L54" s="44" t="n">
        <v>0.6125</v>
      </c>
      <c r="M54" s="41" t="s">
        <v>98</v>
      </c>
      <c r="N54" s="42" t="n">
        <v>71.48</v>
      </c>
      <c r="O54" s="42" t="n">
        <v>3.574</v>
      </c>
      <c r="P54" s="45" t="n">
        <v>6.5</v>
      </c>
      <c r="Q54" s="41" t="str">
        <f aca="false">CHOOSE(MONTH(K54),"Jan","Feb","Mar","Apr","May","Jun","Jul","Aug","Sep","Oct","Nov","Dec")</f>
        <v>Mar</v>
      </c>
      <c r="R54" s="41" t="n">
        <f aca="false">INT((K54-setMinDate)/7)+1</f>
        <v>12</v>
      </c>
      <c r="S54" s="41" t="n">
        <f aca="false">HOUR(L54)</f>
        <v>14</v>
      </c>
      <c r="T54" s="41" t="str">
        <f aca="false">IF(S54&lt;setMorningEnd,"Morning",IF(S54&lt;setAfternoonEnd,"Afternoon","Evening"))</f>
        <v>Afternoon</v>
      </c>
      <c r="U54" s="41" t="str">
        <f aca="false">IF(J54&gt;=setLarge,"Large",IF(J54&gt;=setMedium,"Medium","Small"))</f>
        <v>Small</v>
      </c>
      <c r="V54" s="41" t="str">
        <f aca="false">IF(P54&gt;=setExc,"Excellent",IF(P54&gt;=setGood,"Good",IF(P54&gt;=setAvg,"Average","Poor")))</f>
        <v>Average</v>
      </c>
    </row>
    <row r="55" customFormat="false" ht="15" hidden="false" customHeight="false" outlineLevel="0" collapsed="false">
      <c r="A55" s="41" t="s">
        <v>233</v>
      </c>
      <c r="B55" s="41" t="s">
        <v>180</v>
      </c>
      <c r="C55" s="41" t="s">
        <v>87</v>
      </c>
      <c r="D55" s="41" t="s">
        <v>104</v>
      </c>
      <c r="E55" s="41" t="s">
        <v>103</v>
      </c>
      <c r="F55" s="41" t="s">
        <v>79</v>
      </c>
      <c r="G55" s="42" t="n">
        <v>15.43</v>
      </c>
      <c r="H55" s="41" t="n">
        <v>1</v>
      </c>
      <c r="I55" s="42" t="n">
        <v>0.7715</v>
      </c>
      <c r="J55" s="42" t="n">
        <v>16.2015</v>
      </c>
      <c r="K55" s="43" t="n">
        <v>43490</v>
      </c>
      <c r="L55" s="44" t="n">
        <v>0.656944444444444</v>
      </c>
      <c r="M55" s="41" t="s">
        <v>99</v>
      </c>
      <c r="N55" s="42" t="n">
        <v>15.43</v>
      </c>
      <c r="O55" s="42" t="n">
        <v>0.7715</v>
      </c>
      <c r="P55" s="45" t="n">
        <v>6.1</v>
      </c>
      <c r="Q55" s="41" t="str">
        <f aca="false">CHOOSE(MONTH(K55),"Jan","Feb","Mar","Apr","May","Jun","Jul","Aug","Sep","Oct","Nov","Dec")</f>
        <v>Jan</v>
      </c>
      <c r="R55" s="41" t="n">
        <f aca="false">INT((K55-setMinDate)/7)+1</f>
        <v>4</v>
      </c>
      <c r="S55" s="41" t="n">
        <f aca="false">HOUR(L55)</f>
        <v>15</v>
      </c>
      <c r="T55" s="41" t="str">
        <f aca="false">IF(S55&lt;setMorningEnd,"Morning",IF(S55&lt;setAfternoonEnd,"Afternoon","Evening"))</f>
        <v>Afternoon</v>
      </c>
      <c r="U55" s="41" t="str">
        <f aca="false">IF(J55&gt;=setLarge,"Large",IF(J55&gt;=setMedium,"Medium","Small"))</f>
        <v>Small</v>
      </c>
      <c r="V55" s="41" t="str">
        <f aca="false">IF(P55&gt;=setExc,"Excellent",IF(P55&gt;=setGood,"Good",IF(P55&gt;=setAvg,"Average","Poor")))</f>
        <v>Average</v>
      </c>
    </row>
    <row r="56" customFormat="false" ht="15" hidden="false" customHeight="false" outlineLevel="0" collapsed="false">
      <c r="A56" s="41" t="s">
        <v>234</v>
      </c>
      <c r="B56" s="41" t="s">
        <v>189</v>
      </c>
      <c r="C56" s="41" t="s">
        <v>86</v>
      </c>
      <c r="D56" s="41" t="s">
        <v>105</v>
      </c>
      <c r="E56" s="41" t="s">
        <v>103</v>
      </c>
      <c r="F56" s="41" t="s">
        <v>80</v>
      </c>
      <c r="G56" s="42" t="n">
        <v>16.16</v>
      </c>
      <c r="H56" s="41" t="n">
        <v>2</v>
      </c>
      <c r="I56" s="42" t="n">
        <v>1.616</v>
      </c>
      <c r="J56" s="42" t="n">
        <v>33.936</v>
      </c>
      <c r="K56" s="43" t="n">
        <v>43531</v>
      </c>
      <c r="L56" s="44" t="n">
        <v>0.492361111111111</v>
      </c>
      <c r="M56" s="41" t="s">
        <v>98</v>
      </c>
      <c r="N56" s="42" t="n">
        <v>32.32</v>
      </c>
      <c r="O56" s="42" t="n">
        <v>1.616</v>
      </c>
      <c r="P56" s="45" t="n">
        <v>6.5</v>
      </c>
      <c r="Q56" s="41" t="str">
        <f aca="false">CHOOSE(MONTH(K56),"Jan","Feb","Mar","Apr","May","Jun","Jul","Aug","Sep","Oct","Nov","Dec")</f>
        <v>Mar</v>
      </c>
      <c r="R56" s="41" t="n">
        <f aca="false">INT((K56-setMinDate)/7)+1</f>
        <v>10</v>
      </c>
      <c r="S56" s="41" t="n">
        <f aca="false">HOUR(L56)</f>
        <v>11</v>
      </c>
      <c r="T56" s="41" t="str">
        <f aca="false">IF(S56&lt;setMorningEnd,"Morning",IF(S56&lt;setAfternoonEnd,"Afternoon","Evening"))</f>
        <v>Morning</v>
      </c>
      <c r="U56" s="41" t="str">
        <f aca="false">IF(J56&gt;=setLarge,"Large",IF(J56&gt;=setMedium,"Medium","Small"))</f>
        <v>Small</v>
      </c>
      <c r="V56" s="41" t="str">
        <f aca="false">IF(P56&gt;=setExc,"Excellent",IF(P56&gt;=setGood,"Good",IF(P56&gt;=setAvg,"Average","Poor")))</f>
        <v>Average</v>
      </c>
    </row>
    <row r="57" customFormat="false" ht="15" hidden="false" customHeight="false" outlineLevel="0" collapsed="false">
      <c r="A57" s="41" t="s">
        <v>235</v>
      </c>
      <c r="B57" s="41" t="s">
        <v>180</v>
      </c>
      <c r="C57" s="41" t="s">
        <v>87</v>
      </c>
      <c r="D57" s="41" t="s">
        <v>105</v>
      </c>
      <c r="E57" s="41" t="s">
        <v>102</v>
      </c>
      <c r="F57" s="41" t="s">
        <v>78</v>
      </c>
      <c r="G57" s="42" t="n">
        <v>85.98</v>
      </c>
      <c r="H57" s="41" t="n">
        <v>8</v>
      </c>
      <c r="I57" s="42" t="n">
        <v>34.392</v>
      </c>
      <c r="J57" s="42" t="n">
        <v>722.232</v>
      </c>
      <c r="K57" s="43" t="n">
        <v>43524</v>
      </c>
      <c r="L57" s="44" t="n">
        <v>0.792361111111111</v>
      </c>
      <c r="M57" s="41" t="s">
        <v>97</v>
      </c>
      <c r="N57" s="42" t="n">
        <v>687.84</v>
      </c>
      <c r="O57" s="42" t="n">
        <v>34.392</v>
      </c>
      <c r="P57" s="45" t="n">
        <v>8.2</v>
      </c>
      <c r="Q57" s="41" t="str">
        <f aca="false">CHOOSE(MONTH(K57),"Jan","Feb","Mar","Apr","May","Jun","Jul","Aug","Sep","Oct","Nov","Dec")</f>
        <v>Feb</v>
      </c>
      <c r="R57" s="41" t="n">
        <f aca="false">INT((K57-setMinDate)/7)+1</f>
        <v>9</v>
      </c>
      <c r="S57" s="41" t="n">
        <f aca="false">HOUR(L57)</f>
        <v>19</v>
      </c>
      <c r="T57" s="41" t="str">
        <f aca="false">IF(S57&lt;setMorningEnd,"Morning",IF(S57&lt;setAfternoonEnd,"Afternoon","Evening"))</f>
        <v>Evening</v>
      </c>
      <c r="U57" s="41" t="str">
        <f aca="false">IF(J57&gt;=setLarge,"Large",IF(J57&gt;=setMedium,"Medium","Small"))</f>
        <v>Large</v>
      </c>
      <c r="V57" s="41" t="str">
        <f aca="false">IF(P57&gt;=setExc,"Excellent",IF(P57&gt;=setGood,"Good",IF(P57&gt;=setAvg,"Average","Poor")))</f>
        <v>Good</v>
      </c>
    </row>
    <row r="58" customFormat="false" ht="15" hidden="false" customHeight="false" outlineLevel="0" collapsed="false">
      <c r="A58" s="41" t="s">
        <v>236</v>
      </c>
      <c r="B58" s="41" t="s">
        <v>178</v>
      </c>
      <c r="C58" s="41" t="s">
        <v>85</v>
      </c>
      <c r="D58" s="41" t="s">
        <v>104</v>
      </c>
      <c r="E58" s="41" t="s">
        <v>103</v>
      </c>
      <c r="F58" s="41" t="s">
        <v>80</v>
      </c>
      <c r="G58" s="42" t="n">
        <v>44.34</v>
      </c>
      <c r="H58" s="41" t="n">
        <v>2</v>
      </c>
      <c r="I58" s="42" t="n">
        <v>4.434</v>
      </c>
      <c r="J58" s="42" t="n">
        <v>93.114</v>
      </c>
      <c r="K58" s="43" t="n">
        <v>43551</v>
      </c>
      <c r="L58" s="44" t="n">
        <v>0.476388888888889</v>
      </c>
      <c r="M58" s="41" t="s">
        <v>97</v>
      </c>
      <c r="N58" s="42" t="n">
        <v>88.68</v>
      </c>
      <c r="O58" s="42" t="n">
        <v>4.434</v>
      </c>
      <c r="P58" s="45" t="n">
        <v>5.8</v>
      </c>
      <c r="Q58" s="41" t="str">
        <f aca="false">CHOOSE(MONTH(K58),"Jan","Feb","Mar","Apr","May","Jun","Jul","Aug","Sep","Oct","Nov","Dec")</f>
        <v>Mar</v>
      </c>
      <c r="R58" s="41" t="n">
        <f aca="false">INT((K58-setMinDate)/7)+1</f>
        <v>13</v>
      </c>
      <c r="S58" s="41" t="n">
        <f aca="false">HOUR(L58)</f>
        <v>11</v>
      </c>
      <c r="T58" s="41" t="str">
        <f aca="false">IF(S58&lt;setMorningEnd,"Morning",IF(S58&lt;setAfternoonEnd,"Afternoon","Evening"))</f>
        <v>Morning</v>
      </c>
      <c r="U58" s="41" t="str">
        <f aca="false">IF(J58&gt;=setLarge,"Large",IF(J58&gt;=setMedium,"Medium","Small"))</f>
        <v>Small</v>
      </c>
      <c r="V58" s="41" t="str">
        <f aca="false">IF(P58&gt;=setExc,"Excellent",IF(P58&gt;=setGood,"Good",IF(P58&gt;=setAvg,"Average","Poor")))</f>
        <v>Average</v>
      </c>
    </row>
    <row r="59" customFormat="false" ht="15" hidden="false" customHeight="false" outlineLevel="0" collapsed="false">
      <c r="A59" s="41" t="s">
        <v>237</v>
      </c>
      <c r="B59" s="41" t="s">
        <v>178</v>
      </c>
      <c r="C59" s="41" t="s">
        <v>85</v>
      </c>
      <c r="D59" s="41" t="s">
        <v>105</v>
      </c>
      <c r="E59" s="41" t="s">
        <v>103</v>
      </c>
      <c r="F59" s="41" t="s">
        <v>81</v>
      </c>
      <c r="G59" s="42" t="n">
        <v>89.6</v>
      </c>
      <c r="H59" s="41" t="n">
        <v>8</v>
      </c>
      <c r="I59" s="42" t="n">
        <v>35.84</v>
      </c>
      <c r="J59" s="42" t="n">
        <v>752.64</v>
      </c>
      <c r="K59" s="43" t="n">
        <v>43503</v>
      </c>
      <c r="L59" s="44" t="n">
        <v>0.477777777777778</v>
      </c>
      <c r="M59" s="41" t="s">
        <v>98</v>
      </c>
      <c r="N59" s="42" t="n">
        <v>716.8</v>
      </c>
      <c r="O59" s="42" t="n">
        <v>35.84</v>
      </c>
      <c r="P59" s="45" t="n">
        <v>6.6</v>
      </c>
      <c r="Q59" s="41" t="str">
        <f aca="false">CHOOSE(MONTH(K59),"Jan","Feb","Mar","Apr","May","Jun","Jul","Aug","Sep","Oct","Nov","Dec")</f>
        <v>Feb</v>
      </c>
      <c r="R59" s="41" t="n">
        <f aca="false">INT((K59-setMinDate)/7)+1</f>
        <v>6</v>
      </c>
      <c r="S59" s="41" t="n">
        <f aca="false">HOUR(L59)</f>
        <v>11</v>
      </c>
      <c r="T59" s="41" t="str">
        <f aca="false">IF(S59&lt;setMorningEnd,"Morning",IF(S59&lt;setAfternoonEnd,"Afternoon","Evening"))</f>
        <v>Morning</v>
      </c>
      <c r="U59" s="41" t="str">
        <f aca="false">IF(J59&gt;=setLarge,"Large",IF(J59&gt;=setMedium,"Medium","Small"))</f>
        <v>Large</v>
      </c>
      <c r="V59" s="41" t="str">
        <f aca="false">IF(P59&gt;=setExc,"Excellent",IF(P59&gt;=setGood,"Good",IF(P59&gt;=setAvg,"Average","Poor")))</f>
        <v>Average</v>
      </c>
    </row>
    <row r="60" customFormat="false" ht="15" hidden="false" customHeight="false" outlineLevel="0" collapsed="false">
      <c r="A60" s="41" t="s">
        <v>238</v>
      </c>
      <c r="B60" s="41" t="s">
        <v>178</v>
      </c>
      <c r="C60" s="41" t="s">
        <v>85</v>
      </c>
      <c r="D60" s="41" t="s">
        <v>104</v>
      </c>
      <c r="E60" s="41" t="s">
        <v>102</v>
      </c>
      <c r="F60" s="41" t="s">
        <v>80</v>
      </c>
      <c r="G60" s="42" t="n">
        <v>72.35</v>
      </c>
      <c r="H60" s="41" t="n">
        <v>10</v>
      </c>
      <c r="I60" s="42" t="n">
        <v>36.175</v>
      </c>
      <c r="J60" s="42" t="n">
        <v>759.675</v>
      </c>
      <c r="K60" s="43" t="n">
        <v>43485</v>
      </c>
      <c r="L60" s="44" t="n">
        <v>0.663194444444444</v>
      </c>
      <c r="M60" s="41" t="s">
        <v>97</v>
      </c>
      <c r="N60" s="42" t="n">
        <v>723.5</v>
      </c>
      <c r="O60" s="42" t="n">
        <v>36.175</v>
      </c>
      <c r="P60" s="45" t="n">
        <v>5.4</v>
      </c>
      <c r="Q60" s="41" t="str">
        <f aca="false">CHOOSE(MONTH(K60),"Jan","Feb","Mar","Apr","May","Jun","Jul","Aug","Sep","Oct","Nov","Dec")</f>
        <v>Jan</v>
      </c>
      <c r="R60" s="41" t="n">
        <f aca="false">INT((K60-setMinDate)/7)+1</f>
        <v>3</v>
      </c>
      <c r="S60" s="41" t="n">
        <f aca="false">HOUR(L60)</f>
        <v>15</v>
      </c>
      <c r="T60" s="41" t="str">
        <f aca="false">IF(S60&lt;setMorningEnd,"Morning",IF(S60&lt;setAfternoonEnd,"Afternoon","Evening"))</f>
        <v>Afternoon</v>
      </c>
      <c r="U60" s="41" t="str">
        <f aca="false">IF(J60&gt;=setLarge,"Large",IF(J60&gt;=setMedium,"Medium","Small"))</f>
        <v>Large</v>
      </c>
      <c r="V60" s="41" t="str">
        <f aca="false">IF(P60&gt;=setExc,"Excellent",IF(P60&gt;=setGood,"Good",IF(P60&gt;=setAvg,"Average","Poor")))</f>
        <v>Average</v>
      </c>
    </row>
    <row r="61" customFormat="false" ht="15" hidden="false" customHeight="false" outlineLevel="0" collapsed="false">
      <c r="A61" s="41" t="s">
        <v>239</v>
      </c>
      <c r="B61" s="41" t="s">
        <v>180</v>
      </c>
      <c r="C61" s="41" t="s">
        <v>87</v>
      </c>
      <c r="D61" s="41" t="s">
        <v>105</v>
      </c>
      <c r="E61" s="41" t="s">
        <v>103</v>
      </c>
      <c r="F61" s="41" t="s">
        <v>78</v>
      </c>
      <c r="G61" s="42" t="n">
        <v>30.61</v>
      </c>
      <c r="H61" s="41" t="n">
        <v>6</v>
      </c>
      <c r="I61" s="42" t="n">
        <v>9.183</v>
      </c>
      <c r="J61" s="42" t="n">
        <v>192.843</v>
      </c>
      <c r="K61" s="43" t="n">
        <v>43536</v>
      </c>
      <c r="L61" s="44" t="n">
        <v>0.858333333333333</v>
      </c>
      <c r="M61" s="41" t="s">
        <v>97</v>
      </c>
      <c r="N61" s="42" t="n">
        <v>183.66</v>
      </c>
      <c r="O61" s="42" t="n">
        <v>9.183</v>
      </c>
      <c r="P61" s="45" t="n">
        <v>9.3</v>
      </c>
      <c r="Q61" s="41" t="str">
        <f aca="false">CHOOSE(MONTH(K61),"Jan","Feb","Mar","Apr","May","Jun","Jul","Aug","Sep","Oct","Nov","Dec")</f>
        <v>Mar</v>
      </c>
      <c r="R61" s="41" t="n">
        <f aca="false">INT((K61-setMinDate)/7)+1</f>
        <v>11</v>
      </c>
      <c r="S61" s="41" t="n">
        <f aca="false">HOUR(L61)</f>
        <v>20</v>
      </c>
      <c r="T61" s="41" t="str">
        <f aca="false">IF(S61&lt;setMorningEnd,"Morning",IF(S61&lt;setAfternoonEnd,"Afternoon","Evening"))</f>
        <v>Evening</v>
      </c>
      <c r="U61" s="41" t="str">
        <f aca="false">IF(J61&gt;=setLarge,"Large",IF(J61&gt;=setMedium,"Medium","Small"))</f>
        <v>Small</v>
      </c>
      <c r="V61" s="41" t="str">
        <f aca="false">IF(P61&gt;=setExc,"Excellent",IF(P61&gt;=setGood,"Good",IF(P61&gt;=setAvg,"Average","Poor")))</f>
        <v>Excellent</v>
      </c>
    </row>
    <row r="62" customFormat="false" ht="15" hidden="false" customHeight="false" outlineLevel="0" collapsed="false">
      <c r="A62" s="41" t="s">
        <v>240</v>
      </c>
      <c r="B62" s="41" t="s">
        <v>180</v>
      </c>
      <c r="C62" s="41" t="s">
        <v>87</v>
      </c>
      <c r="D62" s="41" t="s">
        <v>104</v>
      </c>
      <c r="E62" s="41" t="s">
        <v>102</v>
      </c>
      <c r="F62" s="41" t="s">
        <v>77</v>
      </c>
      <c r="G62" s="42" t="n">
        <v>24.74</v>
      </c>
      <c r="H62" s="41" t="n">
        <v>3</v>
      </c>
      <c r="I62" s="42" t="n">
        <v>3.711</v>
      </c>
      <c r="J62" s="42" t="n">
        <v>77.931</v>
      </c>
      <c r="K62" s="43" t="n">
        <v>43511</v>
      </c>
      <c r="L62" s="44" t="n">
        <v>0.740972222222222</v>
      </c>
      <c r="M62" s="41" t="s">
        <v>99</v>
      </c>
      <c r="N62" s="42" t="n">
        <v>74.22</v>
      </c>
      <c r="O62" s="42" t="n">
        <v>3.711</v>
      </c>
      <c r="P62" s="45" t="n">
        <v>10</v>
      </c>
      <c r="Q62" s="41" t="str">
        <f aca="false">CHOOSE(MONTH(K62),"Jan","Feb","Mar","Apr","May","Jun","Jul","Aug","Sep","Oct","Nov","Dec")</f>
        <v>Feb</v>
      </c>
      <c r="R62" s="41" t="n">
        <f aca="false">INT((K62-setMinDate)/7)+1</f>
        <v>7</v>
      </c>
      <c r="S62" s="41" t="n">
        <f aca="false">HOUR(L62)</f>
        <v>17</v>
      </c>
      <c r="T62" s="41" t="str">
        <f aca="false">IF(S62&lt;setMorningEnd,"Morning",IF(S62&lt;setAfternoonEnd,"Afternoon","Evening"))</f>
        <v>Evening</v>
      </c>
      <c r="U62" s="41" t="str">
        <f aca="false">IF(J62&gt;=setLarge,"Large",IF(J62&gt;=setMedium,"Medium","Small"))</f>
        <v>Small</v>
      </c>
      <c r="V62" s="41" t="str">
        <f aca="false">IF(P62&gt;=setExc,"Excellent",IF(P62&gt;=setGood,"Good",IF(P62&gt;=setAvg,"Average","Poor")))</f>
        <v>Excellent</v>
      </c>
    </row>
    <row r="63" customFormat="false" ht="15" hidden="false" customHeight="false" outlineLevel="0" collapsed="false">
      <c r="A63" s="41" t="s">
        <v>241</v>
      </c>
      <c r="B63" s="41" t="s">
        <v>180</v>
      </c>
      <c r="C63" s="41" t="s">
        <v>87</v>
      </c>
      <c r="D63" s="41" t="s">
        <v>105</v>
      </c>
      <c r="E63" s="41" t="s">
        <v>103</v>
      </c>
      <c r="F63" s="41" t="s">
        <v>80</v>
      </c>
      <c r="G63" s="42" t="n">
        <v>55.73</v>
      </c>
      <c r="H63" s="41" t="n">
        <v>6</v>
      </c>
      <c r="I63" s="42" t="n">
        <v>16.719</v>
      </c>
      <c r="J63" s="42" t="n">
        <v>351.099</v>
      </c>
      <c r="K63" s="43" t="n">
        <v>43520</v>
      </c>
      <c r="L63" s="44" t="n">
        <v>0.454861111111111</v>
      </c>
      <c r="M63" s="41" t="s">
        <v>98</v>
      </c>
      <c r="N63" s="42" t="n">
        <v>334.38</v>
      </c>
      <c r="O63" s="42" t="n">
        <v>16.719</v>
      </c>
      <c r="P63" s="45" t="n">
        <v>7</v>
      </c>
      <c r="Q63" s="41" t="str">
        <f aca="false">CHOOSE(MONTH(K63),"Jan","Feb","Mar","Apr","May","Jun","Jul","Aug","Sep","Oct","Nov","Dec")</f>
        <v>Feb</v>
      </c>
      <c r="R63" s="41" t="n">
        <f aca="false">INT((K63-setMinDate)/7)+1</f>
        <v>8</v>
      </c>
      <c r="S63" s="41" t="n">
        <f aca="false">HOUR(L63)</f>
        <v>10</v>
      </c>
      <c r="T63" s="41" t="str">
        <f aca="false">IF(S63&lt;setMorningEnd,"Morning",IF(S63&lt;setAfternoonEnd,"Afternoon","Evening"))</f>
        <v>Morning</v>
      </c>
      <c r="U63" s="41" t="str">
        <f aca="false">IF(J63&gt;=setLarge,"Large",IF(J63&gt;=setMedium,"Medium","Small"))</f>
        <v>Medium</v>
      </c>
      <c r="V63" s="41" t="str">
        <f aca="false">IF(P63&gt;=setExc,"Excellent",IF(P63&gt;=setGood,"Good",IF(P63&gt;=setAvg,"Average","Poor")))</f>
        <v>Good</v>
      </c>
    </row>
    <row r="64" customFormat="false" ht="15" hidden="false" customHeight="false" outlineLevel="0" collapsed="false">
      <c r="A64" s="41" t="s">
        <v>242</v>
      </c>
      <c r="B64" s="41" t="s">
        <v>189</v>
      </c>
      <c r="C64" s="41" t="s">
        <v>86</v>
      </c>
      <c r="D64" s="41" t="s">
        <v>104</v>
      </c>
      <c r="E64" s="41" t="s">
        <v>102</v>
      </c>
      <c r="F64" s="41" t="s">
        <v>77</v>
      </c>
      <c r="G64" s="42" t="n">
        <v>55.07</v>
      </c>
      <c r="H64" s="41" t="n">
        <v>9</v>
      </c>
      <c r="I64" s="42" t="n">
        <v>24.7815</v>
      </c>
      <c r="J64" s="42" t="n">
        <v>520.4115</v>
      </c>
      <c r="K64" s="43" t="n">
        <v>43499</v>
      </c>
      <c r="L64" s="44" t="n">
        <v>0.569444444444444</v>
      </c>
      <c r="M64" s="41" t="s">
        <v>98</v>
      </c>
      <c r="N64" s="42" t="n">
        <v>495.63</v>
      </c>
      <c r="O64" s="42" t="n">
        <v>24.7815</v>
      </c>
      <c r="P64" s="45" t="n">
        <v>10</v>
      </c>
      <c r="Q64" s="41" t="str">
        <f aca="false">CHOOSE(MONTH(K64),"Jan","Feb","Mar","Apr","May","Jun","Jul","Aug","Sep","Oct","Nov","Dec")</f>
        <v>Feb</v>
      </c>
      <c r="R64" s="41" t="n">
        <f aca="false">INT((K64-setMinDate)/7)+1</f>
        <v>5</v>
      </c>
      <c r="S64" s="41" t="n">
        <f aca="false">HOUR(L64)</f>
        <v>13</v>
      </c>
      <c r="T64" s="41" t="str">
        <f aca="false">IF(S64&lt;setMorningEnd,"Morning",IF(S64&lt;setAfternoonEnd,"Afternoon","Evening"))</f>
        <v>Afternoon</v>
      </c>
      <c r="U64" s="41" t="str">
        <f aca="false">IF(J64&gt;=setLarge,"Large",IF(J64&gt;=setMedium,"Medium","Small"))</f>
        <v>Medium</v>
      </c>
      <c r="V64" s="41" t="str">
        <f aca="false">IF(P64&gt;=setExc,"Excellent",IF(P64&gt;=setGood,"Good",IF(P64&gt;=setAvg,"Average","Poor")))</f>
        <v>Excellent</v>
      </c>
    </row>
    <row r="65" customFormat="false" ht="15" hidden="false" customHeight="false" outlineLevel="0" collapsed="false">
      <c r="A65" s="41" t="s">
        <v>243</v>
      </c>
      <c r="B65" s="41" t="s">
        <v>178</v>
      </c>
      <c r="C65" s="41" t="s">
        <v>85</v>
      </c>
      <c r="D65" s="41" t="s">
        <v>104</v>
      </c>
      <c r="E65" s="41" t="s">
        <v>103</v>
      </c>
      <c r="F65" s="41" t="s">
        <v>77</v>
      </c>
      <c r="G65" s="42" t="n">
        <v>15.81</v>
      </c>
      <c r="H65" s="41" t="n">
        <v>10</v>
      </c>
      <c r="I65" s="42" t="n">
        <v>7.905</v>
      </c>
      <c r="J65" s="42" t="n">
        <v>166.005</v>
      </c>
      <c r="K65" s="43" t="n">
        <v>43530</v>
      </c>
      <c r="L65" s="44" t="n">
        <v>0.51875</v>
      </c>
      <c r="M65" s="41" t="s">
        <v>99</v>
      </c>
      <c r="N65" s="42" t="n">
        <v>158.1</v>
      </c>
      <c r="O65" s="42" t="n">
        <v>7.905</v>
      </c>
      <c r="P65" s="45" t="n">
        <v>8.6</v>
      </c>
      <c r="Q65" s="41" t="str">
        <f aca="false">CHOOSE(MONTH(K65),"Jan","Feb","Mar","Apr","May","Jun","Jul","Aug","Sep","Oct","Nov","Dec")</f>
        <v>Mar</v>
      </c>
      <c r="R65" s="41" t="n">
        <f aca="false">INT((K65-setMinDate)/7)+1</f>
        <v>10</v>
      </c>
      <c r="S65" s="41" t="n">
        <f aca="false">HOUR(L65)</f>
        <v>12</v>
      </c>
      <c r="T65" s="41" t="str">
        <f aca="false">IF(S65&lt;setMorningEnd,"Morning",IF(S65&lt;setAfternoonEnd,"Afternoon","Evening"))</f>
        <v>Afternoon</v>
      </c>
      <c r="U65" s="41" t="str">
        <f aca="false">IF(J65&gt;=setLarge,"Large",IF(J65&gt;=setMedium,"Medium","Small"))</f>
        <v>Small</v>
      </c>
      <c r="V65" s="41" t="str">
        <f aca="false">IF(P65&gt;=setExc,"Excellent",IF(P65&gt;=setGood,"Good",IF(P65&gt;=setAvg,"Average","Poor")))</f>
        <v>Good</v>
      </c>
    </row>
    <row r="66" customFormat="false" ht="15" hidden="false" customHeight="false" outlineLevel="0" collapsed="false">
      <c r="A66" s="41" t="s">
        <v>244</v>
      </c>
      <c r="B66" s="41" t="s">
        <v>189</v>
      </c>
      <c r="C66" s="41" t="s">
        <v>86</v>
      </c>
      <c r="D66" s="41" t="s">
        <v>104</v>
      </c>
      <c r="E66" s="41" t="s">
        <v>103</v>
      </c>
      <c r="F66" s="41" t="s">
        <v>81</v>
      </c>
      <c r="G66" s="42" t="n">
        <v>75.74</v>
      </c>
      <c r="H66" s="41" t="n">
        <v>4</v>
      </c>
      <c r="I66" s="42" t="n">
        <v>15.148</v>
      </c>
      <c r="J66" s="42" t="n">
        <v>318.108</v>
      </c>
      <c r="K66" s="43" t="n">
        <v>43510</v>
      </c>
      <c r="L66" s="44" t="n">
        <v>0.607638888888889</v>
      </c>
      <c r="M66" s="41" t="s">
        <v>97</v>
      </c>
      <c r="N66" s="42" t="n">
        <v>302.96</v>
      </c>
      <c r="O66" s="42" t="n">
        <v>15.148</v>
      </c>
      <c r="P66" s="45" t="n">
        <v>7.6</v>
      </c>
      <c r="Q66" s="41" t="str">
        <f aca="false">CHOOSE(MONTH(K66),"Jan","Feb","Mar","Apr","May","Jun","Jul","Aug","Sep","Oct","Nov","Dec")</f>
        <v>Feb</v>
      </c>
      <c r="R66" s="41" t="n">
        <f aca="false">INT((K66-setMinDate)/7)+1</f>
        <v>7</v>
      </c>
      <c r="S66" s="41" t="n">
        <f aca="false">HOUR(L66)</f>
        <v>14</v>
      </c>
      <c r="T66" s="41" t="str">
        <f aca="false">IF(S66&lt;setMorningEnd,"Morning",IF(S66&lt;setAfternoonEnd,"Afternoon","Evening"))</f>
        <v>Afternoon</v>
      </c>
      <c r="U66" s="41" t="str">
        <f aca="false">IF(J66&gt;=setLarge,"Large",IF(J66&gt;=setMedium,"Medium","Small"))</f>
        <v>Medium</v>
      </c>
      <c r="V66" s="41" t="str">
        <f aca="false">IF(P66&gt;=setExc,"Excellent",IF(P66&gt;=setGood,"Good",IF(P66&gt;=setAvg,"Average","Poor")))</f>
        <v>Good</v>
      </c>
    </row>
    <row r="67" customFormat="false" ht="15" hidden="false" customHeight="false" outlineLevel="0" collapsed="false">
      <c r="A67" s="41" t="s">
        <v>245</v>
      </c>
      <c r="B67" s="41" t="s">
        <v>178</v>
      </c>
      <c r="C67" s="41" t="s">
        <v>85</v>
      </c>
      <c r="D67" s="41" t="s">
        <v>104</v>
      </c>
      <c r="E67" s="41" t="s">
        <v>103</v>
      </c>
      <c r="F67" s="41" t="s">
        <v>81</v>
      </c>
      <c r="G67" s="42" t="n">
        <v>15.87</v>
      </c>
      <c r="H67" s="41" t="n">
        <v>10</v>
      </c>
      <c r="I67" s="42" t="n">
        <v>7.935</v>
      </c>
      <c r="J67" s="42" t="n">
        <v>166.635</v>
      </c>
      <c r="K67" s="43" t="n">
        <v>43537</v>
      </c>
      <c r="L67" s="44" t="n">
        <v>0.694444444444444</v>
      </c>
      <c r="M67" s="41" t="s">
        <v>97</v>
      </c>
      <c r="N67" s="42" t="n">
        <v>158.7</v>
      </c>
      <c r="O67" s="42" t="n">
        <v>7.935</v>
      </c>
      <c r="P67" s="45" t="n">
        <v>5.8</v>
      </c>
      <c r="Q67" s="41" t="str">
        <f aca="false">CHOOSE(MONTH(K67),"Jan","Feb","Mar","Apr","May","Jun","Jul","Aug","Sep","Oct","Nov","Dec")</f>
        <v>Mar</v>
      </c>
      <c r="R67" s="41" t="n">
        <f aca="false">INT((K67-setMinDate)/7)+1</f>
        <v>11</v>
      </c>
      <c r="S67" s="41" t="n">
        <f aca="false">HOUR(L67)</f>
        <v>16</v>
      </c>
      <c r="T67" s="41" t="str">
        <f aca="false">IF(S67&lt;setMorningEnd,"Morning",IF(S67&lt;setAfternoonEnd,"Afternoon","Evening"))</f>
        <v>Afternoon</v>
      </c>
      <c r="U67" s="41" t="str">
        <f aca="false">IF(J67&gt;=setLarge,"Large",IF(J67&gt;=setMedium,"Medium","Small"))</f>
        <v>Small</v>
      </c>
      <c r="V67" s="41" t="str">
        <f aca="false">IF(P67&gt;=setExc,"Excellent",IF(P67&gt;=setGood,"Good",IF(P67&gt;=setAvg,"Average","Poor")))</f>
        <v>Average</v>
      </c>
    </row>
    <row r="68" customFormat="false" ht="15" hidden="false" customHeight="false" outlineLevel="0" collapsed="false">
      <c r="A68" s="41" t="s">
        <v>246</v>
      </c>
      <c r="B68" s="41" t="s">
        <v>180</v>
      </c>
      <c r="C68" s="41" t="s">
        <v>87</v>
      </c>
      <c r="D68" s="41" t="s">
        <v>105</v>
      </c>
      <c r="E68" s="41" t="s">
        <v>102</v>
      </c>
      <c r="F68" s="41" t="s">
        <v>81</v>
      </c>
      <c r="G68" s="42" t="n">
        <v>33.47</v>
      </c>
      <c r="H68" s="41" t="n">
        <v>2</v>
      </c>
      <c r="I68" s="42" t="n">
        <v>3.347</v>
      </c>
      <c r="J68" s="42" t="n">
        <v>70.287</v>
      </c>
      <c r="K68" s="43" t="n">
        <v>43506</v>
      </c>
      <c r="L68" s="44" t="n">
        <v>0.654861111111111</v>
      </c>
      <c r="M68" s="41" t="s">
        <v>98</v>
      </c>
      <c r="N68" s="42" t="n">
        <v>66.94</v>
      </c>
      <c r="O68" s="42" t="n">
        <v>3.347</v>
      </c>
      <c r="P68" s="45" t="n">
        <v>6.7</v>
      </c>
      <c r="Q68" s="41" t="str">
        <f aca="false">CHOOSE(MONTH(K68),"Jan","Feb","Mar","Apr","May","Jun","Jul","Aug","Sep","Oct","Nov","Dec")</f>
        <v>Feb</v>
      </c>
      <c r="R68" s="41" t="n">
        <f aca="false">INT((K68-setMinDate)/7)+1</f>
        <v>6</v>
      </c>
      <c r="S68" s="41" t="n">
        <f aca="false">HOUR(L68)</f>
        <v>15</v>
      </c>
      <c r="T68" s="41" t="str">
        <f aca="false">IF(S68&lt;setMorningEnd,"Morning",IF(S68&lt;setAfternoonEnd,"Afternoon","Evening"))</f>
        <v>Afternoon</v>
      </c>
      <c r="U68" s="41" t="str">
        <f aca="false">IF(J68&gt;=setLarge,"Large",IF(J68&gt;=setMedium,"Medium","Small"))</f>
        <v>Small</v>
      </c>
      <c r="V68" s="41" t="str">
        <f aca="false">IF(P68&gt;=setExc,"Excellent",IF(P68&gt;=setGood,"Good",IF(P68&gt;=setAvg,"Average","Poor")))</f>
        <v>Average</v>
      </c>
    </row>
    <row r="69" customFormat="false" ht="15" hidden="false" customHeight="false" outlineLevel="0" collapsed="false">
      <c r="A69" s="41" t="s">
        <v>247</v>
      </c>
      <c r="B69" s="41" t="s">
        <v>189</v>
      </c>
      <c r="C69" s="41" t="s">
        <v>86</v>
      </c>
      <c r="D69" s="41" t="s">
        <v>104</v>
      </c>
      <c r="E69" s="41" t="s">
        <v>102</v>
      </c>
      <c r="F69" s="41" t="s">
        <v>79</v>
      </c>
      <c r="G69" s="42" t="n">
        <v>97.61</v>
      </c>
      <c r="H69" s="41" t="n">
        <v>6</v>
      </c>
      <c r="I69" s="42" t="n">
        <v>29.283</v>
      </c>
      <c r="J69" s="42" t="n">
        <v>614.943</v>
      </c>
      <c r="K69" s="43" t="n">
        <v>43472</v>
      </c>
      <c r="L69" s="44" t="n">
        <v>0.625694444444444</v>
      </c>
      <c r="M69" s="41" t="s">
        <v>98</v>
      </c>
      <c r="N69" s="42" t="n">
        <v>585.66</v>
      </c>
      <c r="O69" s="42" t="n">
        <v>29.283</v>
      </c>
      <c r="P69" s="45" t="n">
        <v>9.9</v>
      </c>
      <c r="Q69" s="41" t="str">
        <f aca="false">CHOOSE(MONTH(K69),"Jan","Feb","Mar","Apr","May","Jun","Jul","Aug","Sep","Oct","Nov","Dec")</f>
        <v>Jan</v>
      </c>
      <c r="R69" s="41" t="n">
        <f aca="false">INT((K69-setMinDate)/7)+1</f>
        <v>1</v>
      </c>
      <c r="S69" s="41" t="n">
        <f aca="false">HOUR(L69)</f>
        <v>15</v>
      </c>
      <c r="T69" s="41" t="str">
        <f aca="false">IF(S69&lt;setMorningEnd,"Morning",IF(S69&lt;setAfternoonEnd,"Afternoon","Evening"))</f>
        <v>Afternoon</v>
      </c>
      <c r="U69" s="41" t="str">
        <f aca="false">IF(J69&gt;=setLarge,"Large",IF(J69&gt;=setMedium,"Medium","Small"))</f>
        <v>Large</v>
      </c>
      <c r="V69" s="41" t="str">
        <f aca="false">IF(P69&gt;=setExc,"Excellent",IF(P69&gt;=setGood,"Good",IF(P69&gt;=setAvg,"Average","Poor")))</f>
        <v>Excellent</v>
      </c>
    </row>
    <row r="70" customFormat="false" ht="15" hidden="false" customHeight="false" outlineLevel="0" collapsed="false">
      <c r="A70" s="41" t="s">
        <v>248</v>
      </c>
      <c r="B70" s="41" t="s">
        <v>178</v>
      </c>
      <c r="C70" s="41" t="s">
        <v>85</v>
      </c>
      <c r="D70" s="41" t="s">
        <v>105</v>
      </c>
      <c r="E70" s="41" t="s">
        <v>103</v>
      </c>
      <c r="F70" s="41" t="s">
        <v>77</v>
      </c>
      <c r="G70" s="42" t="n">
        <v>78.77</v>
      </c>
      <c r="H70" s="41" t="n">
        <v>10</v>
      </c>
      <c r="I70" s="42" t="n">
        <v>39.385</v>
      </c>
      <c r="J70" s="42" t="n">
        <v>827.085</v>
      </c>
      <c r="K70" s="43" t="n">
        <v>43489</v>
      </c>
      <c r="L70" s="44" t="n">
        <v>0.419444444444445</v>
      </c>
      <c r="M70" s="41" t="s">
        <v>97</v>
      </c>
      <c r="N70" s="42" t="n">
        <v>787.7</v>
      </c>
      <c r="O70" s="42" t="n">
        <v>39.385</v>
      </c>
      <c r="P70" s="45" t="n">
        <v>6.4</v>
      </c>
      <c r="Q70" s="41" t="str">
        <f aca="false">CHOOSE(MONTH(K70),"Jan","Feb","Mar","Apr","May","Jun","Jul","Aug","Sep","Oct","Nov","Dec")</f>
        <v>Jan</v>
      </c>
      <c r="R70" s="41" t="n">
        <f aca="false">INT((K70-setMinDate)/7)+1</f>
        <v>4</v>
      </c>
      <c r="S70" s="41" t="n">
        <f aca="false">HOUR(L70)</f>
        <v>10</v>
      </c>
      <c r="T70" s="41" t="str">
        <f aca="false">IF(S70&lt;setMorningEnd,"Morning",IF(S70&lt;setAfternoonEnd,"Afternoon","Evening"))</f>
        <v>Morning</v>
      </c>
      <c r="U70" s="41" t="str">
        <f aca="false">IF(J70&gt;=setLarge,"Large",IF(J70&gt;=setMedium,"Medium","Small"))</f>
        <v>Large</v>
      </c>
      <c r="V70" s="41" t="str">
        <f aca="false">IF(P70&gt;=setExc,"Excellent",IF(P70&gt;=setGood,"Good",IF(P70&gt;=setAvg,"Average","Poor")))</f>
        <v>Average</v>
      </c>
    </row>
    <row r="71" customFormat="false" ht="15" hidden="false" customHeight="false" outlineLevel="0" collapsed="false">
      <c r="A71" s="41" t="s">
        <v>249</v>
      </c>
      <c r="B71" s="41" t="s">
        <v>178</v>
      </c>
      <c r="C71" s="41" t="s">
        <v>85</v>
      </c>
      <c r="D71" s="41" t="s">
        <v>104</v>
      </c>
      <c r="E71" s="41" t="s">
        <v>102</v>
      </c>
      <c r="F71" s="41" t="s">
        <v>81</v>
      </c>
      <c r="G71" s="42" t="n">
        <v>18.33</v>
      </c>
      <c r="H71" s="41" t="n">
        <v>1</v>
      </c>
      <c r="I71" s="42" t="n">
        <v>0.9165</v>
      </c>
      <c r="J71" s="42" t="n">
        <v>19.2465</v>
      </c>
      <c r="K71" s="43" t="n">
        <v>43498</v>
      </c>
      <c r="L71" s="44" t="n">
        <v>0.784722222222222</v>
      </c>
      <c r="M71" s="41" t="s">
        <v>97</v>
      </c>
      <c r="N71" s="42" t="n">
        <v>18.33</v>
      </c>
      <c r="O71" s="42" t="n">
        <v>0.9165</v>
      </c>
      <c r="P71" s="45" t="n">
        <v>4.3</v>
      </c>
      <c r="Q71" s="41" t="str">
        <f aca="false">CHOOSE(MONTH(K71),"Jan","Feb","Mar","Apr","May","Jun","Jul","Aug","Sep","Oct","Nov","Dec")</f>
        <v>Feb</v>
      </c>
      <c r="R71" s="41" t="n">
        <f aca="false">INT((K71-setMinDate)/7)+1</f>
        <v>5</v>
      </c>
      <c r="S71" s="41" t="n">
        <f aca="false">HOUR(L71)</f>
        <v>18</v>
      </c>
      <c r="T71" s="41" t="str">
        <f aca="false">IF(S71&lt;setMorningEnd,"Morning",IF(S71&lt;setAfternoonEnd,"Afternoon","Evening"))</f>
        <v>Evening</v>
      </c>
      <c r="U71" s="41" t="str">
        <f aca="false">IF(J71&gt;=setLarge,"Large",IF(J71&gt;=setMedium,"Medium","Small"))</f>
        <v>Small</v>
      </c>
      <c r="V71" s="41" t="str">
        <f aca="false">IF(P71&gt;=setExc,"Excellent",IF(P71&gt;=setGood,"Good",IF(P71&gt;=setAvg,"Average","Poor")))</f>
        <v>Poor</v>
      </c>
    </row>
    <row r="72" customFormat="false" ht="15" hidden="false" customHeight="false" outlineLevel="0" collapsed="false">
      <c r="A72" s="41" t="s">
        <v>250</v>
      </c>
      <c r="B72" s="41" t="s">
        <v>180</v>
      </c>
      <c r="C72" s="41" t="s">
        <v>87</v>
      </c>
      <c r="D72" s="41" t="s">
        <v>105</v>
      </c>
      <c r="E72" s="41" t="s">
        <v>103</v>
      </c>
      <c r="F72" s="41" t="s">
        <v>76</v>
      </c>
      <c r="G72" s="42" t="n">
        <v>89.48</v>
      </c>
      <c r="H72" s="41" t="n">
        <v>10</v>
      </c>
      <c r="I72" s="42" t="n">
        <v>44.74</v>
      </c>
      <c r="J72" s="42" t="n">
        <v>939.54</v>
      </c>
      <c r="K72" s="43" t="n">
        <v>43471</v>
      </c>
      <c r="L72" s="44" t="n">
        <v>0.531944444444444</v>
      </c>
      <c r="M72" s="41" t="s">
        <v>99</v>
      </c>
      <c r="N72" s="42" t="n">
        <v>894.8</v>
      </c>
      <c r="O72" s="42" t="n">
        <v>44.74</v>
      </c>
      <c r="P72" s="45" t="n">
        <v>9.6</v>
      </c>
      <c r="Q72" s="41" t="str">
        <f aca="false">CHOOSE(MONTH(K72),"Jan","Feb","Mar","Apr","May","Jun","Jul","Aug","Sep","Oct","Nov","Dec")</f>
        <v>Jan</v>
      </c>
      <c r="R72" s="41" t="n">
        <f aca="false">INT((K72-setMinDate)/7)+1</f>
        <v>1</v>
      </c>
      <c r="S72" s="41" t="n">
        <f aca="false">HOUR(L72)</f>
        <v>12</v>
      </c>
      <c r="T72" s="41" t="str">
        <f aca="false">IF(S72&lt;setMorningEnd,"Morning",IF(S72&lt;setAfternoonEnd,"Afternoon","Evening"))</f>
        <v>Afternoon</v>
      </c>
      <c r="U72" s="41" t="str">
        <f aca="false">IF(J72&gt;=setLarge,"Large",IF(J72&gt;=setMedium,"Medium","Small"))</f>
        <v>Large</v>
      </c>
      <c r="V72" s="41" t="str">
        <f aca="false">IF(P72&gt;=setExc,"Excellent",IF(P72&gt;=setGood,"Good",IF(P72&gt;=setAvg,"Average","Poor")))</f>
        <v>Excellent</v>
      </c>
    </row>
    <row r="73" customFormat="false" ht="15" hidden="false" customHeight="false" outlineLevel="0" collapsed="false">
      <c r="A73" s="41" t="s">
        <v>251</v>
      </c>
      <c r="B73" s="41" t="s">
        <v>180</v>
      </c>
      <c r="C73" s="41" t="s">
        <v>87</v>
      </c>
      <c r="D73" s="41" t="s">
        <v>105</v>
      </c>
      <c r="E73" s="41" t="s">
        <v>103</v>
      </c>
      <c r="F73" s="41" t="s">
        <v>79</v>
      </c>
      <c r="G73" s="42" t="n">
        <v>62.12</v>
      </c>
      <c r="H73" s="41" t="n">
        <v>10</v>
      </c>
      <c r="I73" s="42" t="n">
        <v>31.06</v>
      </c>
      <c r="J73" s="42" t="n">
        <v>652.26</v>
      </c>
      <c r="K73" s="43" t="n">
        <v>43507</v>
      </c>
      <c r="L73" s="44" t="n">
        <v>0.679861111111111</v>
      </c>
      <c r="M73" s="41" t="s">
        <v>97</v>
      </c>
      <c r="N73" s="42" t="n">
        <v>621.2</v>
      </c>
      <c r="O73" s="42" t="n">
        <v>31.06</v>
      </c>
      <c r="P73" s="45" t="n">
        <v>5.9</v>
      </c>
      <c r="Q73" s="41" t="str">
        <f aca="false">CHOOSE(MONTH(K73),"Jan","Feb","Mar","Apr","May","Jun","Jul","Aug","Sep","Oct","Nov","Dec")</f>
        <v>Feb</v>
      </c>
      <c r="R73" s="41" t="n">
        <f aca="false">INT((K73-setMinDate)/7)+1</f>
        <v>6</v>
      </c>
      <c r="S73" s="41" t="n">
        <f aca="false">HOUR(L73)</f>
        <v>16</v>
      </c>
      <c r="T73" s="41" t="str">
        <f aca="false">IF(S73&lt;setMorningEnd,"Morning",IF(S73&lt;setAfternoonEnd,"Afternoon","Evening"))</f>
        <v>Afternoon</v>
      </c>
      <c r="U73" s="41" t="str">
        <f aca="false">IF(J73&gt;=setLarge,"Large",IF(J73&gt;=setMedium,"Medium","Small"))</f>
        <v>Large</v>
      </c>
      <c r="V73" s="41" t="str">
        <f aca="false">IF(P73&gt;=setExc,"Excellent",IF(P73&gt;=setGood,"Good",IF(P73&gt;=setAvg,"Average","Poor")))</f>
        <v>Average</v>
      </c>
    </row>
    <row r="74" customFormat="false" ht="15" hidden="false" customHeight="false" outlineLevel="0" collapsed="false">
      <c r="A74" s="41" t="s">
        <v>252</v>
      </c>
      <c r="B74" s="41" t="s">
        <v>189</v>
      </c>
      <c r="C74" s="41" t="s">
        <v>86</v>
      </c>
      <c r="D74" s="41" t="s">
        <v>104</v>
      </c>
      <c r="E74" s="41" t="s">
        <v>102</v>
      </c>
      <c r="F74" s="41" t="s">
        <v>76</v>
      </c>
      <c r="G74" s="42" t="n">
        <v>48.52</v>
      </c>
      <c r="H74" s="41" t="n">
        <v>3</v>
      </c>
      <c r="I74" s="42" t="n">
        <v>7.278</v>
      </c>
      <c r="J74" s="42" t="n">
        <v>152.838</v>
      </c>
      <c r="K74" s="43" t="n">
        <v>43529</v>
      </c>
      <c r="L74" s="44" t="n">
        <v>0.761805555555556</v>
      </c>
      <c r="M74" s="41" t="s">
        <v>98</v>
      </c>
      <c r="N74" s="42" t="n">
        <v>145.56</v>
      </c>
      <c r="O74" s="42" t="n">
        <v>7.278</v>
      </c>
      <c r="P74" s="45" t="n">
        <v>4</v>
      </c>
      <c r="Q74" s="41" t="str">
        <f aca="false">CHOOSE(MONTH(K74),"Jan","Feb","Mar","Apr","May","Jun","Jul","Aug","Sep","Oct","Nov","Dec")</f>
        <v>Mar</v>
      </c>
      <c r="R74" s="41" t="n">
        <f aca="false">INT((K74-setMinDate)/7)+1</f>
        <v>10</v>
      </c>
      <c r="S74" s="41" t="n">
        <f aca="false">HOUR(L74)</f>
        <v>18</v>
      </c>
      <c r="T74" s="41" t="str">
        <f aca="false">IF(S74&lt;setMorningEnd,"Morning",IF(S74&lt;setAfternoonEnd,"Afternoon","Evening"))</f>
        <v>Evening</v>
      </c>
      <c r="U74" s="41" t="str">
        <f aca="false">IF(J74&gt;=setLarge,"Large",IF(J74&gt;=setMedium,"Medium","Small"))</f>
        <v>Small</v>
      </c>
      <c r="V74" s="41" t="str">
        <f aca="false">IF(P74&gt;=setExc,"Excellent",IF(P74&gt;=setGood,"Good",IF(P74&gt;=setAvg,"Average","Poor")))</f>
        <v>Poor</v>
      </c>
    </row>
    <row r="75" customFormat="false" ht="15" hidden="false" customHeight="false" outlineLevel="0" collapsed="false">
      <c r="A75" s="41" t="s">
        <v>253</v>
      </c>
      <c r="B75" s="41" t="s">
        <v>180</v>
      </c>
      <c r="C75" s="41" t="s">
        <v>87</v>
      </c>
      <c r="D75" s="41" t="s">
        <v>105</v>
      </c>
      <c r="E75" s="41" t="s">
        <v>102</v>
      </c>
      <c r="F75" s="41" t="s">
        <v>78</v>
      </c>
      <c r="G75" s="42" t="n">
        <v>75.91</v>
      </c>
      <c r="H75" s="41" t="n">
        <v>6</v>
      </c>
      <c r="I75" s="42" t="n">
        <v>22.773</v>
      </c>
      <c r="J75" s="42" t="n">
        <v>478.233</v>
      </c>
      <c r="K75" s="43" t="n">
        <v>43533</v>
      </c>
      <c r="L75" s="44" t="n">
        <v>0.764583333333333</v>
      </c>
      <c r="M75" s="41" t="s">
        <v>97</v>
      </c>
      <c r="N75" s="42" t="n">
        <v>455.46</v>
      </c>
      <c r="O75" s="42" t="n">
        <v>22.773</v>
      </c>
      <c r="P75" s="45" t="n">
        <v>8.7</v>
      </c>
      <c r="Q75" s="41" t="str">
        <f aca="false">CHOOSE(MONTH(K75),"Jan","Feb","Mar","Apr","May","Jun","Jul","Aug","Sep","Oct","Nov","Dec")</f>
        <v>Mar</v>
      </c>
      <c r="R75" s="41" t="n">
        <f aca="false">INT((K75-setMinDate)/7)+1</f>
        <v>10</v>
      </c>
      <c r="S75" s="41" t="n">
        <f aca="false">HOUR(L75)</f>
        <v>18</v>
      </c>
      <c r="T75" s="41" t="str">
        <f aca="false">IF(S75&lt;setMorningEnd,"Morning",IF(S75&lt;setAfternoonEnd,"Afternoon","Evening"))</f>
        <v>Evening</v>
      </c>
      <c r="U75" s="41" t="str">
        <f aca="false">IF(J75&gt;=setLarge,"Large",IF(J75&gt;=setMedium,"Medium","Small"))</f>
        <v>Medium</v>
      </c>
      <c r="V75" s="41" t="str">
        <f aca="false">IF(P75&gt;=setExc,"Excellent",IF(P75&gt;=setGood,"Good",IF(P75&gt;=setAvg,"Average","Poor")))</f>
        <v>Good</v>
      </c>
    </row>
    <row r="76" customFormat="false" ht="15" hidden="false" customHeight="false" outlineLevel="0" collapsed="false">
      <c r="A76" s="41" t="s">
        <v>254</v>
      </c>
      <c r="B76" s="41" t="s">
        <v>178</v>
      </c>
      <c r="C76" s="41" t="s">
        <v>85</v>
      </c>
      <c r="D76" s="41" t="s">
        <v>105</v>
      </c>
      <c r="E76" s="41" t="s">
        <v>103</v>
      </c>
      <c r="F76" s="41" t="s">
        <v>80</v>
      </c>
      <c r="G76" s="42" t="n">
        <v>74.67</v>
      </c>
      <c r="H76" s="41" t="n">
        <v>9</v>
      </c>
      <c r="I76" s="42" t="n">
        <v>33.6015</v>
      </c>
      <c r="J76" s="42" t="n">
        <v>705.6315</v>
      </c>
      <c r="K76" s="43" t="n">
        <v>43487</v>
      </c>
      <c r="L76" s="44" t="n">
        <v>0.454861111111111</v>
      </c>
      <c r="M76" s="41" t="s">
        <v>98</v>
      </c>
      <c r="N76" s="42" t="n">
        <v>672.03</v>
      </c>
      <c r="O76" s="42" t="n">
        <v>33.6015</v>
      </c>
      <c r="P76" s="45" t="n">
        <v>9.4</v>
      </c>
      <c r="Q76" s="41" t="str">
        <f aca="false">CHOOSE(MONTH(K76),"Jan","Feb","Mar","Apr","May","Jun","Jul","Aug","Sep","Oct","Nov","Dec")</f>
        <v>Jan</v>
      </c>
      <c r="R76" s="41" t="n">
        <f aca="false">INT((K76-setMinDate)/7)+1</f>
        <v>4</v>
      </c>
      <c r="S76" s="41" t="n">
        <f aca="false">HOUR(L76)</f>
        <v>10</v>
      </c>
      <c r="T76" s="41" t="str">
        <f aca="false">IF(S76&lt;setMorningEnd,"Morning",IF(S76&lt;setAfternoonEnd,"Afternoon","Evening"))</f>
        <v>Morning</v>
      </c>
      <c r="U76" s="41" t="str">
        <f aca="false">IF(J76&gt;=setLarge,"Large",IF(J76&gt;=setMedium,"Medium","Small"))</f>
        <v>Large</v>
      </c>
      <c r="V76" s="41" t="str">
        <f aca="false">IF(P76&gt;=setExc,"Excellent",IF(P76&gt;=setGood,"Good",IF(P76&gt;=setAvg,"Average","Poor")))</f>
        <v>Excellent</v>
      </c>
    </row>
    <row r="77" customFormat="false" ht="15" hidden="false" customHeight="false" outlineLevel="0" collapsed="false">
      <c r="A77" s="41" t="s">
        <v>255</v>
      </c>
      <c r="B77" s="41" t="s">
        <v>180</v>
      </c>
      <c r="C77" s="41" t="s">
        <v>87</v>
      </c>
      <c r="D77" s="41" t="s">
        <v>105</v>
      </c>
      <c r="E77" s="41" t="s">
        <v>102</v>
      </c>
      <c r="F77" s="41" t="s">
        <v>78</v>
      </c>
      <c r="G77" s="42" t="n">
        <v>41.65</v>
      </c>
      <c r="H77" s="41" t="n">
        <v>10</v>
      </c>
      <c r="I77" s="42" t="n">
        <v>20.825</v>
      </c>
      <c r="J77" s="42" t="n">
        <v>437.325</v>
      </c>
      <c r="K77" s="43" t="n">
        <v>43478</v>
      </c>
      <c r="L77" s="44" t="n">
        <v>0.711111111111111</v>
      </c>
      <c r="M77" s="41" t="s">
        <v>99</v>
      </c>
      <c r="N77" s="42" t="n">
        <v>416.5</v>
      </c>
      <c r="O77" s="42" t="n">
        <v>20.825</v>
      </c>
      <c r="P77" s="45" t="n">
        <v>5.4</v>
      </c>
      <c r="Q77" s="41" t="str">
        <f aca="false">CHOOSE(MONTH(K77),"Jan","Feb","Mar","Apr","May","Jun","Jul","Aug","Sep","Oct","Nov","Dec")</f>
        <v>Jan</v>
      </c>
      <c r="R77" s="41" t="n">
        <f aca="false">INT((K77-setMinDate)/7)+1</f>
        <v>2</v>
      </c>
      <c r="S77" s="41" t="n">
        <f aca="false">HOUR(L77)</f>
        <v>17</v>
      </c>
      <c r="T77" s="41" t="str">
        <f aca="false">IF(S77&lt;setMorningEnd,"Morning",IF(S77&lt;setAfternoonEnd,"Afternoon","Evening"))</f>
        <v>Evening</v>
      </c>
      <c r="U77" s="41" t="str">
        <f aca="false">IF(J77&gt;=setLarge,"Large",IF(J77&gt;=setMedium,"Medium","Small"))</f>
        <v>Medium</v>
      </c>
      <c r="V77" s="41" t="str">
        <f aca="false">IF(P77&gt;=setExc,"Excellent",IF(P77&gt;=setGood,"Good",IF(P77&gt;=setAvg,"Average","Poor")))</f>
        <v>Average</v>
      </c>
    </row>
    <row r="78" customFormat="false" ht="15" hidden="false" customHeight="false" outlineLevel="0" collapsed="false">
      <c r="A78" s="41" t="s">
        <v>256</v>
      </c>
      <c r="B78" s="41" t="s">
        <v>180</v>
      </c>
      <c r="C78" s="41" t="s">
        <v>87</v>
      </c>
      <c r="D78" s="41" t="s">
        <v>104</v>
      </c>
      <c r="E78" s="41" t="s">
        <v>103</v>
      </c>
      <c r="F78" s="41" t="s">
        <v>79</v>
      </c>
      <c r="G78" s="42" t="n">
        <v>49.04</v>
      </c>
      <c r="H78" s="41" t="n">
        <v>9</v>
      </c>
      <c r="I78" s="42" t="n">
        <v>22.068</v>
      </c>
      <c r="J78" s="42" t="n">
        <v>463.428</v>
      </c>
      <c r="K78" s="43" t="n">
        <v>43474</v>
      </c>
      <c r="L78" s="44" t="n">
        <v>0.597222222222222</v>
      </c>
      <c r="M78" s="41" t="s">
        <v>99</v>
      </c>
      <c r="N78" s="42" t="n">
        <v>441.36</v>
      </c>
      <c r="O78" s="42" t="n">
        <v>22.068</v>
      </c>
      <c r="P78" s="45" t="n">
        <v>8.6</v>
      </c>
      <c r="Q78" s="41" t="str">
        <f aca="false">CHOOSE(MONTH(K78),"Jan","Feb","Mar","Apr","May","Jun","Jul","Aug","Sep","Oct","Nov","Dec")</f>
        <v>Jan</v>
      </c>
      <c r="R78" s="41" t="n">
        <f aca="false">INT((K78-setMinDate)/7)+1</f>
        <v>2</v>
      </c>
      <c r="S78" s="41" t="n">
        <f aca="false">HOUR(L78)</f>
        <v>14</v>
      </c>
      <c r="T78" s="41" t="str">
        <f aca="false">IF(S78&lt;setMorningEnd,"Morning",IF(S78&lt;setAfternoonEnd,"Afternoon","Evening"))</f>
        <v>Afternoon</v>
      </c>
      <c r="U78" s="41" t="str">
        <f aca="false">IF(J78&gt;=setLarge,"Large",IF(J78&gt;=setMedium,"Medium","Small"))</f>
        <v>Medium</v>
      </c>
      <c r="V78" s="41" t="str">
        <f aca="false">IF(P78&gt;=setExc,"Excellent",IF(P78&gt;=setGood,"Good",IF(P78&gt;=setAvg,"Average","Poor")))</f>
        <v>Good</v>
      </c>
    </row>
    <row r="79" customFormat="false" ht="15" hidden="false" customHeight="false" outlineLevel="0" collapsed="false">
      <c r="A79" s="41" t="s">
        <v>257</v>
      </c>
      <c r="B79" s="41" t="s">
        <v>178</v>
      </c>
      <c r="C79" s="41" t="s">
        <v>85</v>
      </c>
      <c r="D79" s="41" t="s">
        <v>104</v>
      </c>
      <c r="E79" s="41" t="s">
        <v>102</v>
      </c>
      <c r="F79" s="41" t="s">
        <v>79</v>
      </c>
      <c r="G79" s="42" t="n">
        <v>20.01</v>
      </c>
      <c r="H79" s="41" t="n">
        <v>9</v>
      </c>
      <c r="I79" s="42" t="n">
        <v>9.0045</v>
      </c>
      <c r="J79" s="42" t="n">
        <v>189.0945</v>
      </c>
      <c r="K79" s="43" t="n">
        <v>43477</v>
      </c>
      <c r="L79" s="44" t="n">
        <v>0.658333333333333</v>
      </c>
      <c r="M79" s="41" t="s">
        <v>99</v>
      </c>
      <c r="N79" s="42" t="n">
        <v>180.09</v>
      </c>
      <c r="O79" s="42" t="n">
        <v>9.0045</v>
      </c>
      <c r="P79" s="45" t="n">
        <v>5.7</v>
      </c>
      <c r="Q79" s="41" t="str">
        <f aca="false">CHOOSE(MONTH(K79),"Jan","Feb","Mar","Apr","May","Jun","Jul","Aug","Sep","Oct","Nov","Dec")</f>
        <v>Jan</v>
      </c>
      <c r="R79" s="41" t="n">
        <f aca="false">INT((K79-setMinDate)/7)+1</f>
        <v>2</v>
      </c>
      <c r="S79" s="41" t="n">
        <f aca="false">HOUR(L79)</f>
        <v>15</v>
      </c>
      <c r="T79" s="41" t="str">
        <f aca="false">IF(S79&lt;setMorningEnd,"Morning",IF(S79&lt;setAfternoonEnd,"Afternoon","Evening"))</f>
        <v>Afternoon</v>
      </c>
      <c r="U79" s="41" t="str">
        <f aca="false">IF(J79&gt;=setLarge,"Large",IF(J79&gt;=setMedium,"Medium","Small"))</f>
        <v>Small</v>
      </c>
      <c r="V79" s="41" t="str">
        <f aca="false">IF(P79&gt;=setExc,"Excellent",IF(P79&gt;=setGood,"Good",IF(P79&gt;=setAvg,"Average","Poor")))</f>
        <v>Average</v>
      </c>
    </row>
    <row r="80" customFormat="false" ht="15" hidden="false" customHeight="false" outlineLevel="0" collapsed="false">
      <c r="A80" s="41" t="s">
        <v>258</v>
      </c>
      <c r="B80" s="41" t="s">
        <v>180</v>
      </c>
      <c r="C80" s="41" t="s">
        <v>87</v>
      </c>
      <c r="D80" s="41" t="s">
        <v>104</v>
      </c>
      <c r="E80" s="41" t="s">
        <v>102</v>
      </c>
      <c r="F80" s="41" t="s">
        <v>76</v>
      </c>
      <c r="G80" s="42" t="n">
        <v>78.31</v>
      </c>
      <c r="H80" s="41" t="n">
        <v>10</v>
      </c>
      <c r="I80" s="42" t="n">
        <v>39.155</v>
      </c>
      <c r="J80" s="42" t="n">
        <v>822.255</v>
      </c>
      <c r="K80" s="43" t="n">
        <v>43529</v>
      </c>
      <c r="L80" s="44" t="n">
        <v>0.683333333333333</v>
      </c>
      <c r="M80" s="41" t="s">
        <v>98</v>
      </c>
      <c r="N80" s="42" t="n">
        <v>783.1</v>
      </c>
      <c r="O80" s="42" t="n">
        <v>39.155</v>
      </c>
      <c r="P80" s="45" t="n">
        <v>6.6</v>
      </c>
      <c r="Q80" s="41" t="str">
        <f aca="false">CHOOSE(MONTH(K80),"Jan","Feb","Mar","Apr","May","Jun","Jul","Aug","Sep","Oct","Nov","Dec")</f>
        <v>Mar</v>
      </c>
      <c r="R80" s="41" t="n">
        <f aca="false">INT((K80-setMinDate)/7)+1</f>
        <v>10</v>
      </c>
      <c r="S80" s="41" t="n">
        <f aca="false">HOUR(L80)</f>
        <v>16</v>
      </c>
      <c r="T80" s="41" t="str">
        <f aca="false">IF(S80&lt;setMorningEnd,"Morning",IF(S80&lt;setAfternoonEnd,"Afternoon","Evening"))</f>
        <v>Afternoon</v>
      </c>
      <c r="U80" s="41" t="str">
        <f aca="false">IF(J80&gt;=setLarge,"Large",IF(J80&gt;=setMedium,"Medium","Small"))</f>
        <v>Large</v>
      </c>
      <c r="V80" s="41" t="str">
        <f aca="false">IF(P80&gt;=setExc,"Excellent",IF(P80&gt;=setGood,"Good",IF(P80&gt;=setAvg,"Average","Poor")))</f>
        <v>Average</v>
      </c>
    </row>
    <row r="81" customFormat="false" ht="15" hidden="false" customHeight="false" outlineLevel="0" collapsed="false">
      <c r="A81" s="41" t="s">
        <v>259</v>
      </c>
      <c r="B81" s="41" t="s">
        <v>180</v>
      </c>
      <c r="C81" s="41" t="s">
        <v>87</v>
      </c>
      <c r="D81" s="41" t="s">
        <v>105</v>
      </c>
      <c r="E81" s="41" t="s">
        <v>102</v>
      </c>
      <c r="F81" s="41" t="s">
        <v>81</v>
      </c>
      <c r="G81" s="42" t="n">
        <v>20.38</v>
      </c>
      <c r="H81" s="41" t="n">
        <v>5</v>
      </c>
      <c r="I81" s="42" t="n">
        <v>5.095</v>
      </c>
      <c r="J81" s="42" t="n">
        <v>106.995</v>
      </c>
      <c r="K81" s="43" t="n">
        <v>43487</v>
      </c>
      <c r="L81" s="44" t="n">
        <v>0.788888888888889</v>
      </c>
      <c r="M81" s="41" t="s">
        <v>97</v>
      </c>
      <c r="N81" s="42" t="n">
        <v>101.9</v>
      </c>
      <c r="O81" s="42" t="n">
        <v>5.095</v>
      </c>
      <c r="P81" s="45" t="n">
        <v>6</v>
      </c>
      <c r="Q81" s="41" t="str">
        <f aca="false">CHOOSE(MONTH(K81),"Jan","Feb","Mar","Apr","May","Jun","Jul","Aug","Sep","Oct","Nov","Dec")</f>
        <v>Jan</v>
      </c>
      <c r="R81" s="41" t="n">
        <f aca="false">INT((K81-setMinDate)/7)+1</f>
        <v>4</v>
      </c>
      <c r="S81" s="41" t="n">
        <f aca="false">HOUR(L81)</f>
        <v>18</v>
      </c>
      <c r="T81" s="41" t="str">
        <f aca="false">IF(S81&lt;setMorningEnd,"Morning",IF(S81&lt;setAfternoonEnd,"Afternoon","Evening"))</f>
        <v>Evening</v>
      </c>
      <c r="U81" s="41" t="str">
        <f aca="false">IF(J81&gt;=setLarge,"Large",IF(J81&gt;=setMedium,"Medium","Small"))</f>
        <v>Small</v>
      </c>
      <c r="V81" s="41" t="str">
        <f aca="false">IF(P81&gt;=setExc,"Excellent",IF(P81&gt;=setGood,"Good",IF(P81&gt;=setAvg,"Average","Poor")))</f>
        <v>Average</v>
      </c>
    </row>
    <row r="82" customFormat="false" ht="15" hidden="false" customHeight="false" outlineLevel="0" collapsed="false">
      <c r="A82" s="41" t="s">
        <v>260</v>
      </c>
      <c r="B82" s="41" t="s">
        <v>180</v>
      </c>
      <c r="C82" s="41" t="s">
        <v>87</v>
      </c>
      <c r="D82" s="41" t="s">
        <v>105</v>
      </c>
      <c r="E82" s="41" t="s">
        <v>102</v>
      </c>
      <c r="F82" s="41" t="s">
        <v>81</v>
      </c>
      <c r="G82" s="42" t="n">
        <v>99.19</v>
      </c>
      <c r="H82" s="41" t="n">
        <v>6</v>
      </c>
      <c r="I82" s="42" t="n">
        <v>29.757</v>
      </c>
      <c r="J82" s="42" t="n">
        <v>624.897</v>
      </c>
      <c r="K82" s="43" t="n">
        <v>43486</v>
      </c>
      <c r="L82" s="44" t="n">
        <v>0.6125</v>
      </c>
      <c r="M82" s="41" t="s">
        <v>99</v>
      </c>
      <c r="N82" s="42" t="n">
        <v>595.14</v>
      </c>
      <c r="O82" s="42" t="n">
        <v>29.757</v>
      </c>
      <c r="P82" s="45" t="n">
        <v>5.5</v>
      </c>
      <c r="Q82" s="41" t="str">
        <f aca="false">CHOOSE(MONTH(K82),"Jan","Feb","Mar","Apr","May","Jun","Jul","Aug","Sep","Oct","Nov","Dec")</f>
        <v>Jan</v>
      </c>
      <c r="R82" s="41" t="n">
        <f aca="false">INT((K82-setMinDate)/7)+1</f>
        <v>3</v>
      </c>
      <c r="S82" s="41" t="n">
        <f aca="false">HOUR(L82)</f>
        <v>14</v>
      </c>
      <c r="T82" s="41" t="str">
        <f aca="false">IF(S82&lt;setMorningEnd,"Morning",IF(S82&lt;setAfternoonEnd,"Afternoon","Evening"))</f>
        <v>Afternoon</v>
      </c>
      <c r="U82" s="41" t="str">
        <f aca="false">IF(J82&gt;=setLarge,"Large",IF(J82&gt;=setMedium,"Medium","Small"))</f>
        <v>Large</v>
      </c>
      <c r="V82" s="41" t="str">
        <f aca="false">IF(P82&gt;=setExc,"Excellent",IF(P82&gt;=setGood,"Good",IF(P82&gt;=setAvg,"Average","Poor")))</f>
        <v>Average</v>
      </c>
    </row>
    <row r="83" customFormat="false" ht="15" hidden="false" customHeight="false" outlineLevel="0" collapsed="false">
      <c r="A83" s="41" t="s">
        <v>261</v>
      </c>
      <c r="B83" s="41" t="s">
        <v>189</v>
      </c>
      <c r="C83" s="41" t="s">
        <v>86</v>
      </c>
      <c r="D83" s="41" t="s">
        <v>105</v>
      </c>
      <c r="E83" s="41" t="s">
        <v>102</v>
      </c>
      <c r="F83" s="41" t="s">
        <v>76</v>
      </c>
      <c r="G83" s="42" t="n">
        <v>96.68</v>
      </c>
      <c r="H83" s="41" t="n">
        <v>3</v>
      </c>
      <c r="I83" s="42" t="n">
        <v>14.502</v>
      </c>
      <c r="J83" s="42" t="n">
        <v>304.542</v>
      </c>
      <c r="K83" s="43" t="n">
        <v>43491</v>
      </c>
      <c r="L83" s="44" t="n">
        <v>0.830555555555556</v>
      </c>
      <c r="M83" s="41" t="s">
        <v>98</v>
      </c>
      <c r="N83" s="42" t="n">
        <v>290.04</v>
      </c>
      <c r="O83" s="42" t="n">
        <v>14.502</v>
      </c>
      <c r="P83" s="45" t="n">
        <v>6.4</v>
      </c>
      <c r="Q83" s="41" t="str">
        <f aca="false">CHOOSE(MONTH(K83),"Jan","Feb","Mar","Apr","May","Jun","Jul","Aug","Sep","Oct","Nov","Dec")</f>
        <v>Jan</v>
      </c>
      <c r="R83" s="41" t="n">
        <f aca="false">INT((K83-setMinDate)/7)+1</f>
        <v>4</v>
      </c>
      <c r="S83" s="41" t="n">
        <f aca="false">HOUR(L83)</f>
        <v>19</v>
      </c>
      <c r="T83" s="41" t="str">
        <f aca="false">IF(S83&lt;setMorningEnd,"Morning",IF(S83&lt;setAfternoonEnd,"Afternoon","Evening"))</f>
        <v>Evening</v>
      </c>
      <c r="U83" s="41" t="str">
        <f aca="false">IF(J83&gt;=setLarge,"Large",IF(J83&gt;=setMedium,"Medium","Small"))</f>
        <v>Medium</v>
      </c>
      <c r="V83" s="41" t="str">
        <f aca="false">IF(P83&gt;=setExc,"Excellent",IF(P83&gt;=setGood,"Good",IF(P83&gt;=setAvg,"Average","Poor")))</f>
        <v>Average</v>
      </c>
    </row>
    <row r="84" customFormat="false" ht="15" hidden="false" customHeight="false" outlineLevel="0" collapsed="false">
      <c r="A84" s="41" t="s">
        <v>262</v>
      </c>
      <c r="B84" s="41" t="s">
        <v>180</v>
      </c>
      <c r="C84" s="41" t="s">
        <v>87</v>
      </c>
      <c r="D84" s="41" t="s">
        <v>105</v>
      </c>
      <c r="E84" s="41" t="s">
        <v>103</v>
      </c>
      <c r="F84" s="41" t="s">
        <v>76</v>
      </c>
      <c r="G84" s="42" t="n">
        <v>19.25</v>
      </c>
      <c r="H84" s="41" t="n">
        <v>8</v>
      </c>
      <c r="I84" s="42" t="n">
        <v>7.7</v>
      </c>
      <c r="J84" s="42" t="n">
        <v>161.7</v>
      </c>
      <c r="K84" s="43" t="n">
        <v>43488</v>
      </c>
      <c r="L84" s="44" t="n">
        <v>0.775694444444445</v>
      </c>
      <c r="M84" s="41" t="s">
        <v>98</v>
      </c>
      <c r="N84" s="42" t="n">
        <v>154</v>
      </c>
      <c r="O84" s="42" t="n">
        <v>7.7</v>
      </c>
      <c r="P84" s="45" t="n">
        <v>6.6</v>
      </c>
      <c r="Q84" s="41" t="str">
        <f aca="false">CHOOSE(MONTH(K84),"Jan","Feb","Mar","Apr","May","Jun","Jul","Aug","Sep","Oct","Nov","Dec")</f>
        <v>Jan</v>
      </c>
      <c r="R84" s="41" t="n">
        <f aca="false">INT((K84-setMinDate)/7)+1</f>
        <v>4</v>
      </c>
      <c r="S84" s="41" t="n">
        <f aca="false">HOUR(L84)</f>
        <v>18</v>
      </c>
      <c r="T84" s="41" t="str">
        <f aca="false">IF(S84&lt;setMorningEnd,"Morning",IF(S84&lt;setAfternoonEnd,"Afternoon","Evening"))</f>
        <v>Evening</v>
      </c>
      <c r="U84" s="41" t="str">
        <f aca="false">IF(J84&gt;=setLarge,"Large",IF(J84&gt;=setMedium,"Medium","Small"))</f>
        <v>Small</v>
      </c>
      <c r="V84" s="41" t="str">
        <f aca="false">IF(P84&gt;=setExc,"Excellent",IF(P84&gt;=setGood,"Good",IF(P84&gt;=setAvg,"Average","Poor")))</f>
        <v>Average</v>
      </c>
    </row>
    <row r="85" customFormat="false" ht="15" hidden="false" customHeight="false" outlineLevel="0" collapsed="false">
      <c r="A85" s="41" t="s">
        <v>263</v>
      </c>
      <c r="B85" s="41" t="s">
        <v>180</v>
      </c>
      <c r="C85" s="41" t="s">
        <v>87</v>
      </c>
      <c r="D85" s="41" t="s">
        <v>104</v>
      </c>
      <c r="E85" s="41" t="s">
        <v>102</v>
      </c>
      <c r="F85" s="41" t="s">
        <v>76</v>
      </c>
      <c r="G85" s="42" t="n">
        <v>80.36</v>
      </c>
      <c r="H85" s="41" t="n">
        <v>4</v>
      </c>
      <c r="I85" s="42" t="n">
        <v>16.072</v>
      </c>
      <c r="J85" s="42" t="n">
        <v>337.512</v>
      </c>
      <c r="K85" s="43" t="n">
        <v>43519</v>
      </c>
      <c r="L85" s="44" t="n">
        <v>0.78125</v>
      </c>
      <c r="M85" s="41" t="s">
        <v>99</v>
      </c>
      <c r="N85" s="42" t="n">
        <v>321.44</v>
      </c>
      <c r="O85" s="42" t="n">
        <v>16.072</v>
      </c>
      <c r="P85" s="45" t="n">
        <v>8.3</v>
      </c>
      <c r="Q85" s="41" t="str">
        <f aca="false">CHOOSE(MONTH(K85),"Jan","Feb","Mar","Apr","May","Jun","Jul","Aug","Sep","Oct","Nov","Dec")</f>
        <v>Feb</v>
      </c>
      <c r="R85" s="41" t="n">
        <f aca="false">INT((K85-setMinDate)/7)+1</f>
        <v>8</v>
      </c>
      <c r="S85" s="41" t="n">
        <f aca="false">HOUR(L85)</f>
        <v>18</v>
      </c>
      <c r="T85" s="41" t="str">
        <f aca="false">IF(S85&lt;setMorningEnd,"Morning",IF(S85&lt;setAfternoonEnd,"Afternoon","Evening"))</f>
        <v>Evening</v>
      </c>
      <c r="U85" s="41" t="str">
        <f aca="false">IF(J85&gt;=setLarge,"Large",IF(J85&gt;=setMedium,"Medium","Small"))</f>
        <v>Medium</v>
      </c>
      <c r="V85" s="41" t="str">
        <f aca="false">IF(P85&gt;=setExc,"Excellent",IF(P85&gt;=setGood,"Good",IF(P85&gt;=setAvg,"Average","Poor")))</f>
        <v>Good</v>
      </c>
    </row>
    <row r="86" customFormat="false" ht="15" hidden="false" customHeight="false" outlineLevel="0" collapsed="false">
      <c r="A86" s="41" t="s">
        <v>264</v>
      </c>
      <c r="B86" s="41" t="s">
        <v>180</v>
      </c>
      <c r="C86" s="41" t="s">
        <v>87</v>
      </c>
      <c r="D86" s="41" t="s">
        <v>104</v>
      </c>
      <c r="E86" s="41" t="s">
        <v>103</v>
      </c>
      <c r="F86" s="41" t="s">
        <v>77</v>
      </c>
      <c r="G86" s="42" t="n">
        <v>48.91</v>
      </c>
      <c r="H86" s="41" t="n">
        <v>5</v>
      </c>
      <c r="I86" s="42" t="n">
        <v>12.2275</v>
      </c>
      <c r="J86" s="42" t="n">
        <v>256.7775</v>
      </c>
      <c r="K86" s="43" t="n">
        <v>43533</v>
      </c>
      <c r="L86" s="44" t="n">
        <v>0.428472222222222</v>
      </c>
      <c r="M86" s="41" t="s">
        <v>97</v>
      </c>
      <c r="N86" s="42" t="n">
        <v>244.55</v>
      </c>
      <c r="O86" s="42" t="n">
        <v>12.2275</v>
      </c>
      <c r="P86" s="45" t="n">
        <v>6.6</v>
      </c>
      <c r="Q86" s="41" t="str">
        <f aca="false">CHOOSE(MONTH(K86),"Jan","Feb","Mar","Apr","May","Jun","Jul","Aug","Sep","Oct","Nov","Dec")</f>
        <v>Mar</v>
      </c>
      <c r="R86" s="41" t="n">
        <f aca="false">INT((K86-setMinDate)/7)+1</f>
        <v>10</v>
      </c>
      <c r="S86" s="41" t="n">
        <f aca="false">HOUR(L86)</f>
        <v>10</v>
      </c>
      <c r="T86" s="41" t="str">
        <f aca="false">IF(S86&lt;setMorningEnd,"Morning",IF(S86&lt;setAfternoonEnd,"Afternoon","Evening"))</f>
        <v>Morning</v>
      </c>
      <c r="U86" s="41" t="str">
        <f aca="false">IF(J86&gt;=setLarge,"Large",IF(J86&gt;=setMedium,"Medium","Small"))</f>
        <v>Medium</v>
      </c>
      <c r="V86" s="41" t="str">
        <f aca="false">IF(P86&gt;=setExc,"Excellent",IF(P86&gt;=setGood,"Good",IF(P86&gt;=setAvg,"Average","Poor")))</f>
        <v>Average</v>
      </c>
    </row>
    <row r="87" customFormat="false" ht="15" hidden="false" customHeight="false" outlineLevel="0" collapsed="false">
      <c r="A87" s="41" t="s">
        <v>265</v>
      </c>
      <c r="B87" s="41" t="s">
        <v>180</v>
      </c>
      <c r="C87" s="41" t="s">
        <v>87</v>
      </c>
      <c r="D87" s="41" t="s">
        <v>105</v>
      </c>
      <c r="E87" s="41" t="s">
        <v>102</v>
      </c>
      <c r="F87" s="41" t="s">
        <v>77</v>
      </c>
      <c r="G87" s="42" t="n">
        <v>83.06</v>
      </c>
      <c r="H87" s="41" t="n">
        <v>7</v>
      </c>
      <c r="I87" s="42" t="n">
        <v>29.071</v>
      </c>
      <c r="J87" s="42" t="n">
        <v>610.491</v>
      </c>
      <c r="K87" s="43" t="n">
        <v>43529</v>
      </c>
      <c r="L87" s="44" t="n">
        <v>0.604861111111111</v>
      </c>
      <c r="M87" s="41" t="s">
        <v>98</v>
      </c>
      <c r="N87" s="42" t="n">
        <v>581.42</v>
      </c>
      <c r="O87" s="42" t="n">
        <v>29.071</v>
      </c>
      <c r="P87" s="45" t="n">
        <v>4</v>
      </c>
      <c r="Q87" s="41" t="str">
        <f aca="false">CHOOSE(MONTH(K87),"Jan","Feb","Mar","Apr","May","Jun","Jul","Aug","Sep","Oct","Nov","Dec")</f>
        <v>Mar</v>
      </c>
      <c r="R87" s="41" t="n">
        <f aca="false">INT((K87-setMinDate)/7)+1</f>
        <v>10</v>
      </c>
      <c r="S87" s="41" t="n">
        <f aca="false">HOUR(L87)</f>
        <v>14</v>
      </c>
      <c r="T87" s="41" t="str">
        <f aca="false">IF(S87&lt;setMorningEnd,"Morning",IF(S87&lt;setAfternoonEnd,"Afternoon","Evening"))</f>
        <v>Afternoon</v>
      </c>
      <c r="U87" s="41" t="str">
        <f aca="false">IF(J87&gt;=setLarge,"Large",IF(J87&gt;=setMedium,"Medium","Small"))</f>
        <v>Large</v>
      </c>
      <c r="V87" s="41" t="str">
        <f aca="false">IF(P87&gt;=setExc,"Excellent",IF(P87&gt;=setGood,"Good",IF(P87&gt;=setAvg,"Average","Poor")))</f>
        <v>Poor</v>
      </c>
    </row>
    <row r="88" customFormat="false" ht="15" hidden="false" customHeight="false" outlineLevel="0" collapsed="false">
      <c r="A88" s="41" t="s">
        <v>266</v>
      </c>
      <c r="B88" s="41" t="s">
        <v>180</v>
      </c>
      <c r="C88" s="41" t="s">
        <v>87</v>
      </c>
      <c r="D88" s="41" t="s">
        <v>105</v>
      </c>
      <c r="E88" s="41" t="s">
        <v>103</v>
      </c>
      <c r="F88" s="41" t="s">
        <v>79</v>
      </c>
      <c r="G88" s="42" t="n">
        <v>76.52</v>
      </c>
      <c r="H88" s="41" t="n">
        <v>5</v>
      </c>
      <c r="I88" s="42" t="n">
        <v>19.13</v>
      </c>
      <c r="J88" s="42" t="n">
        <v>401.73</v>
      </c>
      <c r="K88" s="43" t="n">
        <v>43549</v>
      </c>
      <c r="L88" s="44" t="n">
        <v>0.432638888888889</v>
      </c>
      <c r="M88" s="41" t="s">
        <v>97</v>
      </c>
      <c r="N88" s="42" t="n">
        <v>382.6</v>
      </c>
      <c r="O88" s="42" t="n">
        <v>19.13</v>
      </c>
      <c r="P88" s="45" t="n">
        <v>9.9</v>
      </c>
      <c r="Q88" s="41" t="str">
        <f aca="false">CHOOSE(MONTH(K88),"Jan","Feb","Mar","Apr","May","Jun","Jul","Aug","Sep","Oct","Nov","Dec")</f>
        <v>Mar</v>
      </c>
      <c r="R88" s="41" t="n">
        <f aca="false">INT((K88-setMinDate)/7)+1</f>
        <v>12</v>
      </c>
      <c r="S88" s="41" t="n">
        <f aca="false">HOUR(L88)</f>
        <v>10</v>
      </c>
      <c r="T88" s="41" t="str">
        <f aca="false">IF(S88&lt;setMorningEnd,"Morning",IF(S88&lt;setAfternoonEnd,"Afternoon","Evening"))</f>
        <v>Morning</v>
      </c>
      <c r="U88" s="41" t="str">
        <f aca="false">IF(J88&gt;=setLarge,"Large",IF(J88&gt;=setMedium,"Medium","Small"))</f>
        <v>Medium</v>
      </c>
      <c r="V88" s="41" t="str">
        <f aca="false">IF(P88&gt;=setExc,"Excellent",IF(P88&gt;=setGood,"Good",IF(P88&gt;=setAvg,"Average","Poor")))</f>
        <v>Excellent</v>
      </c>
    </row>
    <row r="89" customFormat="false" ht="15" hidden="false" customHeight="false" outlineLevel="0" collapsed="false">
      <c r="A89" s="41" t="s">
        <v>267</v>
      </c>
      <c r="B89" s="41" t="s">
        <v>178</v>
      </c>
      <c r="C89" s="41" t="s">
        <v>85</v>
      </c>
      <c r="D89" s="41" t="s">
        <v>104</v>
      </c>
      <c r="E89" s="41" t="s">
        <v>103</v>
      </c>
      <c r="F89" s="41" t="s">
        <v>76</v>
      </c>
      <c r="G89" s="42" t="n">
        <v>49.38</v>
      </c>
      <c r="H89" s="41" t="n">
        <v>7</v>
      </c>
      <c r="I89" s="42" t="n">
        <v>17.283</v>
      </c>
      <c r="J89" s="42" t="n">
        <v>362.943</v>
      </c>
      <c r="K89" s="43" t="n">
        <v>43551</v>
      </c>
      <c r="L89" s="44" t="n">
        <v>0.857638888888889</v>
      </c>
      <c r="M89" s="41" t="s">
        <v>99</v>
      </c>
      <c r="N89" s="42" t="n">
        <v>345.66</v>
      </c>
      <c r="O89" s="42" t="n">
        <v>17.283</v>
      </c>
      <c r="P89" s="45" t="n">
        <v>7.3</v>
      </c>
      <c r="Q89" s="41" t="str">
        <f aca="false">CHOOSE(MONTH(K89),"Jan","Feb","Mar","Apr","May","Jun","Jul","Aug","Sep","Oct","Nov","Dec")</f>
        <v>Mar</v>
      </c>
      <c r="R89" s="41" t="n">
        <f aca="false">INT((K89-setMinDate)/7)+1</f>
        <v>13</v>
      </c>
      <c r="S89" s="41" t="n">
        <f aca="false">HOUR(L89)</f>
        <v>20</v>
      </c>
      <c r="T89" s="41" t="str">
        <f aca="false">IF(S89&lt;setMorningEnd,"Morning",IF(S89&lt;setAfternoonEnd,"Afternoon","Evening"))</f>
        <v>Evening</v>
      </c>
      <c r="U89" s="41" t="str">
        <f aca="false">IF(J89&gt;=setLarge,"Large",IF(J89&gt;=setMedium,"Medium","Small"))</f>
        <v>Medium</v>
      </c>
      <c r="V89" s="41" t="str">
        <f aca="false">IF(P89&gt;=setExc,"Excellent",IF(P89&gt;=setGood,"Good",IF(P89&gt;=setAvg,"Average","Poor")))</f>
        <v>Good</v>
      </c>
    </row>
    <row r="90" customFormat="false" ht="15" hidden="false" customHeight="false" outlineLevel="0" collapsed="false">
      <c r="A90" s="41" t="s">
        <v>268</v>
      </c>
      <c r="B90" s="41" t="s">
        <v>178</v>
      </c>
      <c r="C90" s="41" t="s">
        <v>85</v>
      </c>
      <c r="D90" s="41" t="s">
        <v>105</v>
      </c>
      <c r="E90" s="41" t="s">
        <v>103</v>
      </c>
      <c r="F90" s="41" t="s">
        <v>77</v>
      </c>
      <c r="G90" s="42" t="n">
        <v>42.47</v>
      </c>
      <c r="H90" s="41" t="n">
        <v>1</v>
      </c>
      <c r="I90" s="42" t="n">
        <v>2.1235</v>
      </c>
      <c r="J90" s="42" t="n">
        <v>44.5935</v>
      </c>
      <c r="K90" s="43" t="n">
        <v>43467</v>
      </c>
      <c r="L90" s="44" t="n">
        <v>0.70625</v>
      </c>
      <c r="M90" s="41" t="s">
        <v>97</v>
      </c>
      <c r="N90" s="42" t="n">
        <v>42.47</v>
      </c>
      <c r="O90" s="42" t="n">
        <v>2.1235</v>
      </c>
      <c r="P90" s="45" t="n">
        <v>5.7</v>
      </c>
      <c r="Q90" s="41" t="str">
        <f aca="false">CHOOSE(MONTH(K90),"Jan","Feb","Mar","Apr","May","Jun","Jul","Aug","Sep","Oct","Nov","Dec")</f>
        <v>Jan</v>
      </c>
      <c r="R90" s="41" t="n">
        <f aca="false">INT((K90-setMinDate)/7)+1</f>
        <v>1</v>
      </c>
      <c r="S90" s="41" t="n">
        <f aca="false">HOUR(L90)</f>
        <v>16</v>
      </c>
      <c r="T90" s="41" t="str">
        <f aca="false">IF(S90&lt;setMorningEnd,"Morning",IF(S90&lt;setAfternoonEnd,"Afternoon","Evening"))</f>
        <v>Afternoon</v>
      </c>
      <c r="U90" s="41" t="str">
        <f aca="false">IF(J90&gt;=setLarge,"Large",IF(J90&gt;=setMedium,"Medium","Small"))</f>
        <v>Small</v>
      </c>
      <c r="V90" s="41" t="str">
        <f aca="false">IF(P90&gt;=setExc,"Excellent",IF(P90&gt;=setGood,"Good",IF(P90&gt;=setAvg,"Average","Poor")))</f>
        <v>Average</v>
      </c>
    </row>
    <row r="91" customFormat="false" ht="15" hidden="false" customHeight="false" outlineLevel="0" collapsed="false">
      <c r="A91" s="41" t="s">
        <v>269</v>
      </c>
      <c r="B91" s="41" t="s">
        <v>189</v>
      </c>
      <c r="C91" s="41" t="s">
        <v>86</v>
      </c>
      <c r="D91" s="41" t="s">
        <v>105</v>
      </c>
      <c r="E91" s="41" t="s">
        <v>102</v>
      </c>
      <c r="F91" s="41" t="s">
        <v>81</v>
      </c>
      <c r="G91" s="42" t="n">
        <v>76.99</v>
      </c>
      <c r="H91" s="41" t="n">
        <v>6</v>
      </c>
      <c r="I91" s="42" t="n">
        <v>23.097</v>
      </c>
      <c r="J91" s="42" t="n">
        <v>485.037</v>
      </c>
      <c r="K91" s="43" t="n">
        <v>43523</v>
      </c>
      <c r="L91" s="44" t="n">
        <v>0.746527777777778</v>
      </c>
      <c r="M91" s="41" t="s">
        <v>97</v>
      </c>
      <c r="N91" s="42" t="n">
        <v>461.94</v>
      </c>
      <c r="O91" s="42" t="n">
        <v>23.097</v>
      </c>
      <c r="P91" s="45" t="n">
        <v>6.1</v>
      </c>
      <c r="Q91" s="41" t="str">
        <f aca="false">CHOOSE(MONTH(K91),"Jan","Feb","Mar","Apr","May","Jun","Jul","Aug","Sep","Oct","Nov","Dec")</f>
        <v>Feb</v>
      </c>
      <c r="R91" s="41" t="n">
        <f aca="false">INT((K91-setMinDate)/7)+1</f>
        <v>9</v>
      </c>
      <c r="S91" s="41" t="n">
        <f aca="false">HOUR(L91)</f>
        <v>17</v>
      </c>
      <c r="T91" s="41" t="str">
        <f aca="false">IF(S91&lt;setMorningEnd,"Morning",IF(S91&lt;setAfternoonEnd,"Afternoon","Evening"))</f>
        <v>Evening</v>
      </c>
      <c r="U91" s="41" t="str">
        <f aca="false">IF(J91&gt;=setLarge,"Large",IF(J91&gt;=setMedium,"Medium","Small"))</f>
        <v>Medium</v>
      </c>
      <c r="V91" s="41" t="str">
        <f aca="false">IF(P91&gt;=setExc,"Excellent",IF(P91&gt;=setGood,"Good",IF(P91&gt;=setAvg,"Average","Poor")))</f>
        <v>Average</v>
      </c>
    </row>
    <row r="92" customFormat="false" ht="15" hidden="false" customHeight="false" outlineLevel="0" collapsed="false">
      <c r="A92" s="41" t="s">
        <v>270</v>
      </c>
      <c r="B92" s="41" t="s">
        <v>180</v>
      </c>
      <c r="C92" s="41" t="s">
        <v>87</v>
      </c>
      <c r="D92" s="41" t="s">
        <v>104</v>
      </c>
      <c r="E92" s="41" t="s">
        <v>102</v>
      </c>
      <c r="F92" s="41" t="s">
        <v>80</v>
      </c>
      <c r="G92" s="42" t="n">
        <v>47.38</v>
      </c>
      <c r="H92" s="41" t="n">
        <v>4</v>
      </c>
      <c r="I92" s="42" t="n">
        <v>9.476</v>
      </c>
      <c r="J92" s="42" t="n">
        <v>198.996</v>
      </c>
      <c r="K92" s="43" t="n">
        <v>43488</v>
      </c>
      <c r="L92" s="44" t="n">
        <v>0.434027777777778</v>
      </c>
      <c r="M92" s="41" t="s">
        <v>97</v>
      </c>
      <c r="N92" s="42" t="n">
        <v>189.52</v>
      </c>
      <c r="O92" s="42" t="n">
        <v>9.476</v>
      </c>
      <c r="P92" s="45" t="n">
        <v>7.1</v>
      </c>
      <c r="Q92" s="41" t="str">
        <f aca="false">CHOOSE(MONTH(K92),"Jan","Feb","Mar","Apr","May","Jun","Jul","Aug","Sep","Oct","Nov","Dec")</f>
        <v>Jan</v>
      </c>
      <c r="R92" s="41" t="n">
        <f aca="false">INT((K92-setMinDate)/7)+1</f>
        <v>4</v>
      </c>
      <c r="S92" s="41" t="n">
        <f aca="false">HOUR(L92)</f>
        <v>10</v>
      </c>
      <c r="T92" s="41" t="str">
        <f aca="false">IF(S92&lt;setMorningEnd,"Morning",IF(S92&lt;setAfternoonEnd,"Afternoon","Evening"))</f>
        <v>Morning</v>
      </c>
      <c r="U92" s="41" t="str">
        <f aca="false">IF(J92&gt;=setLarge,"Large",IF(J92&gt;=setMedium,"Medium","Small"))</f>
        <v>Small</v>
      </c>
      <c r="V92" s="41" t="str">
        <f aca="false">IF(P92&gt;=setExc,"Excellent",IF(P92&gt;=setGood,"Good",IF(P92&gt;=setAvg,"Average","Poor")))</f>
        <v>Good</v>
      </c>
    </row>
    <row r="93" customFormat="false" ht="15" hidden="false" customHeight="false" outlineLevel="0" collapsed="false">
      <c r="A93" s="41" t="s">
        <v>271</v>
      </c>
      <c r="B93" s="41" t="s">
        <v>180</v>
      </c>
      <c r="C93" s="41" t="s">
        <v>87</v>
      </c>
      <c r="D93" s="41" t="s">
        <v>105</v>
      </c>
      <c r="E93" s="41" t="s">
        <v>102</v>
      </c>
      <c r="F93" s="41" t="s">
        <v>77</v>
      </c>
      <c r="G93" s="42" t="n">
        <v>44.86</v>
      </c>
      <c r="H93" s="41" t="n">
        <v>10</v>
      </c>
      <c r="I93" s="42" t="n">
        <v>22.43</v>
      </c>
      <c r="J93" s="42" t="n">
        <v>471.03</v>
      </c>
      <c r="K93" s="43" t="n">
        <v>43491</v>
      </c>
      <c r="L93" s="44" t="n">
        <v>0.829166666666667</v>
      </c>
      <c r="M93" s="41" t="s">
        <v>98</v>
      </c>
      <c r="N93" s="42" t="n">
        <v>448.6</v>
      </c>
      <c r="O93" s="42" t="n">
        <v>22.43</v>
      </c>
      <c r="P93" s="45" t="n">
        <v>8.2</v>
      </c>
      <c r="Q93" s="41" t="str">
        <f aca="false">CHOOSE(MONTH(K93),"Jan","Feb","Mar","Apr","May","Jun","Jul","Aug","Sep","Oct","Nov","Dec")</f>
        <v>Jan</v>
      </c>
      <c r="R93" s="41" t="n">
        <f aca="false">INT((K93-setMinDate)/7)+1</f>
        <v>4</v>
      </c>
      <c r="S93" s="41" t="n">
        <f aca="false">HOUR(L93)</f>
        <v>19</v>
      </c>
      <c r="T93" s="41" t="str">
        <f aca="false">IF(S93&lt;setMorningEnd,"Morning",IF(S93&lt;setAfternoonEnd,"Afternoon","Evening"))</f>
        <v>Evening</v>
      </c>
      <c r="U93" s="41" t="str">
        <f aca="false">IF(J93&gt;=setLarge,"Large",IF(J93&gt;=setMedium,"Medium","Small"))</f>
        <v>Medium</v>
      </c>
      <c r="V93" s="41" t="str">
        <f aca="false">IF(P93&gt;=setExc,"Excellent",IF(P93&gt;=setGood,"Good",IF(P93&gt;=setAvg,"Average","Poor")))</f>
        <v>Good</v>
      </c>
    </row>
    <row r="94" customFormat="false" ht="15" hidden="false" customHeight="false" outlineLevel="0" collapsed="false">
      <c r="A94" s="41" t="s">
        <v>272</v>
      </c>
      <c r="B94" s="41" t="s">
        <v>178</v>
      </c>
      <c r="C94" s="41" t="s">
        <v>85</v>
      </c>
      <c r="D94" s="41" t="s">
        <v>104</v>
      </c>
      <c r="E94" s="41" t="s">
        <v>102</v>
      </c>
      <c r="F94" s="41" t="s">
        <v>77</v>
      </c>
      <c r="G94" s="42" t="n">
        <v>21.98</v>
      </c>
      <c r="H94" s="41" t="n">
        <v>7</v>
      </c>
      <c r="I94" s="42" t="n">
        <v>7.693</v>
      </c>
      <c r="J94" s="42" t="n">
        <v>161.553</v>
      </c>
      <c r="K94" s="43" t="n">
        <v>43475</v>
      </c>
      <c r="L94" s="44" t="n">
        <v>0.695833333333333</v>
      </c>
      <c r="M94" s="41" t="s">
        <v>98</v>
      </c>
      <c r="N94" s="42" t="n">
        <v>153.86</v>
      </c>
      <c r="O94" s="42" t="n">
        <v>7.693</v>
      </c>
      <c r="P94" s="45" t="n">
        <v>5.1</v>
      </c>
      <c r="Q94" s="41" t="str">
        <f aca="false">CHOOSE(MONTH(K94),"Jan","Feb","Mar","Apr","May","Jun","Jul","Aug","Sep","Oct","Nov","Dec")</f>
        <v>Jan</v>
      </c>
      <c r="R94" s="41" t="n">
        <f aca="false">INT((K94-setMinDate)/7)+1</f>
        <v>2</v>
      </c>
      <c r="S94" s="41" t="n">
        <f aca="false">HOUR(L94)</f>
        <v>16</v>
      </c>
      <c r="T94" s="41" t="str">
        <f aca="false">IF(S94&lt;setMorningEnd,"Morning",IF(S94&lt;setAfternoonEnd,"Afternoon","Evening"))</f>
        <v>Afternoon</v>
      </c>
      <c r="U94" s="41" t="str">
        <f aca="false">IF(J94&gt;=setLarge,"Large",IF(J94&gt;=setMedium,"Medium","Small"))</f>
        <v>Small</v>
      </c>
      <c r="V94" s="41" t="str">
        <f aca="false">IF(P94&gt;=setExc,"Excellent",IF(P94&gt;=setGood,"Good",IF(P94&gt;=setAvg,"Average","Poor")))</f>
        <v>Average</v>
      </c>
    </row>
    <row r="95" customFormat="false" ht="15" hidden="false" customHeight="false" outlineLevel="0" collapsed="false">
      <c r="A95" s="41" t="s">
        <v>273</v>
      </c>
      <c r="B95" s="41" t="s">
        <v>189</v>
      </c>
      <c r="C95" s="41" t="s">
        <v>86</v>
      </c>
      <c r="D95" s="41" t="s">
        <v>104</v>
      </c>
      <c r="E95" s="41" t="s">
        <v>103</v>
      </c>
      <c r="F95" s="41" t="s">
        <v>81</v>
      </c>
      <c r="G95" s="42" t="n">
        <v>64.36</v>
      </c>
      <c r="H95" s="41" t="n">
        <v>9</v>
      </c>
      <c r="I95" s="42" t="n">
        <v>28.962</v>
      </c>
      <c r="J95" s="42" t="n">
        <v>608.202</v>
      </c>
      <c r="K95" s="43" t="n">
        <v>43536</v>
      </c>
      <c r="L95" s="44" t="n">
        <v>0.50625</v>
      </c>
      <c r="M95" s="41" t="s">
        <v>99</v>
      </c>
      <c r="N95" s="42" t="n">
        <v>579.24</v>
      </c>
      <c r="O95" s="42" t="n">
        <v>28.962</v>
      </c>
      <c r="P95" s="45" t="n">
        <v>8.6</v>
      </c>
      <c r="Q95" s="41" t="str">
        <f aca="false">CHOOSE(MONTH(K95),"Jan","Feb","Mar","Apr","May","Jun","Jul","Aug","Sep","Oct","Nov","Dec")</f>
        <v>Mar</v>
      </c>
      <c r="R95" s="41" t="n">
        <f aca="false">INT((K95-setMinDate)/7)+1</f>
        <v>11</v>
      </c>
      <c r="S95" s="41" t="n">
        <f aca="false">HOUR(L95)</f>
        <v>12</v>
      </c>
      <c r="T95" s="41" t="str">
        <f aca="false">IF(S95&lt;setMorningEnd,"Morning",IF(S95&lt;setAfternoonEnd,"Afternoon","Evening"))</f>
        <v>Afternoon</v>
      </c>
      <c r="U95" s="41" t="str">
        <f aca="false">IF(J95&gt;=setLarge,"Large",IF(J95&gt;=setMedium,"Medium","Small"))</f>
        <v>Large</v>
      </c>
      <c r="V95" s="41" t="str">
        <f aca="false">IF(P95&gt;=setExc,"Excellent",IF(P95&gt;=setGood,"Good",IF(P95&gt;=setAvg,"Average","Poor")))</f>
        <v>Good</v>
      </c>
    </row>
    <row r="96" customFormat="false" ht="15" hidden="false" customHeight="false" outlineLevel="0" collapsed="false">
      <c r="A96" s="41" t="s">
        <v>274</v>
      </c>
      <c r="B96" s="41" t="s">
        <v>180</v>
      </c>
      <c r="C96" s="41" t="s">
        <v>87</v>
      </c>
      <c r="D96" s="41" t="s">
        <v>105</v>
      </c>
      <c r="E96" s="41" t="s">
        <v>103</v>
      </c>
      <c r="F96" s="41" t="s">
        <v>81</v>
      </c>
      <c r="G96" s="42" t="n">
        <v>89.75</v>
      </c>
      <c r="H96" s="41" t="n">
        <v>1</v>
      </c>
      <c r="I96" s="42" t="n">
        <v>4.4875</v>
      </c>
      <c r="J96" s="42" t="n">
        <v>94.2375</v>
      </c>
      <c r="K96" s="43" t="n">
        <v>43502</v>
      </c>
      <c r="L96" s="44" t="n">
        <v>0.836805555555556</v>
      </c>
      <c r="M96" s="41" t="s">
        <v>99</v>
      </c>
      <c r="N96" s="42" t="n">
        <v>89.75</v>
      </c>
      <c r="O96" s="42" t="n">
        <v>4.4875</v>
      </c>
      <c r="P96" s="45" t="n">
        <v>6.6</v>
      </c>
      <c r="Q96" s="41" t="str">
        <f aca="false">CHOOSE(MONTH(K96),"Jan","Feb","Mar","Apr","May","Jun","Jul","Aug","Sep","Oct","Nov","Dec")</f>
        <v>Feb</v>
      </c>
      <c r="R96" s="41" t="n">
        <f aca="false">INT((K96-setMinDate)/7)+1</f>
        <v>6</v>
      </c>
      <c r="S96" s="41" t="n">
        <f aca="false">HOUR(L96)</f>
        <v>20</v>
      </c>
      <c r="T96" s="41" t="str">
        <f aca="false">IF(S96&lt;setMorningEnd,"Morning",IF(S96&lt;setAfternoonEnd,"Afternoon","Evening"))</f>
        <v>Evening</v>
      </c>
      <c r="U96" s="41" t="str">
        <f aca="false">IF(J96&gt;=setLarge,"Large",IF(J96&gt;=setMedium,"Medium","Small"))</f>
        <v>Small</v>
      </c>
      <c r="V96" s="41" t="str">
        <f aca="false">IF(P96&gt;=setExc,"Excellent",IF(P96&gt;=setGood,"Good",IF(P96&gt;=setAvg,"Average","Poor")))</f>
        <v>Average</v>
      </c>
    </row>
    <row r="97" customFormat="false" ht="15" hidden="false" customHeight="false" outlineLevel="0" collapsed="false">
      <c r="A97" s="41" t="s">
        <v>275</v>
      </c>
      <c r="B97" s="41" t="s">
        <v>178</v>
      </c>
      <c r="C97" s="41" t="s">
        <v>85</v>
      </c>
      <c r="D97" s="41" t="s">
        <v>105</v>
      </c>
      <c r="E97" s="41" t="s">
        <v>103</v>
      </c>
      <c r="F97" s="41" t="s">
        <v>78</v>
      </c>
      <c r="G97" s="42" t="n">
        <v>97.16</v>
      </c>
      <c r="H97" s="41" t="n">
        <v>1</v>
      </c>
      <c r="I97" s="42" t="n">
        <v>4.858</v>
      </c>
      <c r="J97" s="42" t="n">
        <v>102.018</v>
      </c>
      <c r="K97" s="43" t="n">
        <v>43532</v>
      </c>
      <c r="L97" s="44" t="n">
        <v>0.859722222222222</v>
      </c>
      <c r="M97" s="41" t="s">
        <v>98</v>
      </c>
      <c r="N97" s="42" t="n">
        <v>97.16</v>
      </c>
      <c r="O97" s="42" t="n">
        <v>4.858</v>
      </c>
      <c r="P97" s="45" t="n">
        <v>7.2</v>
      </c>
      <c r="Q97" s="41" t="str">
        <f aca="false">CHOOSE(MONTH(K97),"Jan","Feb","Mar","Apr","May","Jun","Jul","Aug","Sep","Oct","Nov","Dec")</f>
        <v>Mar</v>
      </c>
      <c r="R97" s="41" t="n">
        <f aca="false">INT((K97-setMinDate)/7)+1</f>
        <v>10</v>
      </c>
      <c r="S97" s="41" t="n">
        <f aca="false">HOUR(L97)</f>
        <v>20</v>
      </c>
      <c r="T97" s="41" t="str">
        <f aca="false">IF(S97&lt;setMorningEnd,"Morning",IF(S97&lt;setAfternoonEnd,"Afternoon","Evening"))</f>
        <v>Evening</v>
      </c>
      <c r="U97" s="41" t="str">
        <f aca="false">IF(J97&gt;=setLarge,"Large",IF(J97&gt;=setMedium,"Medium","Small"))</f>
        <v>Small</v>
      </c>
      <c r="V97" s="41" t="str">
        <f aca="false">IF(P97&gt;=setExc,"Excellent",IF(P97&gt;=setGood,"Good",IF(P97&gt;=setAvg,"Average","Poor")))</f>
        <v>Good</v>
      </c>
    </row>
    <row r="98" customFormat="false" ht="15" hidden="false" customHeight="false" outlineLevel="0" collapsed="false">
      <c r="A98" s="41" t="s">
        <v>276</v>
      </c>
      <c r="B98" s="41" t="s">
        <v>189</v>
      </c>
      <c r="C98" s="41" t="s">
        <v>86</v>
      </c>
      <c r="D98" s="41" t="s">
        <v>105</v>
      </c>
      <c r="E98" s="41" t="s">
        <v>103</v>
      </c>
      <c r="F98" s="41" t="s">
        <v>81</v>
      </c>
      <c r="G98" s="42" t="n">
        <v>87.87</v>
      </c>
      <c r="H98" s="41" t="n">
        <v>10</v>
      </c>
      <c r="I98" s="42" t="n">
        <v>43.935</v>
      </c>
      <c r="J98" s="42" t="n">
        <v>922.635</v>
      </c>
      <c r="K98" s="43" t="n">
        <v>43553</v>
      </c>
      <c r="L98" s="44" t="n">
        <v>0.434027777777778</v>
      </c>
      <c r="M98" s="41" t="s">
        <v>98</v>
      </c>
      <c r="N98" s="42" t="n">
        <v>878.7</v>
      </c>
      <c r="O98" s="42" t="n">
        <v>43.935</v>
      </c>
      <c r="P98" s="45" t="n">
        <v>5.1</v>
      </c>
      <c r="Q98" s="41" t="str">
        <f aca="false">CHOOSE(MONTH(K98),"Jan","Feb","Mar","Apr","May","Jun","Jul","Aug","Sep","Oct","Nov","Dec")</f>
        <v>Mar</v>
      </c>
      <c r="R98" s="41" t="n">
        <f aca="false">INT((K98-setMinDate)/7)+1</f>
        <v>13</v>
      </c>
      <c r="S98" s="41" t="n">
        <f aca="false">HOUR(L98)</f>
        <v>10</v>
      </c>
      <c r="T98" s="41" t="str">
        <f aca="false">IF(S98&lt;setMorningEnd,"Morning",IF(S98&lt;setAfternoonEnd,"Afternoon","Evening"))</f>
        <v>Morning</v>
      </c>
      <c r="U98" s="41" t="str">
        <f aca="false">IF(J98&gt;=setLarge,"Large",IF(J98&gt;=setMedium,"Medium","Small"))</f>
        <v>Large</v>
      </c>
      <c r="V98" s="41" t="str">
        <f aca="false">IF(P98&gt;=setExc,"Excellent",IF(P98&gt;=setGood,"Good",IF(P98&gt;=setAvg,"Average","Poor")))</f>
        <v>Average</v>
      </c>
    </row>
    <row r="99" customFormat="false" ht="15" hidden="false" customHeight="false" outlineLevel="0" collapsed="false">
      <c r="A99" s="41" t="s">
        <v>277</v>
      </c>
      <c r="B99" s="41" t="s">
        <v>180</v>
      </c>
      <c r="C99" s="41" t="s">
        <v>87</v>
      </c>
      <c r="D99" s="41" t="s">
        <v>105</v>
      </c>
      <c r="E99" s="41" t="s">
        <v>102</v>
      </c>
      <c r="F99" s="41" t="s">
        <v>78</v>
      </c>
      <c r="G99" s="42" t="n">
        <v>12.45</v>
      </c>
      <c r="H99" s="41" t="n">
        <v>6</v>
      </c>
      <c r="I99" s="42" t="n">
        <v>3.735</v>
      </c>
      <c r="J99" s="42" t="n">
        <v>78.435</v>
      </c>
      <c r="K99" s="43" t="n">
        <v>43505</v>
      </c>
      <c r="L99" s="44" t="n">
        <v>0.549305555555556</v>
      </c>
      <c r="M99" s="41" t="s">
        <v>97</v>
      </c>
      <c r="N99" s="42" t="n">
        <v>74.7</v>
      </c>
      <c r="O99" s="42" t="n">
        <v>3.735</v>
      </c>
      <c r="P99" s="45" t="n">
        <v>4.1</v>
      </c>
      <c r="Q99" s="41" t="str">
        <f aca="false">CHOOSE(MONTH(K99),"Jan","Feb","Mar","Apr","May","Jun","Jul","Aug","Sep","Oct","Nov","Dec")</f>
        <v>Feb</v>
      </c>
      <c r="R99" s="41" t="n">
        <f aca="false">INT((K99-setMinDate)/7)+1</f>
        <v>6</v>
      </c>
      <c r="S99" s="41" t="n">
        <f aca="false">HOUR(L99)</f>
        <v>13</v>
      </c>
      <c r="T99" s="41" t="str">
        <f aca="false">IF(S99&lt;setMorningEnd,"Morning",IF(S99&lt;setAfternoonEnd,"Afternoon","Evening"))</f>
        <v>Afternoon</v>
      </c>
      <c r="U99" s="41" t="str">
        <f aca="false">IF(J99&gt;=setLarge,"Large",IF(J99&gt;=setMedium,"Medium","Small"))</f>
        <v>Small</v>
      </c>
      <c r="V99" s="41" t="str">
        <f aca="false">IF(P99&gt;=setExc,"Excellent",IF(P99&gt;=setGood,"Good",IF(P99&gt;=setAvg,"Average","Poor")))</f>
        <v>Poor</v>
      </c>
    </row>
    <row r="100" customFormat="false" ht="15" hidden="false" customHeight="false" outlineLevel="0" collapsed="false">
      <c r="A100" s="41" t="s">
        <v>278</v>
      </c>
      <c r="B100" s="41" t="s">
        <v>178</v>
      </c>
      <c r="C100" s="41" t="s">
        <v>85</v>
      </c>
      <c r="D100" s="41" t="s">
        <v>105</v>
      </c>
      <c r="E100" s="41" t="s">
        <v>103</v>
      </c>
      <c r="F100" s="41" t="s">
        <v>76</v>
      </c>
      <c r="G100" s="42" t="n">
        <v>52.75</v>
      </c>
      <c r="H100" s="41" t="n">
        <v>3</v>
      </c>
      <c r="I100" s="42" t="n">
        <v>7.9125</v>
      </c>
      <c r="J100" s="42" t="n">
        <v>166.1625</v>
      </c>
      <c r="K100" s="43" t="n">
        <v>43547</v>
      </c>
      <c r="L100" s="44" t="n">
        <v>0.427777777777778</v>
      </c>
      <c r="M100" s="41" t="s">
        <v>98</v>
      </c>
      <c r="N100" s="42" t="n">
        <v>158.25</v>
      </c>
      <c r="O100" s="42" t="n">
        <v>7.9125</v>
      </c>
      <c r="P100" s="45" t="n">
        <v>9.3</v>
      </c>
      <c r="Q100" s="41" t="str">
        <f aca="false">CHOOSE(MONTH(K100),"Jan","Feb","Mar","Apr","May","Jun","Jul","Aug","Sep","Oct","Nov","Dec")</f>
        <v>Mar</v>
      </c>
      <c r="R100" s="41" t="n">
        <f aca="false">INT((K100-setMinDate)/7)+1</f>
        <v>12</v>
      </c>
      <c r="S100" s="41" t="n">
        <f aca="false">HOUR(L100)</f>
        <v>10</v>
      </c>
      <c r="T100" s="41" t="str">
        <f aca="false">IF(S100&lt;setMorningEnd,"Morning",IF(S100&lt;setAfternoonEnd,"Afternoon","Evening"))</f>
        <v>Morning</v>
      </c>
      <c r="U100" s="41" t="str">
        <f aca="false">IF(J100&gt;=setLarge,"Large",IF(J100&gt;=setMedium,"Medium","Small"))</f>
        <v>Small</v>
      </c>
      <c r="V100" s="41" t="str">
        <f aca="false">IF(P100&gt;=setExc,"Excellent",IF(P100&gt;=setGood,"Good",IF(P100&gt;=setAvg,"Average","Poor")))</f>
        <v>Excellent</v>
      </c>
    </row>
    <row r="101" customFormat="false" ht="15" hidden="false" customHeight="false" outlineLevel="0" collapsed="false">
      <c r="A101" s="41" t="s">
        <v>279</v>
      </c>
      <c r="B101" s="41" t="s">
        <v>189</v>
      </c>
      <c r="C101" s="41" t="s">
        <v>86</v>
      </c>
      <c r="D101" s="41" t="s">
        <v>105</v>
      </c>
      <c r="E101" s="41" t="s">
        <v>103</v>
      </c>
      <c r="F101" s="41" t="s">
        <v>80</v>
      </c>
      <c r="G101" s="42" t="n">
        <v>82.7</v>
      </c>
      <c r="H101" s="41" t="n">
        <v>6</v>
      </c>
      <c r="I101" s="42" t="n">
        <v>24.81</v>
      </c>
      <c r="J101" s="42" t="n">
        <v>521.01</v>
      </c>
      <c r="K101" s="43" t="n">
        <v>43529</v>
      </c>
      <c r="L101" s="44" t="n">
        <v>0.759722222222222</v>
      </c>
      <c r="M101" s="41" t="s">
        <v>97</v>
      </c>
      <c r="N101" s="42" t="n">
        <v>496.2</v>
      </c>
      <c r="O101" s="42" t="n">
        <v>24.81</v>
      </c>
      <c r="P101" s="45" t="n">
        <v>7.4</v>
      </c>
      <c r="Q101" s="41" t="str">
        <f aca="false">CHOOSE(MONTH(K101),"Jan","Feb","Mar","Apr","May","Jun","Jul","Aug","Sep","Oct","Nov","Dec")</f>
        <v>Mar</v>
      </c>
      <c r="R101" s="41" t="n">
        <f aca="false">INT((K101-setMinDate)/7)+1</f>
        <v>10</v>
      </c>
      <c r="S101" s="41" t="n">
        <f aca="false">HOUR(L101)</f>
        <v>18</v>
      </c>
      <c r="T101" s="41" t="str">
        <f aca="false">IF(S101&lt;setMorningEnd,"Morning",IF(S101&lt;setAfternoonEnd,"Afternoon","Evening"))</f>
        <v>Evening</v>
      </c>
      <c r="U101" s="41" t="str">
        <f aca="false">IF(J101&gt;=setLarge,"Large",IF(J101&gt;=setMedium,"Medium","Small"))</f>
        <v>Medium</v>
      </c>
      <c r="V101" s="41" t="str">
        <f aca="false">IF(P101&gt;=setExc,"Excellent",IF(P101&gt;=setGood,"Good",IF(P101&gt;=setAvg,"Average","Poor")))</f>
        <v>Good</v>
      </c>
    </row>
    <row r="102" customFormat="false" ht="15" hidden="false" customHeight="false" outlineLevel="0" collapsed="false">
      <c r="A102" s="41" t="s">
        <v>280</v>
      </c>
      <c r="B102" s="41" t="s">
        <v>180</v>
      </c>
      <c r="C102" s="41" t="s">
        <v>87</v>
      </c>
      <c r="D102" s="41" t="s">
        <v>104</v>
      </c>
      <c r="E102" s="41" t="s">
        <v>103</v>
      </c>
      <c r="F102" s="41" t="s">
        <v>79</v>
      </c>
      <c r="G102" s="42" t="n">
        <v>48.71</v>
      </c>
      <c r="H102" s="41" t="n">
        <v>1</v>
      </c>
      <c r="I102" s="42" t="n">
        <v>2.4355</v>
      </c>
      <c r="J102" s="42" t="n">
        <v>51.1455</v>
      </c>
      <c r="K102" s="43" t="n">
        <v>43550</v>
      </c>
      <c r="L102" s="44" t="n">
        <v>0.805555555555556</v>
      </c>
      <c r="M102" s="41" t="s">
        <v>97</v>
      </c>
      <c r="N102" s="42" t="n">
        <v>48.71</v>
      </c>
      <c r="O102" s="42" t="n">
        <v>2.4355</v>
      </c>
      <c r="P102" s="45" t="n">
        <v>4.1</v>
      </c>
      <c r="Q102" s="41" t="str">
        <f aca="false">CHOOSE(MONTH(K102),"Jan","Feb","Mar","Apr","May","Jun","Jul","Aug","Sep","Oct","Nov","Dec")</f>
        <v>Mar</v>
      </c>
      <c r="R102" s="41" t="n">
        <f aca="false">INT((K102-setMinDate)/7)+1</f>
        <v>13</v>
      </c>
      <c r="S102" s="41" t="n">
        <f aca="false">HOUR(L102)</f>
        <v>19</v>
      </c>
      <c r="T102" s="41" t="str">
        <f aca="false">IF(S102&lt;setMorningEnd,"Morning",IF(S102&lt;setAfternoonEnd,"Afternoon","Evening"))</f>
        <v>Evening</v>
      </c>
      <c r="U102" s="41" t="str">
        <f aca="false">IF(J102&gt;=setLarge,"Large",IF(J102&gt;=setMedium,"Medium","Small"))</f>
        <v>Small</v>
      </c>
      <c r="V102" s="41" t="str">
        <f aca="false">IF(P102&gt;=setExc,"Excellent",IF(P102&gt;=setGood,"Good",IF(P102&gt;=setAvg,"Average","Poor")))</f>
        <v>Poor</v>
      </c>
    </row>
    <row r="103" customFormat="false" ht="15" hidden="false" customHeight="false" outlineLevel="0" collapsed="false">
      <c r="A103" s="41" t="s">
        <v>281</v>
      </c>
      <c r="B103" s="41" t="s">
        <v>180</v>
      </c>
      <c r="C103" s="41" t="s">
        <v>87</v>
      </c>
      <c r="D103" s="41" t="s">
        <v>105</v>
      </c>
      <c r="E103" s="41" t="s">
        <v>103</v>
      </c>
      <c r="F103" s="41" t="s">
        <v>79</v>
      </c>
      <c r="G103" s="42" t="n">
        <v>78.55</v>
      </c>
      <c r="H103" s="41" t="n">
        <v>9</v>
      </c>
      <c r="I103" s="42" t="n">
        <v>35.3475</v>
      </c>
      <c r="J103" s="42" t="n">
        <v>742.2975</v>
      </c>
      <c r="K103" s="43" t="n">
        <v>43525</v>
      </c>
      <c r="L103" s="44" t="n">
        <v>0.556944444444445</v>
      </c>
      <c r="M103" s="41" t="s">
        <v>97</v>
      </c>
      <c r="N103" s="42" t="n">
        <v>706.95</v>
      </c>
      <c r="O103" s="42" t="n">
        <v>35.3475</v>
      </c>
      <c r="P103" s="45" t="n">
        <v>7.2</v>
      </c>
      <c r="Q103" s="41" t="str">
        <f aca="false">CHOOSE(MONTH(K103),"Jan","Feb","Mar","Apr","May","Jun","Jul","Aug","Sep","Oct","Nov","Dec")</f>
        <v>Mar</v>
      </c>
      <c r="R103" s="41" t="n">
        <f aca="false">INT((K103-setMinDate)/7)+1</f>
        <v>9</v>
      </c>
      <c r="S103" s="41" t="n">
        <f aca="false">HOUR(L103)</f>
        <v>13</v>
      </c>
      <c r="T103" s="41" t="str">
        <f aca="false">IF(S103&lt;setMorningEnd,"Morning",IF(S103&lt;setAfternoonEnd,"Afternoon","Evening"))</f>
        <v>Afternoon</v>
      </c>
      <c r="U103" s="41" t="str">
        <f aca="false">IF(J103&gt;=setLarge,"Large",IF(J103&gt;=setMedium,"Medium","Small"))</f>
        <v>Large</v>
      </c>
      <c r="V103" s="41" t="str">
        <f aca="false">IF(P103&gt;=setExc,"Excellent",IF(P103&gt;=setGood,"Good",IF(P103&gt;=setAvg,"Average","Poor")))</f>
        <v>Good</v>
      </c>
    </row>
    <row r="104" customFormat="false" ht="15" hidden="false" customHeight="false" outlineLevel="0" collapsed="false">
      <c r="A104" s="41" t="s">
        <v>282</v>
      </c>
      <c r="B104" s="41" t="s">
        <v>180</v>
      </c>
      <c r="C104" s="41" t="s">
        <v>87</v>
      </c>
      <c r="D104" s="41" t="s">
        <v>105</v>
      </c>
      <c r="E104" s="41" t="s">
        <v>102</v>
      </c>
      <c r="F104" s="41" t="s">
        <v>78</v>
      </c>
      <c r="G104" s="42" t="n">
        <v>23.07</v>
      </c>
      <c r="H104" s="41" t="n">
        <v>9</v>
      </c>
      <c r="I104" s="42" t="n">
        <v>10.3815</v>
      </c>
      <c r="J104" s="42" t="n">
        <v>218.0115</v>
      </c>
      <c r="K104" s="43" t="n">
        <v>43497</v>
      </c>
      <c r="L104" s="44" t="n">
        <v>0.477083333333333</v>
      </c>
      <c r="M104" s="41" t="s">
        <v>97</v>
      </c>
      <c r="N104" s="42" t="n">
        <v>207.63</v>
      </c>
      <c r="O104" s="42" t="n">
        <v>10.3815</v>
      </c>
      <c r="P104" s="45" t="n">
        <v>4.9</v>
      </c>
      <c r="Q104" s="41" t="str">
        <f aca="false">CHOOSE(MONTH(K104),"Jan","Feb","Mar","Apr","May","Jun","Jul","Aug","Sep","Oct","Nov","Dec")</f>
        <v>Feb</v>
      </c>
      <c r="R104" s="41" t="n">
        <f aca="false">INT((K104-setMinDate)/7)+1</f>
        <v>5</v>
      </c>
      <c r="S104" s="41" t="n">
        <f aca="false">HOUR(L104)</f>
        <v>11</v>
      </c>
      <c r="T104" s="41" t="str">
        <f aca="false">IF(S104&lt;setMorningEnd,"Morning",IF(S104&lt;setAfternoonEnd,"Afternoon","Evening"))</f>
        <v>Morning</v>
      </c>
      <c r="U104" s="41" t="str">
        <f aca="false">IF(J104&gt;=setLarge,"Large",IF(J104&gt;=setMedium,"Medium","Small"))</f>
        <v>Small</v>
      </c>
      <c r="V104" s="41" t="str">
        <f aca="false">IF(P104&gt;=setExc,"Excellent",IF(P104&gt;=setGood,"Good",IF(P104&gt;=setAvg,"Average","Poor")))</f>
        <v>Poor</v>
      </c>
    </row>
    <row r="105" customFormat="false" ht="15" hidden="false" customHeight="false" outlineLevel="0" collapsed="false">
      <c r="A105" s="41" t="s">
        <v>283</v>
      </c>
      <c r="B105" s="41" t="s">
        <v>178</v>
      </c>
      <c r="C105" s="41" t="s">
        <v>85</v>
      </c>
      <c r="D105" s="41" t="s">
        <v>105</v>
      </c>
      <c r="E105" s="41" t="s">
        <v>103</v>
      </c>
      <c r="F105" s="41" t="s">
        <v>76</v>
      </c>
      <c r="G105" s="42" t="n">
        <v>58.26</v>
      </c>
      <c r="H105" s="41" t="n">
        <v>6</v>
      </c>
      <c r="I105" s="42" t="n">
        <v>17.478</v>
      </c>
      <c r="J105" s="42" t="n">
        <v>367.038</v>
      </c>
      <c r="K105" s="43" t="n">
        <v>43552</v>
      </c>
      <c r="L105" s="44" t="n">
        <v>0.697222222222222</v>
      </c>
      <c r="M105" s="41" t="s">
        <v>97</v>
      </c>
      <c r="N105" s="42" t="n">
        <v>349.56</v>
      </c>
      <c r="O105" s="42" t="n">
        <v>17.478</v>
      </c>
      <c r="P105" s="45" t="n">
        <v>9.9</v>
      </c>
      <c r="Q105" s="41" t="str">
        <f aca="false">CHOOSE(MONTH(K105),"Jan","Feb","Mar","Apr","May","Jun","Jul","Aug","Sep","Oct","Nov","Dec")</f>
        <v>Mar</v>
      </c>
      <c r="R105" s="41" t="n">
        <f aca="false">INT((K105-setMinDate)/7)+1</f>
        <v>13</v>
      </c>
      <c r="S105" s="41" t="n">
        <f aca="false">HOUR(L105)</f>
        <v>16</v>
      </c>
      <c r="T105" s="41" t="str">
        <f aca="false">IF(S105&lt;setMorningEnd,"Morning",IF(S105&lt;setAfternoonEnd,"Afternoon","Evening"))</f>
        <v>Afternoon</v>
      </c>
      <c r="U105" s="41" t="str">
        <f aca="false">IF(J105&gt;=setLarge,"Large",IF(J105&gt;=setMedium,"Medium","Small"))</f>
        <v>Medium</v>
      </c>
      <c r="V105" s="41" t="str">
        <f aca="false">IF(P105&gt;=setExc,"Excellent",IF(P105&gt;=setGood,"Good",IF(P105&gt;=setAvg,"Average","Poor")))</f>
        <v>Excellent</v>
      </c>
    </row>
    <row r="106" customFormat="false" ht="15" hidden="false" customHeight="false" outlineLevel="0" collapsed="false">
      <c r="A106" s="41" t="s">
        <v>284</v>
      </c>
      <c r="B106" s="41" t="s">
        <v>189</v>
      </c>
      <c r="C106" s="41" t="s">
        <v>86</v>
      </c>
      <c r="D106" s="41" t="s">
        <v>105</v>
      </c>
      <c r="E106" s="41" t="s">
        <v>103</v>
      </c>
      <c r="F106" s="41" t="s">
        <v>81</v>
      </c>
      <c r="G106" s="42" t="n">
        <v>30.35</v>
      </c>
      <c r="H106" s="41" t="n">
        <v>7</v>
      </c>
      <c r="I106" s="42" t="n">
        <v>10.6225</v>
      </c>
      <c r="J106" s="42" t="n">
        <v>223.0725</v>
      </c>
      <c r="K106" s="43" t="n">
        <v>43543</v>
      </c>
      <c r="L106" s="44" t="n">
        <v>0.763194444444444</v>
      </c>
      <c r="M106" s="41" t="s">
        <v>97</v>
      </c>
      <c r="N106" s="42" t="n">
        <v>212.45</v>
      </c>
      <c r="O106" s="42" t="n">
        <v>10.6225</v>
      </c>
      <c r="P106" s="45" t="n">
        <v>8</v>
      </c>
      <c r="Q106" s="41" t="str">
        <f aca="false">CHOOSE(MONTH(K106),"Jan","Feb","Mar","Apr","May","Jun","Jul","Aug","Sep","Oct","Nov","Dec")</f>
        <v>Mar</v>
      </c>
      <c r="R106" s="41" t="n">
        <f aca="false">INT((K106-setMinDate)/7)+1</f>
        <v>12</v>
      </c>
      <c r="S106" s="41" t="n">
        <f aca="false">HOUR(L106)</f>
        <v>18</v>
      </c>
      <c r="T106" s="41" t="str">
        <f aca="false">IF(S106&lt;setMorningEnd,"Morning",IF(S106&lt;setAfternoonEnd,"Afternoon","Evening"))</f>
        <v>Evening</v>
      </c>
      <c r="U106" s="41" t="str">
        <f aca="false">IF(J106&gt;=setLarge,"Large",IF(J106&gt;=setMedium,"Medium","Small"))</f>
        <v>Small</v>
      </c>
      <c r="V106" s="41" t="str">
        <f aca="false">IF(P106&gt;=setExc,"Excellent",IF(P106&gt;=setGood,"Good",IF(P106&gt;=setAvg,"Average","Poor")))</f>
        <v>Good</v>
      </c>
    </row>
    <row r="107" customFormat="false" ht="15" hidden="false" customHeight="false" outlineLevel="0" collapsed="false">
      <c r="A107" s="41" t="s">
        <v>285</v>
      </c>
      <c r="B107" s="41" t="s">
        <v>178</v>
      </c>
      <c r="C107" s="41" t="s">
        <v>85</v>
      </c>
      <c r="D107" s="41" t="s">
        <v>104</v>
      </c>
      <c r="E107" s="41" t="s">
        <v>103</v>
      </c>
      <c r="F107" s="41" t="s">
        <v>78</v>
      </c>
      <c r="G107" s="42" t="n">
        <v>88.67</v>
      </c>
      <c r="H107" s="41" t="n">
        <v>10</v>
      </c>
      <c r="I107" s="42" t="n">
        <v>44.335</v>
      </c>
      <c r="J107" s="42" t="n">
        <v>931.035</v>
      </c>
      <c r="K107" s="43" t="n">
        <v>43477</v>
      </c>
      <c r="L107" s="44" t="n">
        <v>0.618055555555556</v>
      </c>
      <c r="M107" s="41" t="s">
        <v>98</v>
      </c>
      <c r="N107" s="42" t="n">
        <v>886.7</v>
      </c>
      <c r="O107" s="42" t="n">
        <v>44.335</v>
      </c>
      <c r="P107" s="45" t="n">
        <v>7.3</v>
      </c>
      <c r="Q107" s="41" t="str">
        <f aca="false">CHOOSE(MONTH(K107),"Jan","Feb","Mar","Apr","May","Jun","Jul","Aug","Sep","Oct","Nov","Dec")</f>
        <v>Jan</v>
      </c>
      <c r="R107" s="41" t="n">
        <f aca="false">INT((K107-setMinDate)/7)+1</f>
        <v>2</v>
      </c>
      <c r="S107" s="41" t="n">
        <f aca="false">HOUR(L107)</f>
        <v>14</v>
      </c>
      <c r="T107" s="41" t="str">
        <f aca="false">IF(S107&lt;setMorningEnd,"Morning",IF(S107&lt;setAfternoonEnd,"Afternoon","Evening"))</f>
        <v>Afternoon</v>
      </c>
      <c r="U107" s="41" t="str">
        <f aca="false">IF(J107&gt;=setLarge,"Large",IF(J107&gt;=setMedium,"Medium","Small"))</f>
        <v>Large</v>
      </c>
      <c r="V107" s="41" t="str">
        <f aca="false">IF(P107&gt;=setExc,"Excellent",IF(P107&gt;=setGood,"Good",IF(P107&gt;=setAvg,"Average","Poor")))</f>
        <v>Good</v>
      </c>
    </row>
    <row r="108" customFormat="false" ht="15" hidden="false" customHeight="false" outlineLevel="0" collapsed="false">
      <c r="A108" s="41" t="s">
        <v>286</v>
      </c>
      <c r="B108" s="41" t="s">
        <v>180</v>
      </c>
      <c r="C108" s="41" t="s">
        <v>87</v>
      </c>
      <c r="D108" s="41" t="s">
        <v>105</v>
      </c>
      <c r="E108" s="41" t="s">
        <v>103</v>
      </c>
      <c r="F108" s="41" t="s">
        <v>79</v>
      </c>
      <c r="G108" s="42" t="n">
        <v>27.38</v>
      </c>
      <c r="H108" s="41" t="n">
        <v>6</v>
      </c>
      <c r="I108" s="42" t="n">
        <v>8.214</v>
      </c>
      <c r="J108" s="42" t="n">
        <v>172.494</v>
      </c>
      <c r="K108" s="43" t="n">
        <v>43470</v>
      </c>
      <c r="L108" s="44" t="n">
        <v>0.870833333333333</v>
      </c>
      <c r="M108" s="41" t="s">
        <v>99</v>
      </c>
      <c r="N108" s="42" t="n">
        <v>164.28</v>
      </c>
      <c r="O108" s="42" t="n">
        <v>8.214</v>
      </c>
      <c r="P108" s="45" t="n">
        <v>7.9</v>
      </c>
      <c r="Q108" s="41" t="str">
        <f aca="false">CHOOSE(MONTH(K108),"Jan","Feb","Mar","Apr","May","Jun","Jul","Aug","Sep","Oct","Nov","Dec")</f>
        <v>Jan</v>
      </c>
      <c r="R108" s="41" t="n">
        <f aca="false">INT((K108-setMinDate)/7)+1</f>
        <v>1</v>
      </c>
      <c r="S108" s="41" t="n">
        <f aca="false">HOUR(L108)</f>
        <v>20</v>
      </c>
      <c r="T108" s="41" t="str">
        <f aca="false">IF(S108&lt;setMorningEnd,"Morning",IF(S108&lt;setAfternoonEnd,"Afternoon","Evening"))</f>
        <v>Evening</v>
      </c>
      <c r="U108" s="41" t="str">
        <f aca="false">IF(J108&gt;=setLarge,"Large",IF(J108&gt;=setMedium,"Medium","Small"))</f>
        <v>Small</v>
      </c>
      <c r="V108" s="41" t="str">
        <f aca="false">IF(P108&gt;=setExc,"Excellent",IF(P108&gt;=setGood,"Good",IF(P108&gt;=setAvg,"Average","Poor")))</f>
        <v>Good</v>
      </c>
    </row>
    <row r="109" customFormat="false" ht="15" hidden="false" customHeight="false" outlineLevel="0" collapsed="false">
      <c r="A109" s="41" t="s">
        <v>287</v>
      </c>
      <c r="B109" s="41" t="s">
        <v>178</v>
      </c>
      <c r="C109" s="41" t="s">
        <v>85</v>
      </c>
      <c r="D109" s="41" t="s">
        <v>105</v>
      </c>
      <c r="E109" s="41" t="s">
        <v>103</v>
      </c>
      <c r="F109" s="41" t="s">
        <v>77</v>
      </c>
      <c r="G109" s="42" t="n">
        <v>62.13</v>
      </c>
      <c r="H109" s="41" t="n">
        <v>6</v>
      </c>
      <c r="I109" s="42" t="n">
        <v>18.639</v>
      </c>
      <c r="J109" s="42" t="n">
        <v>391.419</v>
      </c>
      <c r="K109" s="43" t="n">
        <v>43546</v>
      </c>
      <c r="L109" s="44" t="n">
        <v>0.846527777777778</v>
      </c>
      <c r="M109" s="41" t="s">
        <v>97</v>
      </c>
      <c r="N109" s="42" t="n">
        <v>372.78</v>
      </c>
      <c r="O109" s="42" t="n">
        <v>18.639</v>
      </c>
      <c r="P109" s="45" t="n">
        <v>7.4</v>
      </c>
      <c r="Q109" s="41" t="str">
        <f aca="false">CHOOSE(MONTH(K109),"Jan","Feb","Mar","Apr","May","Jun","Jul","Aug","Sep","Oct","Nov","Dec")</f>
        <v>Mar</v>
      </c>
      <c r="R109" s="41" t="n">
        <f aca="false">INT((K109-setMinDate)/7)+1</f>
        <v>12</v>
      </c>
      <c r="S109" s="41" t="n">
        <f aca="false">HOUR(L109)</f>
        <v>20</v>
      </c>
      <c r="T109" s="41" t="str">
        <f aca="false">IF(S109&lt;setMorningEnd,"Morning",IF(S109&lt;setAfternoonEnd,"Afternoon","Evening"))</f>
        <v>Evening</v>
      </c>
      <c r="U109" s="41" t="str">
        <f aca="false">IF(J109&gt;=setLarge,"Large",IF(J109&gt;=setMedium,"Medium","Small"))</f>
        <v>Medium</v>
      </c>
      <c r="V109" s="41" t="str">
        <f aca="false">IF(P109&gt;=setExc,"Excellent",IF(P109&gt;=setGood,"Good",IF(P109&gt;=setAvg,"Average","Poor")))</f>
        <v>Good</v>
      </c>
    </row>
    <row r="110" customFormat="false" ht="15" hidden="false" customHeight="false" outlineLevel="0" collapsed="false">
      <c r="A110" s="41" t="s">
        <v>288</v>
      </c>
      <c r="B110" s="41" t="s">
        <v>180</v>
      </c>
      <c r="C110" s="41" t="s">
        <v>87</v>
      </c>
      <c r="D110" s="41" t="s">
        <v>105</v>
      </c>
      <c r="E110" s="41" t="s">
        <v>102</v>
      </c>
      <c r="F110" s="41" t="s">
        <v>76</v>
      </c>
      <c r="G110" s="42" t="n">
        <v>33.98</v>
      </c>
      <c r="H110" s="41" t="n">
        <v>9</v>
      </c>
      <c r="I110" s="42" t="n">
        <v>15.291</v>
      </c>
      <c r="J110" s="42" t="n">
        <v>321.111</v>
      </c>
      <c r="K110" s="43" t="n">
        <v>43548</v>
      </c>
      <c r="L110" s="44" t="n">
        <v>0.446527777777778</v>
      </c>
      <c r="M110" s="41" t="s">
        <v>97</v>
      </c>
      <c r="N110" s="42" t="n">
        <v>305.82</v>
      </c>
      <c r="O110" s="42" t="n">
        <v>15.291</v>
      </c>
      <c r="P110" s="45" t="n">
        <v>4.2</v>
      </c>
      <c r="Q110" s="41" t="str">
        <f aca="false">CHOOSE(MONTH(K110),"Jan","Feb","Mar","Apr","May","Jun","Jul","Aug","Sep","Oct","Nov","Dec")</f>
        <v>Mar</v>
      </c>
      <c r="R110" s="41" t="n">
        <f aca="false">INT((K110-setMinDate)/7)+1</f>
        <v>12</v>
      </c>
      <c r="S110" s="41" t="n">
        <f aca="false">HOUR(L110)</f>
        <v>10</v>
      </c>
      <c r="T110" s="41" t="str">
        <f aca="false">IF(S110&lt;setMorningEnd,"Morning",IF(S110&lt;setAfternoonEnd,"Afternoon","Evening"))</f>
        <v>Morning</v>
      </c>
      <c r="U110" s="41" t="str">
        <f aca="false">IF(J110&gt;=setLarge,"Large",IF(J110&gt;=setMedium,"Medium","Small"))</f>
        <v>Medium</v>
      </c>
      <c r="V110" s="41" t="str">
        <f aca="false">IF(P110&gt;=setExc,"Excellent",IF(P110&gt;=setGood,"Good",IF(P110&gt;=setAvg,"Average","Poor")))</f>
        <v>Poor</v>
      </c>
    </row>
    <row r="111" customFormat="false" ht="15" hidden="false" customHeight="false" outlineLevel="0" collapsed="false">
      <c r="A111" s="41" t="s">
        <v>289</v>
      </c>
      <c r="B111" s="41" t="s">
        <v>180</v>
      </c>
      <c r="C111" s="41" t="s">
        <v>87</v>
      </c>
      <c r="D111" s="41" t="s">
        <v>104</v>
      </c>
      <c r="E111" s="41" t="s">
        <v>103</v>
      </c>
      <c r="F111" s="41" t="s">
        <v>78</v>
      </c>
      <c r="G111" s="42" t="n">
        <v>81.97</v>
      </c>
      <c r="H111" s="41" t="n">
        <v>10</v>
      </c>
      <c r="I111" s="42" t="n">
        <v>40.985</v>
      </c>
      <c r="J111" s="42" t="n">
        <v>860.685</v>
      </c>
      <c r="K111" s="43" t="n">
        <v>43527</v>
      </c>
      <c r="L111" s="44" t="n">
        <v>0.604166666666667</v>
      </c>
      <c r="M111" s="41" t="s">
        <v>97</v>
      </c>
      <c r="N111" s="42" t="n">
        <v>819.7</v>
      </c>
      <c r="O111" s="42" t="n">
        <v>40.985</v>
      </c>
      <c r="P111" s="45" t="n">
        <v>9.2</v>
      </c>
      <c r="Q111" s="41" t="str">
        <f aca="false">CHOOSE(MONTH(K111),"Jan","Feb","Mar","Apr","May","Jun","Jul","Aug","Sep","Oct","Nov","Dec")</f>
        <v>Mar</v>
      </c>
      <c r="R111" s="41" t="n">
        <f aca="false">INT((K111-setMinDate)/7)+1</f>
        <v>9</v>
      </c>
      <c r="S111" s="41" t="n">
        <f aca="false">HOUR(L111)</f>
        <v>14</v>
      </c>
      <c r="T111" s="41" t="str">
        <f aca="false">IF(S111&lt;setMorningEnd,"Morning",IF(S111&lt;setAfternoonEnd,"Afternoon","Evening"))</f>
        <v>Afternoon</v>
      </c>
      <c r="U111" s="41" t="str">
        <f aca="false">IF(J111&gt;=setLarge,"Large",IF(J111&gt;=setMedium,"Medium","Small"))</f>
        <v>Large</v>
      </c>
      <c r="V111" s="41" t="str">
        <f aca="false">IF(P111&gt;=setExc,"Excellent",IF(P111&gt;=setGood,"Good",IF(P111&gt;=setAvg,"Average","Poor")))</f>
        <v>Excellent</v>
      </c>
    </row>
    <row r="112" customFormat="false" ht="15" hidden="false" customHeight="false" outlineLevel="0" collapsed="false">
      <c r="A112" s="41" t="s">
        <v>290</v>
      </c>
      <c r="B112" s="41" t="s">
        <v>189</v>
      </c>
      <c r="C112" s="41" t="s">
        <v>86</v>
      </c>
      <c r="D112" s="41" t="s">
        <v>104</v>
      </c>
      <c r="E112" s="41" t="s">
        <v>102</v>
      </c>
      <c r="F112" s="41" t="s">
        <v>77</v>
      </c>
      <c r="G112" s="42" t="n">
        <v>16.49</v>
      </c>
      <c r="H112" s="41" t="n">
        <v>2</v>
      </c>
      <c r="I112" s="42" t="n">
        <v>1.649</v>
      </c>
      <c r="J112" s="42" t="n">
        <v>34.629</v>
      </c>
      <c r="K112" s="43" t="n">
        <v>43501</v>
      </c>
      <c r="L112" s="44" t="n">
        <v>0.480555555555556</v>
      </c>
      <c r="M112" s="41" t="s">
        <v>98</v>
      </c>
      <c r="N112" s="42" t="n">
        <v>32.98</v>
      </c>
      <c r="O112" s="42" t="n">
        <v>1.649</v>
      </c>
      <c r="P112" s="45" t="n">
        <v>4.6</v>
      </c>
      <c r="Q112" s="41" t="str">
        <f aca="false">CHOOSE(MONTH(K112),"Jan","Feb","Mar","Apr","May","Jun","Jul","Aug","Sep","Oct","Nov","Dec")</f>
        <v>Feb</v>
      </c>
      <c r="R112" s="41" t="n">
        <f aca="false">INT((K112-setMinDate)/7)+1</f>
        <v>6</v>
      </c>
      <c r="S112" s="41" t="n">
        <f aca="false">HOUR(L112)</f>
        <v>11</v>
      </c>
      <c r="T112" s="41" t="str">
        <f aca="false">IF(S112&lt;setMorningEnd,"Morning",IF(S112&lt;setAfternoonEnd,"Afternoon","Evening"))</f>
        <v>Morning</v>
      </c>
      <c r="U112" s="41" t="str">
        <f aca="false">IF(J112&gt;=setLarge,"Large",IF(J112&gt;=setMedium,"Medium","Small"))</f>
        <v>Small</v>
      </c>
      <c r="V112" s="41" t="str">
        <f aca="false">IF(P112&gt;=setExc,"Excellent",IF(P112&gt;=setGood,"Good",IF(P112&gt;=setAvg,"Average","Poor")))</f>
        <v>Poor</v>
      </c>
    </row>
    <row r="113" customFormat="false" ht="15" hidden="false" customHeight="false" outlineLevel="0" collapsed="false">
      <c r="A113" s="41" t="s">
        <v>291</v>
      </c>
      <c r="B113" s="41" t="s">
        <v>180</v>
      </c>
      <c r="C113" s="41" t="s">
        <v>87</v>
      </c>
      <c r="D113" s="41" t="s">
        <v>104</v>
      </c>
      <c r="E113" s="41" t="s">
        <v>102</v>
      </c>
      <c r="F113" s="41" t="s">
        <v>81</v>
      </c>
      <c r="G113" s="42" t="n">
        <v>98.21</v>
      </c>
      <c r="H113" s="41" t="n">
        <v>3</v>
      </c>
      <c r="I113" s="42" t="n">
        <v>14.7315</v>
      </c>
      <c r="J113" s="42" t="n">
        <v>309.3615</v>
      </c>
      <c r="K113" s="43" t="n">
        <v>43501</v>
      </c>
      <c r="L113" s="44" t="n">
        <v>0.445138888888889</v>
      </c>
      <c r="M113" s="41" t="s">
        <v>99</v>
      </c>
      <c r="N113" s="42" t="n">
        <v>294.63</v>
      </c>
      <c r="O113" s="42" t="n">
        <v>14.7315</v>
      </c>
      <c r="P113" s="45" t="n">
        <v>7.8</v>
      </c>
      <c r="Q113" s="41" t="str">
        <f aca="false">CHOOSE(MONTH(K113),"Jan","Feb","Mar","Apr","May","Jun","Jul","Aug","Sep","Oct","Nov","Dec")</f>
        <v>Feb</v>
      </c>
      <c r="R113" s="41" t="n">
        <f aca="false">INT((K113-setMinDate)/7)+1</f>
        <v>6</v>
      </c>
      <c r="S113" s="41" t="n">
        <f aca="false">HOUR(L113)</f>
        <v>10</v>
      </c>
      <c r="T113" s="41" t="str">
        <f aca="false">IF(S113&lt;setMorningEnd,"Morning",IF(S113&lt;setAfternoonEnd,"Afternoon","Evening"))</f>
        <v>Morning</v>
      </c>
      <c r="U113" s="41" t="str">
        <f aca="false">IF(J113&gt;=setLarge,"Large",IF(J113&gt;=setMedium,"Medium","Small"))</f>
        <v>Medium</v>
      </c>
      <c r="V113" s="41" t="str">
        <f aca="false">IF(P113&gt;=setExc,"Excellent",IF(P113&gt;=setGood,"Good",IF(P113&gt;=setAvg,"Average","Poor")))</f>
        <v>Good</v>
      </c>
    </row>
    <row r="114" customFormat="false" ht="15" hidden="false" customHeight="false" outlineLevel="0" collapsed="false">
      <c r="A114" s="41" t="s">
        <v>292</v>
      </c>
      <c r="B114" s="41" t="s">
        <v>189</v>
      </c>
      <c r="C114" s="41" t="s">
        <v>86</v>
      </c>
      <c r="D114" s="41" t="s">
        <v>105</v>
      </c>
      <c r="E114" s="41" t="s">
        <v>102</v>
      </c>
      <c r="F114" s="41" t="s">
        <v>79</v>
      </c>
      <c r="G114" s="42" t="n">
        <v>72.84</v>
      </c>
      <c r="H114" s="41" t="n">
        <v>7</v>
      </c>
      <c r="I114" s="42" t="n">
        <v>25.494</v>
      </c>
      <c r="J114" s="42" t="n">
        <v>535.374</v>
      </c>
      <c r="K114" s="43" t="n">
        <v>43511</v>
      </c>
      <c r="L114" s="44" t="n">
        <v>0.530555555555556</v>
      </c>
      <c r="M114" s="41" t="s">
        <v>97</v>
      </c>
      <c r="N114" s="42" t="n">
        <v>509.88</v>
      </c>
      <c r="O114" s="42" t="n">
        <v>25.494</v>
      </c>
      <c r="P114" s="45" t="n">
        <v>8.4</v>
      </c>
      <c r="Q114" s="41" t="str">
        <f aca="false">CHOOSE(MONTH(K114),"Jan","Feb","Mar","Apr","May","Jun","Jul","Aug","Sep","Oct","Nov","Dec")</f>
        <v>Feb</v>
      </c>
      <c r="R114" s="41" t="n">
        <f aca="false">INT((K114-setMinDate)/7)+1</f>
        <v>7</v>
      </c>
      <c r="S114" s="41" t="n">
        <f aca="false">HOUR(L114)</f>
        <v>12</v>
      </c>
      <c r="T114" s="41" t="str">
        <f aca="false">IF(S114&lt;setMorningEnd,"Morning",IF(S114&lt;setAfternoonEnd,"Afternoon","Evening"))</f>
        <v>Afternoon</v>
      </c>
      <c r="U114" s="41" t="str">
        <f aca="false">IF(J114&gt;=setLarge,"Large",IF(J114&gt;=setMedium,"Medium","Small"))</f>
        <v>Medium</v>
      </c>
      <c r="V114" s="41" t="str">
        <f aca="false">IF(P114&gt;=setExc,"Excellent",IF(P114&gt;=setGood,"Good",IF(P114&gt;=setAvg,"Average","Poor")))</f>
        <v>Good</v>
      </c>
    </row>
    <row r="115" customFormat="false" ht="15" hidden="false" customHeight="false" outlineLevel="0" collapsed="false">
      <c r="A115" s="41" t="s">
        <v>293</v>
      </c>
      <c r="B115" s="41" t="s">
        <v>178</v>
      </c>
      <c r="C115" s="41" t="s">
        <v>85</v>
      </c>
      <c r="D115" s="41" t="s">
        <v>104</v>
      </c>
      <c r="E115" s="41" t="s">
        <v>103</v>
      </c>
      <c r="F115" s="41" t="s">
        <v>80</v>
      </c>
      <c r="G115" s="42" t="n">
        <v>58.07</v>
      </c>
      <c r="H115" s="41" t="n">
        <v>9</v>
      </c>
      <c r="I115" s="42" t="n">
        <v>26.1315</v>
      </c>
      <c r="J115" s="42" t="n">
        <v>548.7615</v>
      </c>
      <c r="K115" s="43" t="n">
        <v>43484</v>
      </c>
      <c r="L115" s="44" t="n">
        <v>0.838194444444445</v>
      </c>
      <c r="M115" s="41" t="s">
        <v>98</v>
      </c>
      <c r="N115" s="42" t="n">
        <v>522.63</v>
      </c>
      <c r="O115" s="42" t="n">
        <v>26.1315</v>
      </c>
      <c r="P115" s="45" t="n">
        <v>4.3</v>
      </c>
      <c r="Q115" s="41" t="str">
        <f aca="false">CHOOSE(MONTH(K115),"Jan","Feb","Mar","Apr","May","Jun","Jul","Aug","Sep","Oct","Nov","Dec")</f>
        <v>Jan</v>
      </c>
      <c r="R115" s="41" t="n">
        <f aca="false">INT((K115-setMinDate)/7)+1</f>
        <v>3</v>
      </c>
      <c r="S115" s="41" t="n">
        <f aca="false">HOUR(L115)</f>
        <v>20</v>
      </c>
      <c r="T115" s="41" t="str">
        <f aca="false">IF(S115&lt;setMorningEnd,"Morning",IF(S115&lt;setAfternoonEnd,"Afternoon","Evening"))</f>
        <v>Evening</v>
      </c>
      <c r="U115" s="41" t="str">
        <f aca="false">IF(J115&gt;=setLarge,"Large",IF(J115&gt;=setMedium,"Medium","Small"))</f>
        <v>Medium</v>
      </c>
      <c r="V115" s="41" t="str">
        <f aca="false">IF(P115&gt;=setExc,"Excellent",IF(P115&gt;=setGood,"Good",IF(P115&gt;=setAvg,"Average","Poor")))</f>
        <v>Poor</v>
      </c>
    </row>
    <row r="116" customFormat="false" ht="15" hidden="false" customHeight="false" outlineLevel="0" collapsed="false">
      <c r="A116" s="41" t="s">
        <v>294</v>
      </c>
      <c r="B116" s="41" t="s">
        <v>180</v>
      </c>
      <c r="C116" s="41" t="s">
        <v>87</v>
      </c>
      <c r="D116" s="41" t="s">
        <v>104</v>
      </c>
      <c r="E116" s="41" t="s">
        <v>102</v>
      </c>
      <c r="F116" s="41" t="s">
        <v>80</v>
      </c>
      <c r="G116" s="42" t="n">
        <v>80.79</v>
      </c>
      <c r="H116" s="41" t="n">
        <v>9</v>
      </c>
      <c r="I116" s="42" t="n">
        <v>36.3555</v>
      </c>
      <c r="J116" s="42" t="n">
        <v>763.4655</v>
      </c>
      <c r="K116" s="43" t="n">
        <v>43497</v>
      </c>
      <c r="L116" s="44" t="n">
        <v>0.854861111111111</v>
      </c>
      <c r="M116" s="41" t="s">
        <v>99</v>
      </c>
      <c r="N116" s="42" t="n">
        <v>727.11</v>
      </c>
      <c r="O116" s="42" t="n">
        <v>36.3555</v>
      </c>
      <c r="P116" s="45" t="n">
        <v>9.5</v>
      </c>
      <c r="Q116" s="41" t="str">
        <f aca="false">CHOOSE(MONTH(K116),"Jan","Feb","Mar","Apr","May","Jun","Jul","Aug","Sep","Oct","Nov","Dec")</f>
        <v>Feb</v>
      </c>
      <c r="R116" s="41" t="n">
        <f aca="false">INT((K116-setMinDate)/7)+1</f>
        <v>5</v>
      </c>
      <c r="S116" s="41" t="n">
        <f aca="false">HOUR(L116)</f>
        <v>20</v>
      </c>
      <c r="T116" s="41" t="str">
        <f aca="false">IF(S116&lt;setMorningEnd,"Morning",IF(S116&lt;setAfternoonEnd,"Afternoon","Evening"))</f>
        <v>Evening</v>
      </c>
      <c r="U116" s="41" t="str">
        <f aca="false">IF(J116&gt;=setLarge,"Large",IF(J116&gt;=setMedium,"Medium","Small"))</f>
        <v>Large</v>
      </c>
      <c r="V116" s="41" t="str">
        <f aca="false">IF(P116&gt;=setExc,"Excellent",IF(P116&gt;=setGood,"Good",IF(P116&gt;=setAvg,"Average","Poor")))</f>
        <v>Excellent</v>
      </c>
    </row>
    <row r="117" customFormat="false" ht="15" hidden="false" customHeight="false" outlineLevel="0" collapsed="false">
      <c r="A117" s="41" t="s">
        <v>295</v>
      </c>
      <c r="B117" s="41" t="s">
        <v>180</v>
      </c>
      <c r="C117" s="41" t="s">
        <v>87</v>
      </c>
      <c r="D117" s="41" t="s">
        <v>105</v>
      </c>
      <c r="E117" s="41" t="s">
        <v>102</v>
      </c>
      <c r="F117" s="41" t="s">
        <v>79</v>
      </c>
      <c r="G117" s="42" t="n">
        <v>27.02</v>
      </c>
      <c r="H117" s="41" t="n">
        <v>3</v>
      </c>
      <c r="I117" s="42" t="n">
        <v>4.053</v>
      </c>
      <c r="J117" s="42" t="n">
        <v>85.113</v>
      </c>
      <c r="K117" s="43" t="n">
        <v>43526</v>
      </c>
      <c r="L117" s="44" t="n">
        <v>0.542361111111111</v>
      </c>
      <c r="M117" s="41" t="s">
        <v>99</v>
      </c>
      <c r="N117" s="42" t="n">
        <v>81.06</v>
      </c>
      <c r="O117" s="42" t="n">
        <v>4.053</v>
      </c>
      <c r="P117" s="45" t="n">
        <v>7.1</v>
      </c>
      <c r="Q117" s="41" t="str">
        <f aca="false">CHOOSE(MONTH(K117),"Jan","Feb","Mar","Apr","May","Jun","Jul","Aug","Sep","Oct","Nov","Dec")</f>
        <v>Mar</v>
      </c>
      <c r="R117" s="41" t="n">
        <f aca="false">INT((K117-setMinDate)/7)+1</f>
        <v>9</v>
      </c>
      <c r="S117" s="41" t="n">
        <f aca="false">HOUR(L117)</f>
        <v>13</v>
      </c>
      <c r="T117" s="41" t="str">
        <f aca="false">IF(S117&lt;setMorningEnd,"Morning",IF(S117&lt;setAfternoonEnd,"Afternoon","Evening"))</f>
        <v>Afternoon</v>
      </c>
      <c r="U117" s="41" t="str">
        <f aca="false">IF(J117&gt;=setLarge,"Large",IF(J117&gt;=setMedium,"Medium","Small"))</f>
        <v>Small</v>
      </c>
      <c r="V117" s="41" t="str">
        <f aca="false">IF(P117&gt;=setExc,"Excellent",IF(P117&gt;=setGood,"Good",IF(P117&gt;=setAvg,"Average","Poor")))</f>
        <v>Good</v>
      </c>
    </row>
    <row r="118" customFormat="false" ht="15" hidden="false" customHeight="false" outlineLevel="0" collapsed="false">
      <c r="A118" s="41" t="s">
        <v>296</v>
      </c>
      <c r="B118" s="41" t="s">
        <v>189</v>
      </c>
      <c r="C118" s="41" t="s">
        <v>86</v>
      </c>
      <c r="D118" s="41" t="s">
        <v>104</v>
      </c>
      <c r="E118" s="41" t="s">
        <v>103</v>
      </c>
      <c r="F118" s="41" t="s">
        <v>79</v>
      </c>
      <c r="G118" s="42" t="n">
        <v>21.94</v>
      </c>
      <c r="H118" s="41" t="n">
        <v>5</v>
      </c>
      <c r="I118" s="42" t="n">
        <v>5.485</v>
      </c>
      <c r="J118" s="42" t="n">
        <v>115.185</v>
      </c>
      <c r="K118" s="43" t="n">
        <v>43529</v>
      </c>
      <c r="L118" s="44" t="n">
        <v>0.520138888888889</v>
      </c>
      <c r="M118" s="41" t="s">
        <v>98</v>
      </c>
      <c r="N118" s="42" t="n">
        <v>109.7</v>
      </c>
      <c r="O118" s="42" t="n">
        <v>5.485</v>
      </c>
      <c r="P118" s="45" t="n">
        <v>5.3</v>
      </c>
      <c r="Q118" s="41" t="str">
        <f aca="false">CHOOSE(MONTH(K118),"Jan","Feb","Mar","Apr","May","Jun","Jul","Aug","Sep","Oct","Nov","Dec")</f>
        <v>Mar</v>
      </c>
      <c r="R118" s="41" t="n">
        <f aca="false">INT((K118-setMinDate)/7)+1</f>
        <v>10</v>
      </c>
      <c r="S118" s="41" t="n">
        <f aca="false">HOUR(L118)</f>
        <v>12</v>
      </c>
      <c r="T118" s="41" t="str">
        <f aca="false">IF(S118&lt;setMorningEnd,"Morning",IF(S118&lt;setAfternoonEnd,"Afternoon","Evening"))</f>
        <v>Afternoon</v>
      </c>
      <c r="U118" s="41" t="str">
        <f aca="false">IF(J118&gt;=setLarge,"Large",IF(J118&gt;=setMedium,"Medium","Small"))</f>
        <v>Small</v>
      </c>
      <c r="V118" s="41" t="str">
        <f aca="false">IF(P118&gt;=setExc,"Excellent",IF(P118&gt;=setGood,"Good",IF(P118&gt;=setAvg,"Average","Poor")))</f>
        <v>Average</v>
      </c>
    </row>
    <row r="119" customFormat="false" ht="15" hidden="false" customHeight="false" outlineLevel="0" collapsed="false">
      <c r="A119" s="41" t="s">
        <v>297</v>
      </c>
      <c r="B119" s="41" t="s">
        <v>189</v>
      </c>
      <c r="C119" s="41" t="s">
        <v>86</v>
      </c>
      <c r="D119" s="41" t="s">
        <v>104</v>
      </c>
      <c r="E119" s="41" t="s">
        <v>103</v>
      </c>
      <c r="F119" s="41" t="s">
        <v>79</v>
      </c>
      <c r="G119" s="42" t="n">
        <v>51.36</v>
      </c>
      <c r="H119" s="41" t="n">
        <v>1</v>
      </c>
      <c r="I119" s="42" t="n">
        <v>2.568</v>
      </c>
      <c r="J119" s="42" t="n">
        <v>53.928</v>
      </c>
      <c r="K119" s="43" t="n">
        <v>43481</v>
      </c>
      <c r="L119" s="44" t="n">
        <v>0.643055555555556</v>
      </c>
      <c r="M119" s="41" t="s">
        <v>98</v>
      </c>
      <c r="N119" s="42" t="n">
        <v>51.36</v>
      </c>
      <c r="O119" s="42" t="n">
        <v>2.568</v>
      </c>
      <c r="P119" s="45" t="n">
        <v>5.2</v>
      </c>
      <c r="Q119" s="41" t="str">
        <f aca="false">CHOOSE(MONTH(K119),"Jan","Feb","Mar","Apr","May","Jun","Jul","Aug","Sep","Oct","Nov","Dec")</f>
        <v>Jan</v>
      </c>
      <c r="R119" s="41" t="n">
        <f aca="false">INT((K119-setMinDate)/7)+1</f>
        <v>3</v>
      </c>
      <c r="S119" s="41" t="n">
        <f aca="false">HOUR(L119)</f>
        <v>15</v>
      </c>
      <c r="T119" s="41" t="str">
        <f aca="false">IF(S119&lt;setMorningEnd,"Morning",IF(S119&lt;setAfternoonEnd,"Afternoon","Evening"))</f>
        <v>Afternoon</v>
      </c>
      <c r="U119" s="41" t="str">
        <f aca="false">IF(J119&gt;=setLarge,"Large",IF(J119&gt;=setMedium,"Medium","Small"))</f>
        <v>Small</v>
      </c>
      <c r="V119" s="41" t="str">
        <f aca="false">IF(P119&gt;=setExc,"Excellent",IF(P119&gt;=setGood,"Good",IF(P119&gt;=setAvg,"Average","Poor")))</f>
        <v>Average</v>
      </c>
    </row>
    <row r="120" customFormat="false" ht="15" hidden="false" customHeight="false" outlineLevel="0" collapsed="false">
      <c r="A120" s="41" t="s">
        <v>298</v>
      </c>
      <c r="B120" s="41" t="s">
        <v>178</v>
      </c>
      <c r="C120" s="41" t="s">
        <v>85</v>
      </c>
      <c r="D120" s="41" t="s">
        <v>105</v>
      </c>
      <c r="E120" s="41" t="s">
        <v>102</v>
      </c>
      <c r="F120" s="41" t="s">
        <v>76</v>
      </c>
      <c r="G120" s="42" t="n">
        <v>10.96</v>
      </c>
      <c r="H120" s="41" t="n">
        <v>10</v>
      </c>
      <c r="I120" s="42" t="n">
        <v>5.48</v>
      </c>
      <c r="J120" s="42" t="n">
        <v>115.08</v>
      </c>
      <c r="K120" s="43" t="n">
        <v>43498</v>
      </c>
      <c r="L120" s="44" t="n">
        <v>0.866666666666667</v>
      </c>
      <c r="M120" s="41" t="s">
        <v>98</v>
      </c>
      <c r="N120" s="42" t="n">
        <v>109.6</v>
      </c>
      <c r="O120" s="42" t="n">
        <v>5.48</v>
      </c>
      <c r="P120" s="45" t="n">
        <v>6</v>
      </c>
      <c r="Q120" s="41" t="str">
        <f aca="false">CHOOSE(MONTH(K120),"Jan","Feb","Mar","Apr","May","Jun","Jul","Aug","Sep","Oct","Nov","Dec")</f>
        <v>Feb</v>
      </c>
      <c r="R120" s="41" t="n">
        <f aca="false">INT((K120-setMinDate)/7)+1</f>
        <v>5</v>
      </c>
      <c r="S120" s="41" t="n">
        <f aca="false">HOUR(L120)</f>
        <v>20</v>
      </c>
      <c r="T120" s="41" t="str">
        <f aca="false">IF(S120&lt;setMorningEnd,"Morning",IF(S120&lt;setAfternoonEnd,"Afternoon","Evening"))</f>
        <v>Evening</v>
      </c>
      <c r="U120" s="41" t="str">
        <f aca="false">IF(J120&gt;=setLarge,"Large",IF(J120&gt;=setMedium,"Medium","Small"))</f>
        <v>Small</v>
      </c>
      <c r="V120" s="41" t="str">
        <f aca="false">IF(P120&gt;=setExc,"Excellent",IF(P120&gt;=setGood,"Good",IF(P120&gt;=setAvg,"Average","Poor")))</f>
        <v>Average</v>
      </c>
    </row>
    <row r="121" customFormat="false" ht="15" hidden="false" customHeight="false" outlineLevel="0" collapsed="false">
      <c r="A121" s="41" t="s">
        <v>299</v>
      </c>
      <c r="B121" s="41" t="s">
        <v>189</v>
      </c>
      <c r="C121" s="41" t="s">
        <v>86</v>
      </c>
      <c r="D121" s="41" t="s">
        <v>105</v>
      </c>
      <c r="E121" s="41" t="s">
        <v>103</v>
      </c>
      <c r="F121" s="41" t="s">
        <v>80</v>
      </c>
      <c r="G121" s="42" t="n">
        <v>53.44</v>
      </c>
      <c r="H121" s="41" t="n">
        <v>2</v>
      </c>
      <c r="I121" s="42" t="n">
        <v>5.344</v>
      </c>
      <c r="J121" s="42" t="n">
        <v>112.224</v>
      </c>
      <c r="K121" s="43" t="n">
        <v>43485</v>
      </c>
      <c r="L121" s="44" t="n">
        <v>0.859722222222222</v>
      </c>
      <c r="M121" s="41" t="s">
        <v>98</v>
      </c>
      <c r="N121" s="42" t="n">
        <v>106.88</v>
      </c>
      <c r="O121" s="42" t="n">
        <v>5.344</v>
      </c>
      <c r="P121" s="45" t="n">
        <v>4.1</v>
      </c>
      <c r="Q121" s="41" t="str">
        <f aca="false">CHOOSE(MONTH(K121),"Jan","Feb","Mar","Apr","May","Jun","Jul","Aug","Sep","Oct","Nov","Dec")</f>
        <v>Jan</v>
      </c>
      <c r="R121" s="41" t="n">
        <f aca="false">INT((K121-setMinDate)/7)+1</f>
        <v>3</v>
      </c>
      <c r="S121" s="41" t="n">
        <f aca="false">HOUR(L121)</f>
        <v>20</v>
      </c>
      <c r="T121" s="41" t="str">
        <f aca="false">IF(S121&lt;setMorningEnd,"Morning",IF(S121&lt;setAfternoonEnd,"Afternoon","Evening"))</f>
        <v>Evening</v>
      </c>
      <c r="U121" s="41" t="str">
        <f aca="false">IF(J121&gt;=setLarge,"Large",IF(J121&gt;=setMedium,"Medium","Small"))</f>
        <v>Small</v>
      </c>
      <c r="V121" s="41" t="str">
        <f aca="false">IF(P121&gt;=setExc,"Excellent",IF(P121&gt;=setGood,"Good",IF(P121&gt;=setAvg,"Average","Poor")))</f>
        <v>Poor</v>
      </c>
    </row>
    <row r="122" customFormat="false" ht="15" hidden="false" customHeight="false" outlineLevel="0" collapsed="false">
      <c r="A122" s="41" t="s">
        <v>300</v>
      </c>
      <c r="B122" s="41" t="s">
        <v>178</v>
      </c>
      <c r="C122" s="41" t="s">
        <v>85</v>
      </c>
      <c r="D122" s="41" t="s">
        <v>105</v>
      </c>
      <c r="E122" s="41" t="s">
        <v>102</v>
      </c>
      <c r="F122" s="41" t="s">
        <v>78</v>
      </c>
      <c r="G122" s="42" t="n">
        <v>99.56</v>
      </c>
      <c r="H122" s="41" t="n">
        <v>8</v>
      </c>
      <c r="I122" s="42" t="n">
        <v>39.824</v>
      </c>
      <c r="J122" s="42" t="n">
        <v>836.304</v>
      </c>
      <c r="K122" s="43" t="n">
        <v>43510</v>
      </c>
      <c r="L122" s="44" t="n">
        <v>0.710416666666667</v>
      </c>
      <c r="M122" s="41" t="s">
        <v>99</v>
      </c>
      <c r="N122" s="42" t="n">
        <v>796.48</v>
      </c>
      <c r="O122" s="42" t="n">
        <v>39.824</v>
      </c>
      <c r="P122" s="45" t="n">
        <v>5.2</v>
      </c>
      <c r="Q122" s="41" t="str">
        <f aca="false">CHOOSE(MONTH(K122),"Jan","Feb","Mar","Apr","May","Jun","Jul","Aug","Sep","Oct","Nov","Dec")</f>
        <v>Feb</v>
      </c>
      <c r="R122" s="41" t="n">
        <f aca="false">INT((K122-setMinDate)/7)+1</f>
        <v>7</v>
      </c>
      <c r="S122" s="41" t="n">
        <f aca="false">HOUR(L122)</f>
        <v>17</v>
      </c>
      <c r="T122" s="41" t="str">
        <f aca="false">IF(S122&lt;setMorningEnd,"Morning",IF(S122&lt;setAfternoonEnd,"Afternoon","Evening"))</f>
        <v>Evening</v>
      </c>
      <c r="U122" s="41" t="str">
        <f aca="false">IF(J122&gt;=setLarge,"Large",IF(J122&gt;=setMedium,"Medium","Small"))</f>
        <v>Large</v>
      </c>
      <c r="V122" s="41" t="str">
        <f aca="false">IF(P122&gt;=setExc,"Excellent",IF(P122&gt;=setGood,"Good",IF(P122&gt;=setAvg,"Average","Poor")))</f>
        <v>Average</v>
      </c>
    </row>
    <row r="123" customFormat="false" ht="15" hidden="false" customHeight="false" outlineLevel="0" collapsed="false">
      <c r="A123" s="41" t="s">
        <v>301</v>
      </c>
      <c r="B123" s="41" t="s">
        <v>180</v>
      </c>
      <c r="C123" s="41" t="s">
        <v>87</v>
      </c>
      <c r="D123" s="41" t="s">
        <v>104</v>
      </c>
      <c r="E123" s="41" t="s">
        <v>103</v>
      </c>
      <c r="F123" s="41" t="s">
        <v>77</v>
      </c>
      <c r="G123" s="42" t="n">
        <v>57.12</v>
      </c>
      <c r="H123" s="41" t="n">
        <v>7</v>
      </c>
      <c r="I123" s="42" t="n">
        <v>19.992</v>
      </c>
      <c r="J123" s="42" t="n">
        <v>419.832</v>
      </c>
      <c r="K123" s="43" t="n">
        <v>43477</v>
      </c>
      <c r="L123" s="44" t="n">
        <v>0.501388888888889</v>
      </c>
      <c r="M123" s="41" t="s">
        <v>99</v>
      </c>
      <c r="N123" s="42" t="n">
        <v>399.84</v>
      </c>
      <c r="O123" s="42" t="n">
        <v>19.992</v>
      </c>
      <c r="P123" s="45" t="n">
        <v>6.5</v>
      </c>
      <c r="Q123" s="41" t="str">
        <f aca="false">CHOOSE(MONTH(K123),"Jan","Feb","Mar","Apr","May","Jun","Jul","Aug","Sep","Oct","Nov","Dec")</f>
        <v>Jan</v>
      </c>
      <c r="R123" s="41" t="n">
        <f aca="false">INT((K123-setMinDate)/7)+1</f>
        <v>2</v>
      </c>
      <c r="S123" s="41" t="n">
        <f aca="false">HOUR(L123)</f>
        <v>12</v>
      </c>
      <c r="T123" s="41" t="str">
        <f aca="false">IF(S123&lt;setMorningEnd,"Morning",IF(S123&lt;setAfternoonEnd,"Afternoon","Evening"))</f>
        <v>Afternoon</v>
      </c>
      <c r="U123" s="41" t="str">
        <f aca="false">IF(J123&gt;=setLarge,"Large",IF(J123&gt;=setMedium,"Medium","Small"))</f>
        <v>Medium</v>
      </c>
      <c r="V123" s="41" t="str">
        <f aca="false">IF(P123&gt;=setExc,"Excellent",IF(P123&gt;=setGood,"Good",IF(P123&gt;=setAvg,"Average","Poor")))</f>
        <v>Average</v>
      </c>
    </row>
    <row r="124" customFormat="false" ht="15" hidden="false" customHeight="false" outlineLevel="0" collapsed="false">
      <c r="A124" s="41" t="s">
        <v>302</v>
      </c>
      <c r="B124" s="41" t="s">
        <v>189</v>
      </c>
      <c r="C124" s="41" t="s">
        <v>86</v>
      </c>
      <c r="D124" s="41" t="s">
        <v>104</v>
      </c>
      <c r="E124" s="41" t="s">
        <v>103</v>
      </c>
      <c r="F124" s="41" t="s">
        <v>77</v>
      </c>
      <c r="G124" s="42" t="n">
        <v>99.96</v>
      </c>
      <c r="H124" s="41" t="n">
        <v>9</v>
      </c>
      <c r="I124" s="42" t="n">
        <v>44.982</v>
      </c>
      <c r="J124" s="42" t="n">
        <v>944.622</v>
      </c>
      <c r="K124" s="43" t="n">
        <v>43533</v>
      </c>
      <c r="L124" s="44" t="n">
        <v>0.726388888888889</v>
      </c>
      <c r="M124" s="41" t="s">
        <v>99</v>
      </c>
      <c r="N124" s="42" t="n">
        <v>899.64</v>
      </c>
      <c r="O124" s="42" t="n">
        <v>44.982</v>
      </c>
      <c r="P124" s="45" t="n">
        <v>4.2</v>
      </c>
      <c r="Q124" s="41" t="str">
        <f aca="false">CHOOSE(MONTH(K124),"Jan","Feb","Mar","Apr","May","Jun","Jul","Aug","Sep","Oct","Nov","Dec")</f>
        <v>Mar</v>
      </c>
      <c r="R124" s="41" t="n">
        <f aca="false">INT((K124-setMinDate)/7)+1</f>
        <v>10</v>
      </c>
      <c r="S124" s="41" t="n">
        <f aca="false">HOUR(L124)</f>
        <v>17</v>
      </c>
      <c r="T124" s="41" t="str">
        <f aca="false">IF(S124&lt;setMorningEnd,"Morning",IF(S124&lt;setAfternoonEnd,"Afternoon","Evening"))</f>
        <v>Evening</v>
      </c>
      <c r="U124" s="41" t="str">
        <f aca="false">IF(J124&gt;=setLarge,"Large",IF(J124&gt;=setMedium,"Medium","Small"))</f>
        <v>Large</v>
      </c>
      <c r="V124" s="41" t="str">
        <f aca="false">IF(P124&gt;=setExc,"Excellent",IF(P124&gt;=setGood,"Good",IF(P124&gt;=setAvg,"Average","Poor")))</f>
        <v>Poor</v>
      </c>
    </row>
    <row r="125" customFormat="false" ht="15" hidden="false" customHeight="false" outlineLevel="0" collapsed="false">
      <c r="A125" s="41" t="s">
        <v>303</v>
      </c>
      <c r="B125" s="41" t="s">
        <v>180</v>
      </c>
      <c r="C125" s="41" t="s">
        <v>87</v>
      </c>
      <c r="D125" s="41" t="s">
        <v>104</v>
      </c>
      <c r="E125" s="41" t="s">
        <v>103</v>
      </c>
      <c r="F125" s="41" t="s">
        <v>80</v>
      </c>
      <c r="G125" s="42" t="n">
        <v>63.91</v>
      </c>
      <c r="H125" s="41" t="n">
        <v>8</v>
      </c>
      <c r="I125" s="42" t="n">
        <v>25.564</v>
      </c>
      <c r="J125" s="42" t="n">
        <v>536.844</v>
      </c>
      <c r="K125" s="43" t="n">
        <v>43537</v>
      </c>
      <c r="L125" s="44" t="n">
        <v>0.827777777777778</v>
      </c>
      <c r="M125" s="41" t="s">
        <v>99</v>
      </c>
      <c r="N125" s="42" t="n">
        <v>511.28</v>
      </c>
      <c r="O125" s="42" t="n">
        <v>25.564</v>
      </c>
      <c r="P125" s="45" t="n">
        <v>4.6</v>
      </c>
      <c r="Q125" s="41" t="str">
        <f aca="false">CHOOSE(MONTH(K125),"Jan","Feb","Mar","Apr","May","Jun","Jul","Aug","Sep","Oct","Nov","Dec")</f>
        <v>Mar</v>
      </c>
      <c r="R125" s="41" t="n">
        <f aca="false">INT((K125-setMinDate)/7)+1</f>
        <v>11</v>
      </c>
      <c r="S125" s="41" t="n">
        <f aca="false">HOUR(L125)</f>
        <v>19</v>
      </c>
      <c r="T125" s="41" t="str">
        <f aca="false">IF(S125&lt;setMorningEnd,"Morning",IF(S125&lt;setAfternoonEnd,"Afternoon","Evening"))</f>
        <v>Evening</v>
      </c>
      <c r="U125" s="41" t="str">
        <f aca="false">IF(J125&gt;=setLarge,"Large",IF(J125&gt;=setMedium,"Medium","Small"))</f>
        <v>Medium</v>
      </c>
      <c r="V125" s="41" t="str">
        <f aca="false">IF(P125&gt;=setExc,"Excellent",IF(P125&gt;=setGood,"Good",IF(P125&gt;=setAvg,"Average","Poor")))</f>
        <v>Poor</v>
      </c>
    </row>
    <row r="126" customFormat="false" ht="15" hidden="false" customHeight="false" outlineLevel="0" collapsed="false">
      <c r="A126" s="41" t="s">
        <v>304</v>
      </c>
      <c r="B126" s="41" t="s">
        <v>189</v>
      </c>
      <c r="C126" s="41" t="s">
        <v>86</v>
      </c>
      <c r="D126" s="41" t="s">
        <v>104</v>
      </c>
      <c r="E126" s="41" t="s">
        <v>102</v>
      </c>
      <c r="F126" s="41" t="s">
        <v>79</v>
      </c>
      <c r="G126" s="42" t="n">
        <v>56.47</v>
      </c>
      <c r="H126" s="41" t="n">
        <v>8</v>
      </c>
      <c r="I126" s="42" t="n">
        <v>22.588</v>
      </c>
      <c r="J126" s="42" t="n">
        <v>474.348</v>
      </c>
      <c r="K126" s="43" t="n">
        <v>43533</v>
      </c>
      <c r="L126" s="44" t="n">
        <v>0.622916666666667</v>
      </c>
      <c r="M126" s="41" t="s">
        <v>98</v>
      </c>
      <c r="N126" s="42" t="n">
        <v>451.76</v>
      </c>
      <c r="O126" s="42" t="n">
        <v>22.588</v>
      </c>
      <c r="P126" s="45" t="n">
        <v>7.3</v>
      </c>
      <c r="Q126" s="41" t="str">
        <f aca="false">CHOOSE(MONTH(K126),"Jan","Feb","Mar","Apr","May","Jun","Jul","Aug","Sep","Oct","Nov","Dec")</f>
        <v>Mar</v>
      </c>
      <c r="R126" s="41" t="n">
        <f aca="false">INT((K126-setMinDate)/7)+1</f>
        <v>10</v>
      </c>
      <c r="S126" s="41" t="n">
        <f aca="false">HOUR(L126)</f>
        <v>14</v>
      </c>
      <c r="T126" s="41" t="str">
        <f aca="false">IF(S126&lt;setMorningEnd,"Morning",IF(S126&lt;setAfternoonEnd,"Afternoon","Evening"))</f>
        <v>Afternoon</v>
      </c>
      <c r="U126" s="41" t="str">
        <f aca="false">IF(J126&gt;=setLarge,"Large",IF(J126&gt;=setMedium,"Medium","Small"))</f>
        <v>Medium</v>
      </c>
      <c r="V126" s="41" t="str">
        <f aca="false">IF(P126&gt;=setExc,"Excellent",IF(P126&gt;=setGood,"Good",IF(P126&gt;=setAvg,"Average","Poor")))</f>
        <v>Good</v>
      </c>
    </row>
    <row r="127" customFormat="false" ht="15" hidden="false" customHeight="false" outlineLevel="0" collapsed="false">
      <c r="A127" s="41" t="s">
        <v>305</v>
      </c>
      <c r="B127" s="41" t="s">
        <v>178</v>
      </c>
      <c r="C127" s="41" t="s">
        <v>85</v>
      </c>
      <c r="D127" s="41" t="s">
        <v>105</v>
      </c>
      <c r="E127" s="41" t="s">
        <v>102</v>
      </c>
      <c r="F127" s="41" t="s">
        <v>80</v>
      </c>
      <c r="G127" s="42" t="n">
        <v>93.69</v>
      </c>
      <c r="H127" s="41" t="n">
        <v>7</v>
      </c>
      <c r="I127" s="42" t="n">
        <v>32.7915</v>
      </c>
      <c r="J127" s="42" t="n">
        <v>688.6215</v>
      </c>
      <c r="K127" s="43" t="n">
        <v>43534</v>
      </c>
      <c r="L127" s="44" t="n">
        <v>0.780555555555556</v>
      </c>
      <c r="M127" s="41" t="s">
        <v>99</v>
      </c>
      <c r="N127" s="42" t="n">
        <v>655.83</v>
      </c>
      <c r="O127" s="42" t="n">
        <v>32.7915</v>
      </c>
      <c r="P127" s="45" t="n">
        <v>4.5</v>
      </c>
      <c r="Q127" s="41" t="str">
        <f aca="false">CHOOSE(MONTH(K127),"Jan","Feb","Mar","Apr","May","Jun","Jul","Aug","Sep","Oct","Nov","Dec")</f>
        <v>Mar</v>
      </c>
      <c r="R127" s="41" t="n">
        <f aca="false">INT((K127-setMinDate)/7)+1</f>
        <v>10</v>
      </c>
      <c r="S127" s="41" t="n">
        <f aca="false">HOUR(L127)</f>
        <v>18</v>
      </c>
      <c r="T127" s="41" t="str">
        <f aca="false">IF(S127&lt;setMorningEnd,"Morning",IF(S127&lt;setAfternoonEnd,"Afternoon","Evening"))</f>
        <v>Evening</v>
      </c>
      <c r="U127" s="41" t="str">
        <f aca="false">IF(J127&gt;=setLarge,"Large",IF(J127&gt;=setMedium,"Medium","Small"))</f>
        <v>Large</v>
      </c>
      <c r="V127" s="41" t="str">
        <f aca="false">IF(P127&gt;=setExc,"Excellent",IF(P127&gt;=setGood,"Good",IF(P127&gt;=setAvg,"Average","Poor")))</f>
        <v>Poor</v>
      </c>
    </row>
    <row r="128" customFormat="false" ht="15" hidden="false" customHeight="false" outlineLevel="0" collapsed="false">
      <c r="A128" s="41" t="s">
        <v>306</v>
      </c>
      <c r="B128" s="41" t="s">
        <v>178</v>
      </c>
      <c r="C128" s="41" t="s">
        <v>85</v>
      </c>
      <c r="D128" s="41" t="s">
        <v>105</v>
      </c>
      <c r="E128" s="41" t="s">
        <v>102</v>
      </c>
      <c r="F128" s="41" t="s">
        <v>77</v>
      </c>
      <c r="G128" s="42" t="n">
        <v>32.25</v>
      </c>
      <c r="H128" s="41" t="n">
        <v>5</v>
      </c>
      <c r="I128" s="42" t="n">
        <v>8.0625</v>
      </c>
      <c r="J128" s="42" t="n">
        <v>169.3125</v>
      </c>
      <c r="K128" s="43" t="n">
        <v>43492</v>
      </c>
      <c r="L128" s="44" t="n">
        <v>0.559722222222222</v>
      </c>
      <c r="M128" s="41" t="s">
        <v>97</v>
      </c>
      <c r="N128" s="42" t="n">
        <v>161.25</v>
      </c>
      <c r="O128" s="42" t="n">
        <v>8.0625</v>
      </c>
      <c r="P128" s="45" t="n">
        <v>9</v>
      </c>
      <c r="Q128" s="41" t="str">
        <f aca="false">CHOOSE(MONTH(K128),"Jan","Feb","Mar","Apr","May","Jun","Jul","Aug","Sep","Oct","Nov","Dec")</f>
        <v>Jan</v>
      </c>
      <c r="R128" s="41" t="n">
        <f aca="false">INT((K128-setMinDate)/7)+1</f>
        <v>4</v>
      </c>
      <c r="S128" s="41" t="n">
        <f aca="false">HOUR(L128)</f>
        <v>13</v>
      </c>
      <c r="T128" s="41" t="str">
        <f aca="false">IF(S128&lt;setMorningEnd,"Morning",IF(S128&lt;setAfternoonEnd,"Afternoon","Evening"))</f>
        <v>Afternoon</v>
      </c>
      <c r="U128" s="41" t="str">
        <f aca="false">IF(J128&gt;=setLarge,"Large",IF(J128&gt;=setMedium,"Medium","Small"))</f>
        <v>Small</v>
      </c>
      <c r="V128" s="41" t="str">
        <f aca="false">IF(P128&gt;=setExc,"Excellent",IF(P128&gt;=setGood,"Good",IF(P128&gt;=setAvg,"Average","Poor")))</f>
        <v>Excellent</v>
      </c>
    </row>
    <row r="129" customFormat="false" ht="15" hidden="false" customHeight="false" outlineLevel="0" collapsed="false">
      <c r="A129" s="41" t="s">
        <v>307</v>
      </c>
      <c r="B129" s="41" t="s">
        <v>180</v>
      </c>
      <c r="C129" s="41" t="s">
        <v>87</v>
      </c>
      <c r="D129" s="41" t="s">
        <v>105</v>
      </c>
      <c r="E129" s="41" t="s">
        <v>102</v>
      </c>
      <c r="F129" s="41" t="s">
        <v>79</v>
      </c>
      <c r="G129" s="42" t="n">
        <v>31.73</v>
      </c>
      <c r="H129" s="41" t="n">
        <v>9</v>
      </c>
      <c r="I129" s="42" t="n">
        <v>14.2785</v>
      </c>
      <c r="J129" s="42" t="n">
        <v>299.8485</v>
      </c>
      <c r="K129" s="43" t="n">
        <v>43473</v>
      </c>
      <c r="L129" s="44" t="n">
        <v>0.678472222222222</v>
      </c>
      <c r="M129" s="41" t="s">
        <v>99</v>
      </c>
      <c r="N129" s="42" t="n">
        <v>285.57</v>
      </c>
      <c r="O129" s="42" t="n">
        <v>14.2785</v>
      </c>
      <c r="P129" s="45" t="n">
        <v>5.9</v>
      </c>
      <c r="Q129" s="41" t="str">
        <f aca="false">CHOOSE(MONTH(K129),"Jan","Feb","Mar","Apr","May","Jun","Jul","Aug","Sep","Oct","Nov","Dec")</f>
        <v>Jan</v>
      </c>
      <c r="R129" s="41" t="n">
        <f aca="false">INT((K129-setMinDate)/7)+1</f>
        <v>2</v>
      </c>
      <c r="S129" s="41" t="n">
        <f aca="false">HOUR(L129)</f>
        <v>16</v>
      </c>
      <c r="T129" s="41" t="str">
        <f aca="false">IF(S129&lt;setMorningEnd,"Morning",IF(S129&lt;setAfternoonEnd,"Afternoon","Evening"))</f>
        <v>Afternoon</v>
      </c>
      <c r="U129" s="41" t="str">
        <f aca="false">IF(J129&gt;=setLarge,"Large",IF(J129&gt;=setMedium,"Medium","Small"))</f>
        <v>Medium</v>
      </c>
      <c r="V129" s="41" t="str">
        <f aca="false">IF(P129&gt;=setExc,"Excellent",IF(P129&gt;=setGood,"Good",IF(P129&gt;=setAvg,"Average","Poor")))</f>
        <v>Average</v>
      </c>
    </row>
    <row r="130" customFormat="false" ht="15" hidden="false" customHeight="false" outlineLevel="0" collapsed="false">
      <c r="A130" s="41" t="s">
        <v>308</v>
      </c>
      <c r="B130" s="41" t="s">
        <v>180</v>
      </c>
      <c r="C130" s="41" t="s">
        <v>87</v>
      </c>
      <c r="D130" s="41" t="s">
        <v>104</v>
      </c>
      <c r="E130" s="41" t="s">
        <v>102</v>
      </c>
      <c r="F130" s="41" t="s">
        <v>76</v>
      </c>
      <c r="G130" s="42" t="n">
        <v>68.54</v>
      </c>
      <c r="H130" s="41" t="n">
        <v>8</v>
      </c>
      <c r="I130" s="42" t="n">
        <v>27.416</v>
      </c>
      <c r="J130" s="42" t="n">
        <v>575.736</v>
      </c>
      <c r="K130" s="43" t="n">
        <v>43473</v>
      </c>
      <c r="L130" s="44" t="n">
        <v>0.664583333333333</v>
      </c>
      <c r="M130" s="41" t="s">
        <v>98</v>
      </c>
      <c r="N130" s="42" t="n">
        <v>548.32</v>
      </c>
      <c r="O130" s="42" t="n">
        <v>27.416</v>
      </c>
      <c r="P130" s="45" t="n">
        <v>8.5</v>
      </c>
      <c r="Q130" s="41" t="str">
        <f aca="false">CHOOSE(MONTH(K130),"Jan","Feb","Mar","Apr","May","Jun","Jul","Aug","Sep","Oct","Nov","Dec")</f>
        <v>Jan</v>
      </c>
      <c r="R130" s="41" t="n">
        <f aca="false">INT((K130-setMinDate)/7)+1</f>
        <v>2</v>
      </c>
      <c r="S130" s="41" t="n">
        <f aca="false">HOUR(L130)</f>
        <v>15</v>
      </c>
      <c r="T130" s="41" t="str">
        <f aca="false">IF(S130&lt;setMorningEnd,"Morning",IF(S130&lt;setAfternoonEnd,"Afternoon","Evening"))</f>
        <v>Afternoon</v>
      </c>
      <c r="U130" s="41" t="str">
        <f aca="false">IF(J130&gt;=setLarge,"Large",IF(J130&gt;=setMedium,"Medium","Small"))</f>
        <v>Medium</v>
      </c>
      <c r="V130" s="41" t="str">
        <f aca="false">IF(P130&gt;=setExc,"Excellent",IF(P130&gt;=setGood,"Good",IF(P130&gt;=setAvg,"Average","Poor")))</f>
        <v>Good</v>
      </c>
    </row>
    <row r="131" customFormat="false" ht="15" hidden="false" customHeight="false" outlineLevel="0" collapsed="false">
      <c r="A131" s="41" t="s">
        <v>309</v>
      </c>
      <c r="B131" s="41" t="s">
        <v>189</v>
      </c>
      <c r="C131" s="41" t="s">
        <v>86</v>
      </c>
      <c r="D131" s="41" t="s">
        <v>105</v>
      </c>
      <c r="E131" s="41" t="s">
        <v>102</v>
      </c>
      <c r="F131" s="41" t="s">
        <v>77</v>
      </c>
      <c r="G131" s="42" t="n">
        <v>90.28</v>
      </c>
      <c r="H131" s="41" t="n">
        <v>9</v>
      </c>
      <c r="I131" s="42" t="n">
        <v>40.626</v>
      </c>
      <c r="J131" s="42" t="n">
        <v>853.146</v>
      </c>
      <c r="K131" s="43" t="n">
        <v>43504</v>
      </c>
      <c r="L131" s="44" t="n">
        <v>0.46875</v>
      </c>
      <c r="M131" s="41" t="s">
        <v>98</v>
      </c>
      <c r="N131" s="42" t="n">
        <v>812.52</v>
      </c>
      <c r="O131" s="42" t="n">
        <v>40.626</v>
      </c>
      <c r="P131" s="45" t="n">
        <v>7.2</v>
      </c>
      <c r="Q131" s="41" t="str">
        <f aca="false">CHOOSE(MONTH(K131),"Jan","Feb","Mar","Apr","May","Jun","Jul","Aug","Sep","Oct","Nov","Dec")</f>
        <v>Feb</v>
      </c>
      <c r="R131" s="41" t="n">
        <f aca="false">INT((K131-setMinDate)/7)+1</f>
        <v>6</v>
      </c>
      <c r="S131" s="41" t="n">
        <f aca="false">HOUR(L131)</f>
        <v>11</v>
      </c>
      <c r="T131" s="41" t="str">
        <f aca="false">IF(S131&lt;setMorningEnd,"Morning",IF(S131&lt;setAfternoonEnd,"Afternoon","Evening"))</f>
        <v>Morning</v>
      </c>
      <c r="U131" s="41" t="str">
        <f aca="false">IF(J131&gt;=setLarge,"Large",IF(J131&gt;=setMedium,"Medium","Small"))</f>
        <v>Large</v>
      </c>
      <c r="V131" s="41" t="str">
        <f aca="false">IF(P131&gt;=setExc,"Excellent",IF(P131&gt;=setGood,"Good",IF(P131&gt;=setAvg,"Average","Poor")))</f>
        <v>Good</v>
      </c>
    </row>
    <row r="132" customFormat="false" ht="15" hidden="false" customHeight="false" outlineLevel="0" collapsed="false">
      <c r="A132" s="41" t="s">
        <v>310</v>
      </c>
      <c r="B132" s="41" t="s">
        <v>189</v>
      </c>
      <c r="C132" s="41" t="s">
        <v>86</v>
      </c>
      <c r="D132" s="41" t="s">
        <v>105</v>
      </c>
      <c r="E132" s="41" t="s">
        <v>102</v>
      </c>
      <c r="F132" s="41" t="s">
        <v>79</v>
      </c>
      <c r="G132" s="42" t="n">
        <v>39.62</v>
      </c>
      <c r="H132" s="41" t="n">
        <v>7</v>
      </c>
      <c r="I132" s="42" t="n">
        <v>13.867</v>
      </c>
      <c r="J132" s="42" t="n">
        <v>291.207</v>
      </c>
      <c r="K132" s="43" t="n">
        <v>43490</v>
      </c>
      <c r="L132" s="44" t="n">
        <v>0.554166666666667</v>
      </c>
      <c r="M132" s="41" t="s">
        <v>97</v>
      </c>
      <c r="N132" s="42" t="n">
        <v>277.34</v>
      </c>
      <c r="O132" s="42" t="n">
        <v>13.867</v>
      </c>
      <c r="P132" s="45" t="n">
        <v>7.5</v>
      </c>
      <c r="Q132" s="41" t="str">
        <f aca="false">CHOOSE(MONTH(K132),"Jan","Feb","Mar","Apr","May","Jun","Jul","Aug","Sep","Oct","Nov","Dec")</f>
        <v>Jan</v>
      </c>
      <c r="R132" s="41" t="n">
        <f aca="false">INT((K132-setMinDate)/7)+1</f>
        <v>4</v>
      </c>
      <c r="S132" s="41" t="n">
        <f aca="false">HOUR(L132)</f>
        <v>13</v>
      </c>
      <c r="T132" s="41" t="str">
        <f aca="false">IF(S132&lt;setMorningEnd,"Morning",IF(S132&lt;setAfternoonEnd,"Afternoon","Evening"))</f>
        <v>Afternoon</v>
      </c>
      <c r="U132" s="41" t="str">
        <f aca="false">IF(J132&gt;=setLarge,"Large",IF(J132&gt;=setMedium,"Medium","Small"))</f>
        <v>Medium</v>
      </c>
      <c r="V132" s="41" t="str">
        <f aca="false">IF(P132&gt;=setExc,"Excellent",IF(P132&gt;=setGood,"Good",IF(P132&gt;=setAvg,"Average","Poor")))</f>
        <v>Good</v>
      </c>
    </row>
    <row r="133" customFormat="false" ht="15" hidden="false" customHeight="false" outlineLevel="0" collapsed="false">
      <c r="A133" s="41" t="s">
        <v>311</v>
      </c>
      <c r="B133" s="41" t="s">
        <v>178</v>
      </c>
      <c r="C133" s="41" t="s">
        <v>85</v>
      </c>
      <c r="D133" s="41" t="s">
        <v>104</v>
      </c>
      <c r="E133" s="41" t="s">
        <v>102</v>
      </c>
      <c r="F133" s="41" t="s">
        <v>77</v>
      </c>
      <c r="G133" s="42" t="n">
        <v>92.13</v>
      </c>
      <c r="H133" s="41" t="n">
        <v>6</v>
      </c>
      <c r="I133" s="42" t="n">
        <v>27.639</v>
      </c>
      <c r="J133" s="42" t="n">
        <v>580.419</v>
      </c>
      <c r="K133" s="43" t="n">
        <v>43530</v>
      </c>
      <c r="L133" s="44" t="n">
        <v>0.856944444444444</v>
      </c>
      <c r="M133" s="41" t="s">
        <v>97</v>
      </c>
      <c r="N133" s="42" t="n">
        <v>552.78</v>
      </c>
      <c r="O133" s="42" t="n">
        <v>27.639</v>
      </c>
      <c r="P133" s="45" t="n">
        <v>8.3</v>
      </c>
      <c r="Q133" s="41" t="str">
        <f aca="false">CHOOSE(MONTH(K133),"Jan","Feb","Mar","Apr","May","Jun","Jul","Aug","Sep","Oct","Nov","Dec")</f>
        <v>Mar</v>
      </c>
      <c r="R133" s="41" t="n">
        <f aca="false">INT((K133-setMinDate)/7)+1</f>
        <v>10</v>
      </c>
      <c r="S133" s="41" t="n">
        <f aca="false">HOUR(L133)</f>
        <v>20</v>
      </c>
      <c r="T133" s="41" t="str">
        <f aca="false">IF(S133&lt;setMorningEnd,"Morning",IF(S133&lt;setAfternoonEnd,"Afternoon","Evening"))</f>
        <v>Evening</v>
      </c>
      <c r="U133" s="41" t="str">
        <f aca="false">IF(J133&gt;=setLarge,"Large",IF(J133&gt;=setMedium,"Medium","Small"))</f>
        <v>Medium</v>
      </c>
      <c r="V133" s="41" t="str">
        <f aca="false">IF(P133&gt;=setExc,"Excellent",IF(P133&gt;=setGood,"Good",IF(P133&gt;=setAvg,"Average","Poor")))</f>
        <v>Good</v>
      </c>
    </row>
    <row r="134" customFormat="false" ht="15" hidden="false" customHeight="false" outlineLevel="0" collapsed="false">
      <c r="A134" s="41" t="s">
        <v>312</v>
      </c>
      <c r="B134" s="41" t="s">
        <v>189</v>
      </c>
      <c r="C134" s="41" t="s">
        <v>86</v>
      </c>
      <c r="D134" s="41" t="s">
        <v>105</v>
      </c>
      <c r="E134" s="41" t="s">
        <v>102</v>
      </c>
      <c r="F134" s="41" t="s">
        <v>77</v>
      </c>
      <c r="G134" s="42" t="n">
        <v>34.84</v>
      </c>
      <c r="H134" s="41" t="n">
        <v>4</v>
      </c>
      <c r="I134" s="42" t="n">
        <v>6.968</v>
      </c>
      <c r="J134" s="42" t="n">
        <v>146.328</v>
      </c>
      <c r="K134" s="43" t="n">
        <v>43506</v>
      </c>
      <c r="L134" s="44" t="n">
        <v>0.775</v>
      </c>
      <c r="M134" s="41" t="s">
        <v>97</v>
      </c>
      <c r="N134" s="42" t="n">
        <v>139.36</v>
      </c>
      <c r="O134" s="42" t="n">
        <v>6.968</v>
      </c>
      <c r="P134" s="45" t="n">
        <v>7.4</v>
      </c>
      <c r="Q134" s="41" t="str">
        <f aca="false">CHOOSE(MONTH(K134),"Jan","Feb","Mar","Apr","May","Jun","Jul","Aug","Sep","Oct","Nov","Dec")</f>
        <v>Feb</v>
      </c>
      <c r="R134" s="41" t="n">
        <f aca="false">INT((K134-setMinDate)/7)+1</f>
        <v>6</v>
      </c>
      <c r="S134" s="41" t="n">
        <f aca="false">HOUR(L134)</f>
        <v>18</v>
      </c>
      <c r="T134" s="41" t="str">
        <f aca="false">IF(S134&lt;setMorningEnd,"Morning",IF(S134&lt;setAfternoonEnd,"Afternoon","Evening"))</f>
        <v>Evening</v>
      </c>
      <c r="U134" s="41" t="str">
        <f aca="false">IF(J134&gt;=setLarge,"Large",IF(J134&gt;=setMedium,"Medium","Small"))</f>
        <v>Small</v>
      </c>
      <c r="V134" s="41" t="str">
        <f aca="false">IF(P134&gt;=setExc,"Excellent",IF(P134&gt;=setGood,"Good",IF(P134&gt;=setAvg,"Average","Poor")))</f>
        <v>Good</v>
      </c>
    </row>
    <row r="135" customFormat="false" ht="15" hidden="false" customHeight="false" outlineLevel="0" collapsed="false">
      <c r="A135" s="41" t="s">
        <v>313</v>
      </c>
      <c r="B135" s="41" t="s">
        <v>189</v>
      </c>
      <c r="C135" s="41" t="s">
        <v>86</v>
      </c>
      <c r="D135" s="41" t="s">
        <v>104</v>
      </c>
      <c r="E135" s="41" t="s">
        <v>103</v>
      </c>
      <c r="F135" s="41" t="s">
        <v>78</v>
      </c>
      <c r="G135" s="42" t="n">
        <v>87.45</v>
      </c>
      <c r="H135" s="41" t="n">
        <v>6</v>
      </c>
      <c r="I135" s="42" t="n">
        <v>26.235</v>
      </c>
      <c r="J135" s="42" t="n">
        <v>550.935</v>
      </c>
      <c r="K135" s="43" t="n">
        <v>43513</v>
      </c>
      <c r="L135" s="44" t="n">
        <v>0.611111111111111</v>
      </c>
      <c r="M135" s="41" t="s">
        <v>99</v>
      </c>
      <c r="N135" s="42" t="n">
        <v>524.7</v>
      </c>
      <c r="O135" s="42" t="n">
        <v>26.235</v>
      </c>
      <c r="P135" s="45" t="n">
        <v>8.8</v>
      </c>
      <c r="Q135" s="41" t="str">
        <f aca="false">CHOOSE(MONTH(K135),"Jan","Feb","Mar","Apr","May","Jun","Jul","Aug","Sep","Oct","Nov","Dec")</f>
        <v>Feb</v>
      </c>
      <c r="R135" s="41" t="n">
        <f aca="false">INT((K135-setMinDate)/7)+1</f>
        <v>7</v>
      </c>
      <c r="S135" s="41" t="n">
        <f aca="false">HOUR(L135)</f>
        <v>14</v>
      </c>
      <c r="T135" s="41" t="str">
        <f aca="false">IF(S135&lt;setMorningEnd,"Morning",IF(S135&lt;setAfternoonEnd,"Afternoon","Evening"))</f>
        <v>Afternoon</v>
      </c>
      <c r="U135" s="41" t="str">
        <f aca="false">IF(J135&gt;=setLarge,"Large",IF(J135&gt;=setMedium,"Medium","Small"))</f>
        <v>Medium</v>
      </c>
      <c r="V135" s="41" t="str">
        <f aca="false">IF(P135&gt;=setExc,"Excellent",IF(P135&gt;=setGood,"Good",IF(P135&gt;=setAvg,"Average","Poor")))</f>
        <v>Good</v>
      </c>
    </row>
    <row r="136" customFormat="false" ht="15" hidden="false" customHeight="false" outlineLevel="0" collapsed="false">
      <c r="A136" s="41" t="s">
        <v>314</v>
      </c>
      <c r="B136" s="41" t="s">
        <v>180</v>
      </c>
      <c r="C136" s="41" t="s">
        <v>87</v>
      </c>
      <c r="D136" s="41" t="s">
        <v>105</v>
      </c>
      <c r="E136" s="41" t="s">
        <v>102</v>
      </c>
      <c r="F136" s="41" t="s">
        <v>81</v>
      </c>
      <c r="G136" s="42" t="n">
        <v>81.3</v>
      </c>
      <c r="H136" s="41" t="n">
        <v>6</v>
      </c>
      <c r="I136" s="42" t="n">
        <v>24.39</v>
      </c>
      <c r="J136" s="42" t="n">
        <v>512.19</v>
      </c>
      <c r="K136" s="43" t="n">
        <v>43532</v>
      </c>
      <c r="L136" s="44" t="n">
        <v>0.696527777777778</v>
      </c>
      <c r="M136" s="41" t="s">
        <v>98</v>
      </c>
      <c r="N136" s="42" t="n">
        <v>487.8</v>
      </c>
      <c r="O136" s="42" t="n">
        <v>24.39</v>
      </c>
      <c r="P136" s="45" t="n">
        <v>5.3</v>
      </c>
      <c r="Q136" s="41" t="str">
        <f aca="false">CHOOSE(MONTH(K136),"Jan","Feb","Mar","Apr","May","Jun","Jul","Aug","Sep","Oct","Nov","Dec")</f>
        <v>Mar</v>
      </c>
      <c r="R136" s="41" t="n">
        <f aca="false">INT((K136-setMinDate)/7)+1</f>
        <v>10</v>
      </c>
      <c r="S136" s="41" t="n">
        <f aca="false">HOUR(L136)</f>
        <v>16</v>
      </c>
      <c r="T136" s="41" t="str">
        <f aca="false">IF(S136&lt;setMorningEnd,"Morning",IF(S136&lt;setAfternoonEnd,"Afternoon","Evening"))</f>
        <v>Afternoon</v>
      </c>
      <c r="U136" s="41" t="str">
        <f aca="false">IF(J136&gt;=setLarge,"Large",IF(J136&gt;=setMedium,"Medium","Small"))</f>
        <v>Medium</v>
      </c>
      <c r="V136" s="41" t="str">
        <f aca="false">IF(P136&gt;=setExc,"Excellent",IF(P136&gt;=setGood,"Good",IF(P136&gt;=setAvg,"Average","Poor")))</f>
        <v>Average</v>
      </c>
    </row>
    <row r="137" customFormat="false" ht="15" hidden="false" customHeight="false" outlineLevel="0" collapsed="false">
      <c r="A137" s="41" t="s">
        <v>315</v>
      </c>
      <c r="B137" s="41" t="s">
        <v>180</v>
      </c>
      <c r="C137" s="41" t="s">
        <v>87</v>
      </c>
      <c r="D137" s="41" t="s">
        <v>105</v>
      </c>
      <c r="E137" s="41" t="s">
        <v>103</v>
      </c>
      <c r="F137" s="41" t="s">
        <v>79</v>
      </c>
      <c r="G137" s="42" t="n">
        <v>90.22</v>
      </c>
      <c r="H137" s="41" t="n">
        <v>3</v>
      </c>
      <c r="I137" s="42" t="n">
        <v>13.533</v>
      </c>
      <c r="J137" s="42" t="n">
        <v>284.193</v>
      </c>
      <c r="K137" s="43" t="n">
        <v>43514</v>
      </c>
      <c r="L137" s="44" t="n">
        <v>0.81875</v>
      </c>
      <c r="M137" s="41" t="s">
        <v>97</v>
      </c>
      <c r="N137" s="42" t="n">
        <v>270.66</v>
      </c>
      <c r="O137" s="42" t="n">
        <v>13.533</v>
      </c>
      <c r="P137" s="45" t="n">
        <v>6.2</v>
      </c>
      <c r="Q137" s="41" t="str">
        <f aca="false">CHOOSE(MONTH(K137),"Jan","Feb","Mar","Apr","May","Jun","Jul","Aug","Sep","Oct","Nov","Dec")</f>
        <v>Feb</v>
      </c>
      <c r="R137" s="41" t="n">
        <f aca="false">INT((K137-setMinDate)/7)+1</f>
        <v>7</v>
      </c>
      <c r="S137" s="41" t="n">
        <f aca="false">HOUR(L137)</f>
        <v>19</v>
      </c>
      <c r="T137" s="41" t="str">
        <f aca="false">IF(S137&lt;setMorningEnd,"Morning",IF(S137&lt;setAfternoonEnd,"Afternoon","Evening"))</f>
        <v>Evening</v>
      </c>
      <c r="U137" s="41" t="str">
        <f aca="false">IF(J137&gt;=setLarge,"Large",IF(J137&gt;=setMedium,"Medium","Small"))</f>
        <v>Medium</v>
      </c>
      <c r="V137" s="41" t="str">
        <f aca="false">IF(P137&gt;=setExc,"Excellent",IF(P137&gt;=setGood,"Good",IF(P137&gt;=setAvg,"Average","Poor")))</f>
        <v>Average</v>
      </c>
    </row>
    <row r="138" customFormat="false" ht="15" hidden="false" customHeight="false" outlineLevel="0" collapsed="false">
      <c r="A138" s="41" t="s">
        <v>316</v>
      </c>
      <c r="B138" s="41" t="s">
        <v>178</v>
      </c>
      <c r="C138" s="41" t="s">
        <v>85</v>
      </c>
      <c r="D138" s="41" t="s">
        <v>105</v>
      </c>
      <c r="E138" s="41" t="s">
        <v>102</v>
      </c>
      <c r="F138" s="41" t="s">
        <v>78</v>
      </c>
      <c r="G138" s="42" t="n">
        <v>26.31</v>
      </c>
      <c r="H138" s="41" t="n">
        <v>5</v>
      </c>
      <c r="I138" s="42" t="n">
        <v>6.5775</v>
      </c>
      <c r="J138" s="42" t="n">
        <v>138.1275</v>
      </c>
      <c r="K138" s="43" t="n">
        <v>43483</v>
      </c>
      <c r="L138" s="44" t="n">
        <v>0.874305555555556</v>
      </c>
      <c r="M138" s="41" t="s">
        <v>99</v>
      </c>
      <c r="N138" s="42" t="n">
        <v>131.55</v>
      </c>
      <c r="O138" s="42" t="n">
        <v>6.5775</v>
      </c>
      <c r="P138" s="45" t="n">
        <v>8.8</v>
      </c>
      <c r="Q138" s="41" t="str">
        <f aca="false">CHOOSE(MONTH(K138),"Jan","Feb","Mar","Apr","May","Jun","Jul","Aug","Sep","Oct","Nov","Dec")</f>
        <v>Jan</v>
      </c>
      <c r="R138" s="41" t="n">
        <f aca="false">INT((K138-setMinDate)/7)+1</f>
        <v>3</v>
      </c>
      <c r="S138" s="41" t="n">
        <f aca="false">HOUR(L138)</f>
        <v>20</v>
      </c>
      <c r="T138" s="41" t="str">
        <f aca="false">IF(S138&lt;setMorningEnd,"Morning",IF(S138&lt;setAfternoonEnd,"Afternoon","Evening"))</f>
        <v>Evening</v>
      </c>
      <c r="U138" s="41" t="str">
        <f aca="false">IF(J138&gt;=setLarge,"Large",IF(J138&gt;=setMedium,"Medium","Small"))</f>
        <v>Small</v>
      </c>
      <c r="V138" s="41" t="str">
        <f aca="false">IF(P138&gt;=setExc,"Excellent",IF(P138&gt;=setGood,"Good",IF(P138&gt;=setAvg,"Average","Poor")))</f>
        <v>Good</v>
      </c>
    </row>
    <row r="139" customFormat="false" ht="15" hidden="false" customHeight="false" outlineLevel="0" collapsed="false">
      <c r="A139" s="41" t="s">
        <v>317</v>
      </c>
      <c r="B139" s="41" t="s">
        <v>178</v>
      </c>
      <c r="C139" s="41" t="s">
        <v>85</v>
      </c>
      <c r="D139" s="41" t="s">
        <v>104</v>
      </c>
      <c r="E139" s="41" t="s">
        <v>102</v>
      </c>
      <c r="F139" s="41" t="s">
        <v>80</v>
      </c>
      <c r="G139" s="42" t="n">
        <v>34.42</v>
      </c>
      <c r="H139" s="41" t="n">
        <v>6</v>
      </c>
      <c r="I139" s="42" t="n">
        <v>10.326</v>
      </c>
      <c r="J139" s="42" t="n">
        <v>216.846</v>
      </c>
      <c r="K139" s="43" t="n">
        <v>43514</v>
      </c>
      <c r="L139" s="44" t="n">
        <v>0.652083333333333</v>
      </c>
      <c r="M139" s="41" t="s">
        <v>97</v>
      </c>
      <c r="N139" s="42" t="n">
        <v>206.52</v>
      </c>
      <c r="O139" s="42" t="n">
        <v>10.326</v>
      </c>
      <c r="P139" s="45" t="n">
        <v>9.8</v>
      </c>
      <c r="Q139" s="41" t="str">
        <f aca="false">CHOOSE(MONTH(K139),"Jan","Feb","Mar","Apr","May","Jun","Jul","Aug","Sep","Oct","Nov","Dec")</f>
        <v>Feb</v>
      </c>
      <c r="R139" s="41" t="n">
        <f aca="false">INT((K139-setMinDate)/7)+1</f>
        <v>7</v>
      </c>
      <c r="S139" s="41" t="n">
        <f aca="false">HOUR(L139)</f>
        <v>15</v>
      </c>
      <c r="T139" s="41" t="str">
        <f aca="false">IF(S139&lt;setMorningEnd,"Morning",IF(S139&lt;setAfternoonEnd,"Afternoon","Evening"))</f>
        <v>Afternoon</v>
      </c>
      <c r="U139" s="41" t="str">
        <f aca="false">IF(J139&gt;=setLarge,"Large",IF(J139&gt;=setMedium,"Medium","Small"))</f>
        <v>Small</v>
      </c>
      <c r="V139" s="41" t="str">
        <f aca="false">IF(P139&gt;=setExc,"Excellent",IF(P139&gt;=setGood,"Good",IF(P139&gt;=setAvg,"Average","Poor")))</f>
        <v>Excellent</v>
      </c>
    </row>
    <row r="140" customFormat="false" ht="15" hidden="false" customHeight="false" outlineLevel="0" collapsed="false">
      <c r="A140" s="41" t="s">
        <v>318</v>
      </c>
      <c r="B140" s="41" t="s">
        <v>189</v>
      </c>
      <c r="C140" s="41" t="s">
        <v>86</v>
      </c>
      <c r="D140" s="41" t="s">
        <v>105</v>
      </c>
      <c r="E140" s="41" t="s">
        <v>103</v>
      </c>
      <c r="F140" s="41" t="s">
        <v>77</v>
      </c>
      <c r="G140" s="42" t="n">
        <v>51.91</v>
      </c>
      <c r="H140" s="41" t="n">
        <v>10</v>
      </c>
      <c r="I140" s="42" t="n">
        <v>25.955</v>
      </c>
      <c r="J140" s="42" t="n">
        <v>545.055</v>
      </c>
      <c r="K140" s="43" t="n">
        <v>43512</v>
      </c>
      <c r="L140" s="44" t="n">
        <v>0.514583333333333</v>
      </c>
      <c r="M140" s="41" t="s">
        <v>97</v>
      </c>
      <c r="N140" s="42" t="n">
        <v>519.1</v>
      </c>
      <c r="O140" s="42" t="n">
        <v>25.955</v>
      </c>
      <c r="P140" s="45" t="n">
        <v>8.2</v>
      </c>
      <c r="Q140" s="41" t="str">
        <f aca="false">CHOOSE(MONTH(K140),"Jan","Feb","Mar","Apr","May","Jun","Jul","Aug","Sep","Oct","Nov","Dec")</f>
        <v>Feb</v>
      </c>
      <c r="R140" s="41" t="n">
        <f aca="false">INT((K140-setMinDate)/7)+1</f>
        <v>7</v>
      </c>
      <c r="S140" s="41" t="n">
        <f aca="false">HOUR(L140)</f>
        <v>12</v>
      </c>
      <c r="T140" s="41" t="str">
        <f aca="false">IF(S140&lt;setMorningEnd,"Morning",IF(S140&lt;setAfternoonEnd,"Afternoon","Evening"))</f>
        <v>Afternoon</v>
      </c>
      <c r="U140" s="41" t="str">
        <f aca="false">IF(J140&gt;=setLarge,"Large",IF(J140&gt;=setMedium,"Medium","Small"))</f>
        <v>Medium</v>
      </c>
      <c r="V140" s="41" t="str">
        <f aca="false">IF(P140&gt;=setExc,"Excellent",IF(P140&gt;=setGood,"Good",IF(P140&gt;=setAvg,"Average","Poor")))</f>
        <v>Good</v>
      </c>
    </row>
    <row r="141" customFormat="false" ht="15" hidden="false" customHeight="false" outlineLevel="0" collapsed="false">
      <c r="A141" s="41" t="s">
        <v>319</v>
      </c>
      <c r="B141" s="41" t="s">
        <v>178</v>
      </c>
      <c r="C141" s="41" t="s">
        <v>85</v>
      </c>
      <c r="D141" s="41" t="s">
        <v>105</v>
      </c>
      <c r="E141" s="41" t="s">
        <v>103</v>
      </c>
      <c r="F141" s="41" t="s">
        <v>77</v>
      </c>
      <c r="G141" s="42" t="n">
        <v>72.5</v>
      </c>
      <c r="H141" s="41" t="n">
        <v>8</v>
      </c>
      <c r="I141" s="42" t="n">
        <v>29</v>
      </c>
      <c r="J141" s="42" t="n">
        <v>609</v>
      </c>
      <c r="K141" s="43" t="n">
        <v>43540</v>
      </c>
      <c r="L141" s="44" t="n">
        <v>0.809027777777778</v>
      </c>
      <c r="M141" s="41" t="s">
        <v>98</v>
      </c>
      <c r="N141" s="42" t="n">
        <v>580</v>
      </c>
      <c r="O141" s="42" t="n">
        <v>29</v>
      </c>
      <c r="P141" s="45" t="n">
        <v>9.2</v>
      </c>
      <c r="Q141" s="41" t="str">
        <f aca="false">CHOOSE(MONTH(K141),"Jan","Feb","Mar","Apr","May","Jun","Jul","Aug","Sep","Oct","Nov","Dec")</f>
        <v>Mar</v>
      </c>
      <c r="R141" s="41" t="n">
        <f aca="false">INT((K141-setMinDate)/7)+1</f>
        <v>11</v>
      </c>
      <c r="S141" s="41" t="n">
        <f aca="false">HOUR(L141)</f>
        <v>19</v>
      </c>
      <c r="T141" s="41" t="str">
        <f aca="false">IF(S141&lt;setMorningEnd,"Morning",IF(S141&lt;setAfternoonEnd,"Afternoon","Evening"))</f>
        <v>Evening</v>
      </c>
      <c r="U141" s="41" t="str">
        <f aca="false">IF(J141&gt;=setLarge,"Large",IF(J141&gt;=setMedium,"Medium","Small"))</f>
        <v>Large</v>
      </c>
      <c r="V141" s="41" t="str">
        <f aca="false">IF(P141&gt;=setExc,"Excellent",IF(P141&gt;=setGood,"Good",IF(P141&gt;=setAvg,"Average","Poor")))</f>
        <v>Excellent</v>
      </c>
    </row>
    <row r="142" customFormat="false" ht="15" hidden="false" customHeight="false" outlineLevel="0" collapsed="false">
      <c r="A142" s="41" t="s">
        <v>320</v>
      </c>
      <c r="B142" s="41" t="s">
        <v>180</v>
      </c>
      <c r="C142" s="41" t="s">
        <v>87</v>
      </c>
      <c r="D142" s="41" t="s">
        <v>104</v>
      </c>
      <c r="E142" s="41" t="s">
        <v>102</v>
      </c>
      <c r="F142" s="41" t="s">
        <v>77</v>
      </c>
      <c r="G142" s="42" t="n">
        <v>89.8</v>
      </c>
      <c r="H142" s="41" t="n">
        <v>10</v>
      </c>
      <c r="I142" s="42" t="n">
        <v>44.9</v>
      </c>
      <c r="J142" s="42" t="n">
        <v>942.9</v>
      </c>
      <c r="K142" s="43" t="n">
        <v>43488</v>
      </c>
      <c r="L142" s="44" t="n">
        <v>0.541666666666667</v>
      </c>
      <c r="M142" s="41" t="s">
        <v>99</v>
      </c>
      <c r="N142" s="42" t="n">
        <v>898</v>
      </c>
      <c r="O142" s="42" t="n">
        <v>44.9</v>
      </c>
      <c r="P142" s="45" t="n">
        <v>5.4</v>
      </c>
      <c r="Q142" s="41" t="str">
        <f aca="false">CHOOSE(MONTH(K142),"Jan","Feb","Mar","Apr","May","Jun","Jul","Aug","Sep","Oct","Nov","Dec")</f>
        <v>Jan</v>
      </c>
      <c r="R142" s="41" t="n">
        <f aca="false">INT((K142-setMinDate)/7)+1</f>
        <v>4</v>
      </c>
      <c r="S142" s="41" t="n">
        <f aca="false">HOUR(L142)</f>
        <v>13</v>
      </c>
      <c r="T142" s="41" t="str">
        <f aca="false">IF(S142&lt;setMorningEnd,"Morning",IF(S142&lt;setAfternoonEnd,"Afternoon","Evening"))</f>
        <v>Afternoon</v>
      </c>
      <c r="U142" s="41" t="str">
        <f aca="false">IF(J142&gt;=setLarge,"Large",IF(J142&gt;=setMedium,"Medium","Small"))</f>
        <v>Large</v>
      </c>
      <c r="V142" s="41" t="str">
        <f aca="false">IF(P142&gt;=setExc,"Excellent",IF(P142&gt;=setGood,"Good",IF(P142&gt;=setAvg,"Average","Poor")))</f>
        <v>Average</v>
      </c>
    </row>
    <row r="143" customFormat="false" ht="15" hidden="false" customHeight="false" outlineLevel="0" collapsed="false">
      <c r="A143" s="41" t="s">
        <v>321</v>
      </c>
      <c r="B143" s="41" t="s">
        <v>180</v>
      </c>
      <c r="C143" s="41" t="s">
        <v>87</v>
      </c>
      <c r="D143" s="41" t="s">
        <v>104</v>
      </c>
      <c r="E143" s="41" t="s">
        <v>103</v>
      </c>
      <c r="F143" s="41" t="s">
        <v>81</v>
      </c>
      <c r="G143" s="42" t="n">
        <v>90.5</v>
      </c>
      <c r="H143" s="41" t="n">
        <v>10</v>
      </c>
      <c r="I143" s="42" t="n">
        <v>45.25</v>
      </c>
      <c r="J143" s="42" t="n">
        <v>950.25</v>
      </c>
      <c r="K143" s="43" t="n">
        <v>43490</v>
      </c>
      <c r="L143" s="44" t="n">
        <v>0.575</v>
      </c>
      <c r="M143" s="41" t="s">
        <v>97</v>
      </c>
      <c r="N143" s="42" t="n">
        <v>905</v>
      </c>
      <c r="O143" s="42" t="n">
        <v>45.25</v>
      </c>
      <c r="P143" s="45" t="n">
        <v>8.1</v>
      </c>
      <c r="Q143" s="41" t="str">
        <f aca="false">CHOOSE(MONTH(K143),"Jan","Feb","Mar","Apr","May","Jun","Jul","Aug","Sep","Oct","Nov","Dec")</f>
        <v>Jan</v>
      </c>
      <c r="R143" s="41" t="n">
        <f aca="false">INT((K143-setMinDate)/7)+1</f>
        <v>4</v>
      </c>
      <c r="S143" s="41" t="n">
        <f aca="false">HOUR(L143)</f>
        <v>13</v>
      </c>
      <c r="T143" s="41" t="str">
        <f aca="false">IF(S143&lt;setMorningEnd,"Morning",IF(S143&lt;setAfternoonEnd,"Afternoon","Evening"))</f>
        <v>Afternoon</v>
      </c>
      <c r="U143" s="41" t="str">
        <f aca="false">IF(J143&gt;=setLarge,"Large",IF(J143&gt;=setMedium,"Medium","Small"))</f>
        <v>Large</v>
      </c>
      <c r="V143" s="41" t="str">
        <f aca="false">IF(P143&gt;=setExc,"Excellent",IF(P143&gt;=setGood,"Good",IF(P143&gt;=setAvg,"Average","Poor")))</f>
        <v>Good</v>
      </c>
    </row>
    <row r="144" customFormat="false" ht="15" hidden="false" customHeight="false" outlineLevel="0" collapsed="false">
      <c r="A144" s="41" t="s">
        <v>322</v>
      </c>
      <c r="B144" s="41" t="s">
        <v>180</v>
      </c>
      <c r="C144" s="41" t="s">
        <v>87</v>
      </c>
      <c r="D144" s="41" t="s">
        <v>104</v>
      </c>
      <c r="E144" s="41" t="s">
        <v>102</v>
      </c>
      <c r="F144" s="41" t="s">
        <v>81</v>
      </c>
      <c r="G144" s="42" t="n">
        <v>68.6</v>
      </c>
      <c r="H144" s="41" t="n">
        <v>10</v>
      </c>
      <c r="I144" s="42" t="n">
        <v>34.3</v>
      </c>
      <c r="J144" s="42" t="n">
        <v>720.3</v>
      </c>
      <c r="K144" s="43" t="n">
        <v>43501</v>
      </c>
      <c r="L144" s="44" t="n">
        <v>0.83125</v>
      </c>
      <c r="M144" s="41" t="s">
        <v>97</v>
      </c>
      <c r="N144" s="42" t="n">
        <v>686</v>
      </c>
      <c r="O144" s="42" t="n">
        <v>34.3</v>
      </c>
      <c r="P144" s="45" t="n">
        <v>9.1</v>
      </c>
      <c r="Q144" s="41" t="str">
        <f aca="false">CHOOSE(MONTH(K144),"Jan","Feb","Mar","Apr","May","Jun","Jul","Aug","Sep","Oct","Nov","Dec")</f>
        <v>Feb</v>
      </c>
      <c r="R144" s="41" t="n">
        <f aca="false">INT((K144-setMinDate)/7)+1</f>
        <v>6</v>
      </c>
      <c r="S144" s="41" t="n">
        <f aca="false">HOUR(L144)</f>
        <v>19</v>
      </c>
      <c r="T144" s="41" t="str">
        <f aca="false">IF(S144&lt;setMorningEnd,"Morning",IF(S144&lt;setAfternoonEnd,"Afternoon","Evening"))</f>
        <v>Evening</v>
      </c>
      <c r="U144" s="41" t="str">
        <f aca="false">IF(J144&gt;=setLarge,"Large",IF(J144&gt;=setMedium,"Medium","Small"))</f>
        <v>Large</v>
      </c>
      <c r="V144" s="41" t="str">
        <f aca="false">IF(P144&gt;=setExc,"Excellent",IF(P144&gt;=setGood,"Good",IF(P144&gt;=setAvg,"Average","Poor")))</f>
        <v>Excellent</v>
      </c>
    </row>
    <row r="145" customFormat="false" ht="15" hidden="false" customHeight="false" outlineLevel="0" collapsed="false">
      <c r="A145" s="41" t="s">
        <v>323</v>
      </c>
      <c r="B145" s="41" t="s">
        <v>180</v>
      </c>
      <c r="C145" s="41" t="s">
        <v>87</v>
      </c>
      <c r="D145" s="41" t="s">
        <v>104</v>
      </c>
      <c r="E145" s="41" t="s">
        <v>102</v>
      </c>
      <c r="F145" s="41" t="s">
        <v>76</v>
      </c>
      <c r="G145" s="42" t="n">
        <v>30.41</v>
      </c>
      <c r="H145" s="41" t="n">
        <v>1</v>
      </c>
      <c r="I145" s="42" t="n">
        <v>1.5205</v>
      </c>
      <c r="J145" s="42" t="n">
        <v>31.9305</v>
      </c>
      <c r="K145" s="43" t="n">
        <v>43518</v>
      </c>
      <c r="L145" s="44" t="n">
        <v>0.441666666666667</v>
      </c>
      <c r="M145" s="41" t="s">
        <v>99</v>
      </c>
      <c r="N145" s="42" t="n">
        <v>30.41</v>
      </c>
      <c r="O145" s="42" t="n">
        <v>1.5205</v>
      </c>
      <c r="P145" s="45" t="n">
        <v>8.4</v>
      </c>
      <c r="Q145" s="41" t="str">
        <f aca="false">CHOOSE(MONTH(K145),"Jan","Feb","Mar","Apr","May","Jun","Jul","Aug","Sep","Oct","Nov","Dec")</f>
        <v>Feb</v>
      </c>
      <c r="R145" s="41" t="n">
        <f aca="false">INT((K145-setMinDate)/7)+1</f>
        <v>8</v>
      </c>
      <c r="S145" s="41" t="n">
        <f aca="false">HOUR(L145)</f>
        <v>10</v>
      </c>
      <c r="T145" s="41" t="str">
        <f aca="false">IF(S145&lt;setMorningEnd,"Morning",IF(S145&lt;setAfternoonEnd,"Afternoon","Evening"))</f>
        <v>Morning</v>
      </c>
      <c r="U145" s="41" t="str">
        <f aca="false">IF(J145&gt;=setLarge,"Large",IF(J145&gt;=setMedium,"Medium","Small"))</f>
        <v>Small</v>
      </c>
      <c r="V145" s="41" t="str">
        <f aca="false">IF(P145&gt;=setExc,"Excellent",IF(P145&gt;=setGood,"Good",IF(P145&gt;=setAvg,"Average","Poor")))</f>
        <v>Good</v>
      </c>
    </row>
    <row r="146" customFormat="false" ht="15" hidden="false" customHeight="false" outlineLevel="0" collapsed="false">
      <c r="A146" s="41" t="s">
        <v>324</v>
      </c>
      <c r="B146" s="41" t="s">
        <v>178</v>
      </c>
      <c r="C146" s="41" t="s">
        <v>85</v>
      </c>
      <c r="D146" s="41" t="s">
        <v>105</v>
      </c>
      <c r="E146" s="41" t="s">
        <v>102</v>
      </c>
      <c r="F146" s="41" t="s">
        <v>80</v>
      </c>
      <c r="G146" s="42" t="n">
        <v>77.95</v>
      </c>
      <c r="H146" s="41" t="n">
        <v>6</v>
      </c>
      <c r="I146" s="42" t="n">
        <v>23.385</v>
      </c>
      <c r="J146" s="42" t="n">
        <v>491.085</v>
      </c>
      <c r="K146" s="43" t="n">
        <v>43486</v>
      </c>
      <c r="L146" s="44" t="n">
        <v>0.692361111111111</v>
      </c>
      <c r="M146" s="41" t="s">
        <v>98</v>
      </c>
      <c r="N146" s="42" t="n">
        <v>467.7</v>
      </c>
      <c r="O146" s="42" t="n">
        <v>23.385</v>
      </c>
      <c r="P146" s="45" t="n">
        <v>8</v>
      </c>
      <c r="Q146" s="41" t="str">
        <f aca="false">CHOOSE(MONTH(K146),"Jan","Feb","Mar","Apr","May","Jun","Jul","Aug","Sep","Oct","Nov","Dec")</f>
        <v>Jan</v>
      </c>
      <c r="R146" s="41" t="n">
        <f aca="false">INT((K146-setMinDate)/7)+1</f>
        <v>3</v>
      </c>
      <c r="S146" s="41" t="n">
        <f aca="false">HOUR(L146)</f>
        <v>16</v>
      </c>
      <c r="T146" s="41" t="str">
        <f aca="false">IF(S146&lt;setMorningEnd,"Morning",IF(S146&lt;setAfternoonEnd,"Afternoon","Evening"))</f>
        <v>Afternoon</v>
      </c>
      <c r="U146" s="41" t="str">
        <f aca="false">IF(J146&gt;=setLarge,"Large",IF(J146&gt;=setMedium,"Medium","Small"))</f>
        <v>Medium</v>
      </c>
      <c r="V146" s="41" t="str">
        <f aca="false">IF(P146&gt;=setExc,"Excellent",IF(P146&gt;=setGood,"Good",IF(P146&gt;=setAvg,"Average","Poor")))</f>
        <v>Good</v>
      </c>
    </row>
    <row r="147" customFormat="false" ht="15" hidden="false" customHeight="false" outlineLevel="0" collapsed="false">
      <c r="A147" s="41" t="s">
        <v>325</v>
      </c>
      <c r="B147" s="41" t="s">
        <v>180</v>
      </c>
      <c r="C147" s="41" t="s">
        <v>87</v>
      </c>
      <c r="D147" s="41" t="s">
        <v>105</v>
      </c>
      <c r="E147" s="41" t="s">
        <v>102</v>
      </c>
      <c r="F147" s="41" t="s">
        <v>81</v>
      </c>
      <c r="G147" s="42" t="n">
        <v>46.26</v>
      </c>
      <c r="H147" s="41" t="n">
        <v>6</v>
      </c>
      <c r="I147" s="42" t="n">
        <v>13.878</v>
      </c>
      <c r="J147" s="42" t="n">
        <v>291.438</v>
      </c>
      <c r="K147" s="43" t="n">
        <v>43532</v>
      </c>
      <c r="L147" s="44" t="n">
        <v>0.715972222222222</v>
      </c>
      <c r="M147" s="41" t="s">
        <v>99</v>
      </c>
      <c r="N147" s="42" t="n">
        <v>277.56</v>
      </c>
      <c r="O147" s="42" t="n">
        <v>13.878</v>
      </c>
      <c r="P147" s="45" t="n">
        <v>9.5</v>
      </c>
      <c r="Q147" s="41" t="str">
        <f aca="false">CHOOSE(MONTH(K147),"Jan","Feb","Mar","Apr","May","Jun","Jul","Aug","Sep","Oct","Nov","Dec")</f>
        <v>Mar</v>
      </c>
      <c r="R147" s="41" t="n">
        <f aca="false">INT((K147-setMinDate)/7)+1</f>
        <v>10</v>
      </c>
      <c r="S147" s="41" t="n">
        <f aca="false">HOUR(L147)</f>
        <v>17</v>
      </c>
      <c r="T147" s="41" t="str">
        <f aca="false">IF(S147&lt;setMorningEnd,"Morning",IF(S147&lt;setAfternoonEnd,"Afternoon","Evening"))</f>
        <v>Evening</v>
      </c>
      <c r="U147" s="41" t="str">
        <f aca="false">IF(J147&gt;=setLarge,"Large",IF(J147&gt;=setMedium,"Medium","Small"))</f>
        <v>Medium</v>
      </c>
      <c r="V147" s="41" t="str">
        <f aca="false">IF(P147&gt;=setExc,"Excellent",IF(P147&gt;=setGood,"Good",IF(P147&gt;=setAvg,"Average","Poor")))</f>
        <v>Excellent</v>
      </c>
    </row>
    <row r="148" customFormat="false" ht="15" hidden="false" customHeight="false" outlineLevel="0" collapsed="false">
      <c r="A148" s="41" t="s">
        <v>326</v>
      </c>
      <c r="B148" s="41" t="s">
        <v>178</v>
      </c>
      <c r="C148" s="41" t="s">
        <v>85</v>
      </c>
      <c r="D148" s="41" t="s">
        <v>104</v>
      </c>
      <c r="E148" s="41" t="s">
        <v>102</v>
      </c>
      <c r="F148" s="41" t="s">
        <v>79</v>
      </c>
      <c r="G148" s="42" t="n">
        <v>30.14</v>
      </c>
      <c r="H148" s="41" t="n">
        <v>10</v>
      </c>
      <c r="I148" s="42" t="n">
        <v>15.07</v>
      </c>
      <c r="J148" s="42" t="n">
        <v>316.47</v>
      </c>
      <c r="K148" s="43" t="n">
        <v>43506</v>
      </c>
      <c r="L148" s="44" t="n">
        <v>0.519444444444445</v>
      </c>
      <c r="M148" s="41" t="s">
        <v>98</v>
      </c>
      <c r="N148" s="42" t="n">
        <v>301.4</v>
      </c>
      <c r="O148" s="42" t="n">
        <v>15.07</v>
      </c>
      <c r="P148" s="45" t="n">
        <v>9.2</v>
      </c>
      <c r="Q148" s="41" t="str">
        <f aca="false">CHOOSE(MONTH(K148),"Jan","Feb","Mar","Apr","May","Jun","Jul","Aug","Sep","Oct","Nov","Dec")</f>
        <v>Feb</v>
      </c>
      <c r="R148" s="41" t="n">
        <f aca="false">INT((K148-setMinDate)/7)+1</f>
        <v>6</v>
      </c>
      <c r="S148" s="41" t="n">
        <f aca="false">HOUR(L148)</f>
        <v>12</v>
      </c>
      <c r="T148" s="41" t="str">
        <f aca="false">IF(S148&lt;setMorningEnd,"Morning",IF(S148&lt;setAfternoonEnd,"Afternoon","Evening"))</f>
        <v>Afternoon</v>
      </c>
      <c r="U148" s="41" t="str">
        <f aca="false">IF(J148&gt;=setLarge,"Large",IF(J148&gt;=setMedium,"Medium","Small"))</f>
        <v>Medium</v>
      </c>
      <c r="V148" s="41" t="str">
        <f aca="false">IF(P148&gt;=setExc,"Excellent",IF(P148&gt;=setGood,"Good",IF(P148&gt;=setAvg,"Average","Poor")))</f>
        <v>Excellent</v>
      </c>
    </row>
    <row r="149" customFormat="false" ht="15" hidden="false" customHeight="false" outlineLevel="0" collapsed="false">
      <c r="A149" s="41" t="s">
        <v>327</v>
      </c>
      <c r="B149" s="41" t="s">
        <v>180</v>
      </c>
      <c r="C149" s="41" t="s">
        <v>87</v>
      </c>
      <c r="D149" s="41" t="s">
        <v>105</v>
      </c>
      <c r="E149" s="41" t="s">
        <v>103</v>
      </c>
      <c r="F149" s="41" t="s">
        <v>81</v>
      </c>
      <c r="G149" s="42" t="n">
        <v>66.14</v>
      </c>
      <c r="H149" s="41" t="n">
        <v>4</v>
      </c>
      <c r="I149" s="42" t="n">
        <v>13.228</v>
      </c>
      <c r="J149" s="42" t="n">
        <v>277.788</v>
      </c>
      <c r="K149" s="43" t="n">
        <v>43543</v>
      </c>
      <c r="L149" s="44" t="n">
        <v>0.531944444444444</v>
      </c>
      <c r="M149" s="41" t="s">
        <v>99</v>
      </c>
      <c r="N149" s="42" t="n">
        <v>264.56</v>
      </c>
      <c r="O149" s="42" t="n">
        <v>13.228</v>
      </c>
      <c r="P149" s="45" t="n">
        <v>5.6</v>
      </c>
      <c r="Q149" s="41" t="str">
        <f aca="false">CHOOSE(MONTH(K149),"Jan","Feb","Mar","Apr","May","Jun","Jul","Aug","Sep","Oct","Nov","Dec")</f>
        <v>Mar</v>
      </c>
      <c r="R149" s="41" t="n">
        <f aca="false">INT((K149-setMinDate)/7)+1</f>
        <v>12</v>
      </c>
      <c r="S149" s="41" t="n">
        <f aca="false">HOUR(L149)</f>
        <v>12</v>
      </c>
      <c r="T149" s="41" t="str">
        <f aca="false">IF(S149&lt;setMorningEnd,"Morning",IF(S149&lt;setAfternoonEnd,"Afternoon","Evening"))</f>
        <v>Afternoon</v>
      </c>
      <c r="U149" s="41" t="str">
        <f aca="false">IF(J149&gt;=setLarge,"Large",IF(J149&gt;=setMedium,"Medium","Small"))</f>
        <v>Medium</v>
      </c>
      <c r="V149" s="41" t="str">
        <f aca="false">IF(P149&gt;=setExc,"Excellent",IF(P149&gt;=setGood,"Good",IF(P149&gt;=setAvg,"Average","Poor")))</f>
        <v>Average</v>
      </c>
    </row>
    <row r="150" customFormat="false" ht="15" hidden="false" customHeight="false" outlineLevel="0" collapsed="false">
      <c r="A150" s="41" t="s">
        <v>328</v>
      </c>
      <c r="B150" s="41" t="s">
        <v>189</v>
      </c>
      <c r="C150" s="41" t="s">
        <v>86</v>
      </c>
      <c r="D150" s="41" t="s">
        <v>104</v>
      </c>
      <c r="E150" s="41" t="s">
        <v>103</v>
      </c>
      <c r="F150" s="41" t="s">
        <v>80</v>
      </c>
      <c r="G150" s="42" t="n">
        <v>71.86</v>
      </c>
      <c r="H150" s="41" t="n">
        <v>8</v>
      </c>
      <c r="I150" s="42" t="n">
        <v>28.744</v>
      </c>
      <c r="J150" s="42" t="n">
        <v>603.624</v>
      </c>
      <c r="K150" s="43" t="n">
        <v>43530</v>
      </c>
      <c r="L150" s="44" t="n">
        <v>0.629861111111111</v>
      </c>
      <c r="M150" s="41" t="s">
        <v>99</v>
      </c>
      <c r="N150" s="42" t="n">
        <v>574.88</v>
      </c>
      <c r="O150" s="42" t="n">
        <v>28.744</v>
      </c>
      <c r="P150" s="45" t="n">
        <v>6.2</v>
      </c>
      <c r="Q150" s="41" t="str">
        <f aca="false">CHOOSE(MONTH(K150),"Jan","Feb","Mar","Apr","May","Jun","Jul","Aug","Sep","Oct","Nov","Dec")</f>
        <v>Mar</v>
      </c>
      <c r="R150" s="41" t="n">
        <f aca="false">INT((K150-setMinDate)/7)+1</f>
        <v>10</v>
      </c>
      <c r="S150" s="41" t="n">
        <f aca="false">HOUR(L150)</f>
        <v>15</v>
      </c>
      <c r="T150" s="41" t="str">
        <f aca="false">IF(S150&lt;setMorningEnd,"Morning",IF(S150&lt;setAfternoonEnd,"Afternoon","Evening"))</f>
        <v>Afternoon</v>
      </c>
      <c r="U150" s="41" t="str">
        <f aca="false">IF(J150&gt;=setLarge,"Large",IF(J150&gt;=setMedium,"Medium","Small"))</f>
        <v>Large</v>
      </c>
      <c r="V150" s="41" t="str">
        <f aca="false">IF(P150&gt;=setExc,"Excellent",IF(P150&gt;=setGood,"Good",IF(P150&gt;=setAvg,"Average","Poor")))</f>
        <v>Average</v>
      </c>
    </row>
    <row r="151" customFormat="false" ht="15" hidden="false" customHeight="false" outlineLevel="0" collapsed="false">
      <c r="A151" s="41" t="s">
        <v>329</v>
      </c>
      <c r="B151" s="41" t="s">
        <v>178</v>
      </c>
      <c r="C151" s="41" t="s">
        <v>85</v>
      </c>
      <c r="D151" s="41" t="s">
        <v>105</v>
      </c>
      <c r="E151" s="41" t="s">
        <v>103</v>
      </c>
      <c r="F151" s="41" t="s">
        <v>81</v>
      </c>
      <c r="G151" s="42" t="n">
        <v>32.46</v>
      </c>
      <c r="H151" s="41" t="n">
        <v>8</v>
      </c>
      <c r="I151" s="42" t="n">
        <v>12.984</v>
      </c>
      <c r="J151" s="42" t="n">
        <v>272.664</v>
      </c>
      <c r="K151" s="43" t="n">
        <v>43551</v>
      </c>
      <c r="L151" s="44" t="n">
        <v>0.575</v>
      </c>
      <c r="M151" s="41" t="s">
        <v>99</v>
      </c>
      <c r="N151" s="42" t="n">
        <v>259.68</v>
      </c>
      <c r="O151" s="42" t="n">
        <v>12.984</v>
      </c>
      <c r="P151" s="45" t="n">
        <v>4.9</v>
      </c>
      <c r="Q151" s="41" t="str">
        <f aca="false">CHOOSE(MONTH(K151),"Jan","Feb","Mar","Apr","May","Jun","Jul","Aug","Sep","Oct","Nov","Dec")</f>
        <v>Mar</v>
      </c>
      <c r="R151" s="41" t="n">
        <f aca="false">INT((K151-setMinDate)/7)+1</f>
        <v>13</v>
      </c>
      <c r="S151" s="41" t="n">
        <f aca="false">HOUR(L151)</f>
        <v>13</v>
      </c>
      <c r="T151" s="41" t="str">
        <f aca="false">IF(S151&lt;setMorningEnd,"Morning",IF(S151&lt;setAfternoonEnd,"Afternoon","Evening"))</f>
        <v>Afternoon</v>
      </c>
      <c r="U151" s="41" t="str">
        <f aca="false">IF(J151&gt;=setLarge,"Large",IF(J151&gt;=setMedium,"Medium","Small"))</f>
        <v>Medium</v>
      </c>
      <c r="V151" s="41" t="str">
        <f aca="false">IF(P151&gt;=setExc,"Excellent",IF(P151&gt;=setGood,"Good",IF(P151&gt;=setAvg,"Average","Poor")))</f>
        <v>Poor</v>
      </c>
    </row>
    <row r="152" customFormat="false" ht="15" hidden="false" customHeight="false" outlineLevel="0" collapsed="false">
      <c r="A152" s="41" t="s">
        <v>330</v>
      </c>
      <c r="B152" s="41" t="s">
        <v>189</v>
      </c>
      <c r="C152" s="41" t="s">
        <v>86</v>
      </c>
      <c r="D152" s="41" t="s">
        <v>104</v>
      </c>
      <c r="E152" s="41" t="s">
        <v>102</v>
      </c>
      <c r="F152" s="41" t="s">
        <v>79</v>
      </c>
      <c r="G152" s="42" t="n">
        <v>91.54</v>
      </c>
      <c r="H152" s="41" t="n">
        <v>4</v>
      </c>
      <c r="I152" s="42" t="n">
        <v>18.308</v>
      </c>
      <c r="J152" s="42" t="n">
        <v>384.468</v>
      </c>
      <c r="K152" s="43" t="n">
        <v>43547</v>
      </c>
      <c r="L152" s="44" t="n">
        <v>0.805555555555556</v>
      </c>
      <c r="M152" s="41" t="s">
        <v>99</v>
      </c>
      <c r="N152" s="42" t="n">
        <v>366.16</v>
      </c>
      <c r="O152" s="42" t="n">
        <v>18.308</v>
      </c>
      <c r="P152" s="45" t="n">
        <v>4.8</v>
      </c>
      <c r="Q152" s="41" t="str">
        <f aca="false">CHOOSE(MONTH(K152),"Jan","Feb","Mar","Apr","May","Jun","Jul","Aug","Sep","Oct","Nov","Dec")</f>
        <v>Mar</v>
      </c>
      <c r="R152" s="41" t="n">
        <f aca="false">INT((K152-setMinDate)/7)+1</f>
        <v>12</v>
      </c>
      <c r="S152" s="41" t="n">
        <f aca="false">HOUR(L152)</f>
        <v>19</v>
      </c>
      <c r="T152" s="41" t="str">
        <f aca="false">IF(S152&lt;setMorningEnd,"Morning",IF(S152&lt;setAfternoonEnd,"Afternoon","Evening"))</f>
        <v>Evening</v>
      </c>
      <c r="U152" s="41" t="str">
        <f aca="false">IF(J152&gt;=setLarge,"Large",IF(J152&gt;=setMedium,"Medium","Small"))</f>
        <v>Medium</v>
      </c>
      <c r="V152" s="41" t="str">
        <f aca="false">IF(P152&gt;=setExc,"Excellent",IF(P152&gt;=setGood,"Good",IF(P152&gt;=setAvg,"Average","Poor")))</f>
        <v>Poor</v>
      </c>
    </row>
    <row r="153" customFormat="false" ht="15" hidden="false" customHeight="false" outlineLevel="0" collapsed="false">
      <c r="A153" s="41" t="s">
        <v>331</v>
      </c>
      <c r="B153" s="41" t="s">
        <v>180</v>
      </c>
      <c r="C153" s="41" t="s">
        <v>87</v>
      </c>
      <c r="D153" s="41" t="s">
        <v>104</v>
      </c>
      <c r="E153" s="41" t="s">
        <v>103</v>
      </c>
      <c r="F153" s="41" t="s">
        <v>77</v>
      </c>
      <c r="G153" s="42" t="n">
        <v>34.56</v>
      </c>
      <c r="H153" s="41" t="n">
        <v>7</v>
      </c>
      <c r="I153" s="42" t="n">
        <v>12.096</v>
      </c>
      <c r="J153" s="42" t="n">
        <v>254.016</v>
      </c>
      <c r="K153" s="43" t="n">
        <v>43535</v>
      </c>
      <c r="L153" s="44" t="n">
        <v>0.671527777777778</v>
      </c>
      <c r="M153" s="41" t="s">
        <v>99</v>
      </c>
      <c r="N153" s="42" t="n">
        <v>241.92</v>
      </c>
      <c r="O153" s="42" t="n">
        <v>12.096</v>
      </c>
      <c r="P153" s="45" t="n">
        <v>7.3</v>
      </c>
      <c r="Q153" s="41" t="str">
        <f aca="false">CHOOSE(MONTH(K153),"Jan","Feb","Mar","Apr","May","Jun","Jul","Aug","Sep","Oct","Nov","Dec")</f>
        <v>Mar</v>
      </c>
      <c r="R153" s="41" t="n">
        <f aca="false">INT((K153-setMinDate)/7)+1</f>
        <v>10</v>
      </c>
      <c r="S153" s="41" t="n">
        <f aca="false">HOUR(L153)</f>
        <v>16</v>
      </c>
      <c r="T153" s="41" t="str">
        <f aca="false">IF(S153&lt;setMorningEnd,"Morning",IF(S153&lt;setAfternoonEnd,"Afternoon","Evening"))</f>
        <v>Afternoon</v>
      </c>
      <c r="U153" s="41" t="str">
        <f aca="false">IF(J153&gt;=setLarge,"Large",IF(J153&gt;=setMedium,"Medium","Small"))</f>
        <v>Medium</v>
      </c>
      <c r="V153" s="41" t="str">
        <f aca="false">IF(P153&gt;=setExc,"Excellent",IF(P153&gt;=setGood,"Good",IF(P153&gt;=setAvg,"Average","Poor")))</f>
        <v>Good</v>
      </c>
    </row>
    <row r="154" customFormat="false" ht="15" hidden="false" customHeight="false" outlineLevel="0" collapsed="false">
      <c r="A154" s="41" t="s">
        <v>332</v>
      </c>
      <c r="B154" s="41" t="s">
        <v>178</v>
      </c>
      <c r="C154" s="41" t="s">
        <v>85</v>
      </c>
      <c r="D154" s="41" t="s">
        <v>105</v>
      </c>
      <c r="E154" s="41" t="s">
        <v>103</v>
      </c>
      <c r="F154" s="41" t="s">
        <v>79</v>
      </c>
      <c r="G154" s="42" t="n">
        <v>83.24</v>
      </c>
      <c r="H154" s="41" t="n">
        <v>9</v>
      </c>
      <c r="I154" s="42" t="n">
        <v>37.458</v>
      </c>
      <c r="J154" s="42" t="n">
        <v>786.618</v>
      </c>
      <c r="K154" s="43" t="n">
        <v>43494</v>
      </c>
      <c r="L154" s="44" t="n">
        <v>0.497222222222222</v>
      </c>
      <c r="M154" s="41" t="s">
        <v>99</v>
      </c>
      <c r="N154" s="42" t="n">
        <v>749.16</v>
      </c>
      <c r="O154" s="42" t="n">
        <v>37.458</v>
      </c>
      <c r="P154" s="45" t="n">
        <v>7.4</v>
      </c>
      <c r="Q154" s="41" t="str">
        <f aca="false">CHOOSE(MONTH(K154),"Jan","Feb","Mar","Apr","May","Jun","Jul","Aug","Sep","Oct","Nov","Dec")</f>
        <v>Jan</v>
      </c>
      <c r="R154" s="41" t="n">
        <f aca="false">INT((K154-setMinDate)/7)+1</f>
        <v>5</v>
      </c>
      <c r="S154" s="41" t="n">
        <f aca="false">HOUR(L154)</f>
        <v>11</v>
      </c>
      <c r="T154" s="41" t="str">
        <f aca="false">IF(S154&lt;setMorningEnd,"Morning",IF(S154&lt;setAfternoonEnd,"Afternoon","Evening"))</f>
        <v>Morning</v>
      </c>
      <c r="U154" s="41" t="str">
        <f aca="false">IF(J154&gt;=setLarge,"Large",IF(J154&gt;=setMedium,"Medium","Small"))</f>
        <v>Large</v>
      </c>
      <c r="V154" s="41" t="str">
        <f aca="false">IF(P154&gt;=setExc,"Excellent",IF(P154&gt;=setGood,"Good",IF(P154&gt;=setAvg,"Average","Poor")))</f>
        <v>Good</v>
      </c>
    </row>
    <row r="155" customFormat="false" ht="15" hidden="false" customHeight="false" outlineLevel="0" collapsed="false">
      <c r="A155" s="41" t="s">
        <v>333</v>
      </c>
      <c r="B155" s="41" t="s">
        <v>180</v>
      </c>
      <c r="C155" s="41" t="s">
        <v>87</v>
      </c>
      <c r="D155" s="41" t="s">
        <v>105</v>
      </c>
      <c r="E155" s="41" t="s">
        <v>102</v>
      </c>
      <c r="F155" s="41" t="s">
        <v>76</v>
      </c>
      <c r="G155" s="42" t="n">
        <v>16.48</v>
      </c>
      <c r="H155" s="41" t="n">
        <v>6</v>
      </c>
      <c r="I155" s="42" t="n">
        <v>4.944</v>
      </c>
      <c r="J155" s="42" t="n">
        <v>103.824</v>
      </c>
      <c r="K155" s="43" t="n">
        <v>43503</v>
      </c>
      <c r="L155" s="44" t="n">
        <v>0.765972222222222</v>
      </c>
      <c r="M155" s="41" t="s">
        <v>98</v>
      </c>
      <c r="N155" s="42" t="n">
        <v>98.88</v>
      </c>
      <c r="O155" s="42" t="n">
        <v>4.944</v>
      </c>
      <c r="P155" s="45" t="n">
        <v>9.9</v>
      </c>
      <c r="Q155" s="41" t="str">
        <f aca="false">CHOOSE(MONTH(K155),"Jan","Feb","Mar","Apr","May","Jun","Jul","Aug","Sep","Oct","Nov","Dec")</f>
        <v>Feb</v>
      </c>
      <c r="R155" s="41" t="n">
        <f aca="false">INT((K155-setMinDate)/7)+1</f>
        <v>6</v>
      </c>
      <c r="S155" s="41" t="n">
        <f aca="false">HOUR(L155)</f>
        <v>18</v>
      </c>
      <c r="T155" s="41" t="str">
        <f aca="false">IF(S155&lt;setMorningEnd,"Morning",IF(S155&lt;setAfternoonEnd,"Afternoon","Evening"))</f>
        <v>Evening</v>
      </c>
      <c r="U155" s="41" t="str">
        <f aca="false">IF(J155&gt;=setLarge,"Large",IF(J155&gt;=setMedium,"Medium","Small"))</f>
        <v>Small</v>
      </c>
      <c r="V155" s="41" t="str">
        <f aca="false">IF(P155&gt;=setExc,"Excellent",IF(P155&gt;=setGood,"Good",IF(P155&gt;=setAvg,"Average","Poor")))</f>
        <v>Excellent</v>
      </c>
    </row>
    <row r="156" customFormat="false" ht="15" hidden="false" customHeight="false" outlineLevel="0" collapsed="false">
      <c r="A156" s="41" t="s">
        <v>334</v>
      </c>
      <c r="B156" s="41" t="s">
        <v>180</v>
      </c>
      <c r="C156" s="41" t="s">
        <v>87</v>
      </c>
      <c r="D156" s="41" t="s">
        <v>105</v>
      </c>
      <c r="E156" s="41" t="s">
        <v>102</v>
      </c>
      <c r="F156" s="41" t="s">
        <v>77</v>
      </c>
      <c r="G156" s="42" t="n">
        <v>80.97</v>
      </c>
      <c r="H156" s="41" t="n">
        <v>8</v>
      </c>
      <c r="I156" s="42" t="n">
        <v>32.388</v>
      </c>
      <c r="J156" s="42" t="n">
        <v>680.148</v>
      </c>
      <c r="K156" s="43" t="n">
        <v>43493</v>
      </c>
      <c r="L156" s="44" t="n">
        <v>0.545138888888889</v>
      </c>
      <c r="M156" s="41" t="s">
        <v>97</v>
      </c>
      <c r="N156" s="42" t="n">
        <v>647.76</v>
      </c>
      <c r="O156" s="42" t="n">
        <v>32.388</v>
      </c>
      <c r="P156" s="45" t="n">
        <v>9.3</v>
      </c>
      <c r="Q156" s="41" t="str">
        <f aca="false">CHOOSE(MONTH(K156),"Jan","Feb","Mar","Apr","May","Jun","Jul","Aug","Sep","Oct","Nov","Dec")</f>
        <v>Jan</v>
      </c>
      <c r="R156" s="41" t="n">
        <f aca="false">INT((K156-setMinDate)/7)+1</f>
        <v>4</v>
      </c>
      <c r="S156" s="41" t="n">
        <f aca="false">HOUR(L156)</f>
        <v>13</v>
      </c>
      <c r="T156" s="41" t="str">
        <f aca="false">IF(S156&lt;setMorningEnd,"Morning",IF(S156&lt;setAfternoonEnd,"Afternoon","Evening"))</f>
        <v>Afternoon</v>
      </c>
      <c r="U156" s="41" t="str">
        <f aca="false">IF(J156&gt;=setLarge,"Large",IF(J156&gt;=setMedium,"Medium","Small"))</f>
        <v>Large</v>
      </c>
      <c r="V156" s="41" t="str">
        <f aca="false">IF(P156&gt;=setExc,"Excellent",IF(P156&gt;=setGood,"Good",IF(P156&gt;=setAvg,"Average","Poor")))</f>
        <v>Excellent</v>
      </c>
    </row>
    <row r="157" customFormat="false" ht="15" hidden="false" customHeight="false" outlineLevel="0" collapsed="false">
      <c r="A157" s="41" t="s">
        <v>335</v>
      </c>
      <c r="B157" s="41" t="s">
        <v>178</v>
      </c>
      <c r="C157" s="41" t="s">
        <v>85</v>
      </c>
      <c r="D157" s="41" t="s">
        <v>104</v>
      </c>
      <c r="E157" s="41" t="s">
        <v>103</v>
      </c>
      <c r="F157" s="41" t="s">
        <v>76</v>
      </c>
      <c r="G157" s="42" t="n">
        <v>92.29</v>
      </c>
      <c r="H157" s="41" t="n">
        <v>5</v>
      </c>
      <c r="I157" s="42" t="n">
        <v>23.0725</v>
      </c>
      <c r="J157" s="42" t="n">
        <v>484.5225</v>
      </c>
      <c r="K157" s="43" t="n">
        <v>43516</v>
      </c>
      <c r="L157" s="44" t="n">
        <v>0.663194444444444</v>
      </c>
      <c r="M157" s="41" t="s">
        <v>99</v>
      </c>
      <c r="N157" s="42" t="n">
        <v>461.45</v>
      </c>
      <c r="O157" s="42" t="n">
        <v>23.0725</v>
      </c>
      <c r="P157" s="45" t="n">
        <v>9</v>
      </c>
      <c r="Q157" s="41" t="str">
        <f aca="false">CHOOSE(MONTH(K157),"Jan","Feb","Mar","Apr","May","Jun","Jul","Aug","Sep","Oct","Nov","Dec")</f>
        <v>Feb</v>
      </c>
      <c r="R157" s="41" t="n">
        <f aca="false">INT((K157-setMinDate)/7)+1</f>
        <v>8</v>
      </c>
      <c r="S157" s="41" t="n">
        <f aca="false">HOUR(L157)</f>
        <v>15</v>
      </c>
      <c r="T157" s="41" t="str">
        <f aca="false">IF(S157&lt;setMorningEnd,"Morning",IF(S157&lt;setAfternoonEnd,"Afternoon","Evening"))</f>
        <v>Afternoon</v>
      </c>
      <c r="U157" s="41" t="str">
        <f aca="false">IF(J157&gt;=setLarge,"Large",IF(J157&gt;=setMedium,"Medium","Small"))</f>
        <v>Medium</v>
      </c>
      <c r="V157" s="41" t="str">
        <f aca="false">IF(P157&gt;=setExc,"Excellent",IF(P157&gt;=setGood,"Good",IF(P157&gt;=setAvg,"Average","Poor")))</f>
        <v>Excellent</v>
      </c>
    </row>
    <row r="158" customFormat="false" ht="15" hidden="false" customHeight="false" outlineLevel="0" collapsed="false">
      <c r="A158" s="41" t="s">
        <v>336</v>
      </c>
      <c r="B158" s="41" t="s">
        <v>189</v>
      </c>
      <c r="C158" s="41" t="s">
        <v>86</v>
      </c>
      <c r="D158" s="41" t="s">
        <v>104</v>
      </c>
      <c r="E158" s="41" t="s">
        <v>103</v>
      </c>
      <c r="F158" s="41" t="s">
        <v>78</v>
      </c>
      <c r="G158" s="42" t="n">
        <v>72.17</v>
      </c>
      <c r="H158" s="41" t="n">
        <v>1</v>
      </c>
      <c r="I158" s="42" t="n">
        <v>3.6085</v>
      </c>
      <c r="J158" s="42" t="n">
        <v>75.7785</v>
      </c>
      <c r="K158" s="43" t="n">
        <v>43469</v>
      </c>
      <c r="L158" s="44" t="n">
        <v>0.819444444444444</v>
      </c>
      <c r="M158" s="41" t="s">
        <v>97</v>
      </c>
      <c r="N158" s="42" t="n">
        <v>72.17</v>
      </c>
      <c r="O158" s="42" t="n">
        <v>3.6085</v>
      </c>
      <c r="P158" s="45" t="n">
        <v>6.1</v>
      </c>
      <c r="Q158" s="41" t="str">
        <f aca="false">CHOOSE(MONTH(K158),"Jan","Feb","Mar","Apr","May","Jun","Jul","Aug","Sep","Oct","Nov","Dec")</f>
        <v>Jan</v>
      </c>
      <c r="R158" s="41" t="n">
        <f aca="false">INT((K158-setMinDate)/7)+1</f>
        <v>1</v>
      </c>
      <c r="S158" s="41" t="n">
        <f aca="false">HOUR(L158)</f>
        <v>19</v>
      </c>
      <c r="T158" s="41" t="str">
        <f aca="false">IF(S158&lt;setMorningEnd,"Morning",IF(S158&lt;setAfternoonEnd,"Afternoon","Evening"))</f>
        <v>Evening</v>
      </c>
      <c r="U158" s="41" t="str">
        <f aca="false">IF(J158&gt;=setLarge,"Large",IF(J158&gt;=setMedium,"Medium","Small"))</f>
        <v>Small</v>
      </c>
      <c r="V158" s="41" t="str">
        <f aca="false">IF(P158&gt;=setExc,"Excellent",IF(P158&gt;=setGood,"Good",IF(P158&gt;=setAvg,"Average","Poor")))</f>
        <v>Average</v>
      </c>
    </row>
    <row r="159" customFormat="false" ht="15" hidden="false" customHeight="false" outlineLevel="0" collapsed="false">
      <c r="A159" s="41" t="s">
        <v>337</v>
      </c>
      <c r="B159" s="41" t="s">
        <v>189</v>
      </c>
      <c r="C159" s="41" t="s">
        <v>86</v>
      </c>
      <c r="D159" s="41" t="s">
        <v>105</v>
      </c>
      <c r="E159" s="41" t="s">
        <v>103</v>
      </c>
      <c r="F159" s="41" t="s">
        <v>80</v>
      </c>
      <c r="G159" s="42" t="n">
        <v>50.28</v>
      </c>
      <c r="H159" s="41" t="n">
        <v>5</v>
      </c>
      <c r="I159" s="42" t="n">
        <v>12.57</v>
      </c>
      <c r="J159" s="42" t="n">
        <v>263.97</v>
      </c>
      <c r="K159" s="43" t="n">
        <v>43531</v>
      </c>
      <c r="L159" s="44" t="n">
        <v>0.581944444444445</v>
      </c>
      <c r="M159" s="41" t="s">
        <v>98</v>
      </c>
      <c r="N159" s="42" t="n">
        <v>251.4</v>
      </c>
      <c r="O159" s="42" t="n">
        <v>12.57</v>
      </c>
      <c r="P159" s="45" t="n">
        <v>9.7</v>
      </c>
      <c r="Q159" s="41" t="str">
        <f aca="false">CHOOSE(MONTH(K159),"Jan","Feb","Mar","Apr","May","Jun","Jul","Aug","Sep","Oct","Nov","Dec")</f>
        <v>Mar</v>
      </c>
      <c r="R159" s="41" t="n">
        <f aca="false">INT((K159-setMinDate)/7)+1</f>
        <v>10</v>
      </c>
      <c r="S159" s="41" t="n">
        <f aca="false">HOUR(L159)</f>
        <v>13</v>
      </c>
      <c r="T159" s="41" t="str">
        <f aca="false">IF(S159&lt;setMorningEnd,"Morning",IF(S159&lt;setAfternoonEnd,"Afternoon","Evening"))</f>
        <v>Afternoon</v>
      </c>
      <c r="U159" s="41" t="str">
        <f aca="false">IF(J159&gt;=setLarge,"Large",IF(J159&gt;=setMedium,"Medium","Small"))</f>
        <v>Medium</v>
      </c>
      <c r="V159" s="41" t="str">
        <f aca="false">IF(P159&gt;=setExc,"Excellent",IF(P159&gt;=setGood,"Good",IF(P159&gt;=setAvg,"Average","Poor")))</f>
        <v>Excellent</v>
      </c>
    </row>
    <row r="160" customFormat="false" ht="15" hidden="false" customHeight="false" outlineLevel="0" collapsed="false">
      <c r="A160" s="41" t="s">
        <v>338</v>
      </c>
      <c r="B160" s="41" t="s">
        <v>189</v>
      </c>
      <c r="C160" s="41" t="s">
        <v>86</v>
      </c>
      <c r="D160" s="41" t="s">
        <v>104</v>
      </c>
      <c r="E160" s="41" t="s">
        <v>103</v>
      </c>
      <c r="F160" s="41" t="s">
        <v>81</v>
      </c>
      <c r="G160" s="42" t="n">
        <v>97.22</v>
      </c>
      <c r="H160" s="41" t="n">
        <v>9</v>
      </c>
      <c r="I160" s="42" t="n">
        <v>43.749</v>
      </c>
      <c r="J160" s="42" t="n">
        <v>918.729</v>
      </c>
      <c r="K160" s="43" t="n">
        <v>43554</v>
      </c>
      <c r="L160" s="44" t="n">
        <v>0.613194444444445</v>
      </c>
      <c r="M160" s="41" t="s">
        <v>98</v>
      </c>
      <c r="N160" s="42" t="n">
        <v>874.98</v>
      </c>
      <c r="O160" s="42" t="n">
        <v>43.749</v>
      </c>
      <c r="P160" s="45" t="n">
        <v>6</v>
      </c>
      <c r="Q160" s="41" t="str">
        <f aca="false">CHOOSE(MONTH(K160),"Jan","Feb","Mar","Apr","May","Jun","Jul","Aug","Sep","Oct","Nov","Dec")</f>
        <v>Mar</v>
      </c>
      <c r="R160" s="41" t="n">
        <f aca="false">INT((K160-setMinDate)/7)+1</f>
        <v>13</v>
      </c>
      <c r="S160" s="41" t="n">
        <f aca="false">HOUR(L160)</f>
        <v>14</v>
      </c>
      <c r="T160" s="41" t="str">
        <f aca="false">IF(S160&lt;setMorningEnd,"Morning",IF(S160&lt;setAfternoonEnd,"Afternoon","Evening"))</f>
        <v>Afternoon</v>
      </c>
      <c r="U160" s="41" t="str">
        <f aca="false">IF(J160&gt;=setLarge,"Large",IF(J160&gt;=setMedium,"Medium","Small"))</f>
        <v>Large</v>
      </c>
      <c r="V160" s="41" t="str">
        <f aca="false">IF(P160&gt;=setExc,"Excellent",IF(P160&gt;=setGood,"Good",IF(P160&gt;=setAvg,"Average","Poor")))</f>
        <v>Average</v>
      </c>
    </row>
    <row r="161" customFormat="false" ht="15" hidden="false" customHeight="false" outlineLevel="0" collapsed="false">
      <c r="A161" s="41" t="s">
        <v>339</v>
      </c>
      <c r="B161" s="41" t="s">
        <v>189</v>
      </c>
      <c r="C161" s="41" t="s">
        <v>86</v>
      </c>
      <c r="D161" s="41" t="s">
        <v>105</v>
      </c>
      <c r="E161" s="41" t="s">
        <v>103</v>
      </c>
      <c r="F161" s="41" t="s">
        <v>77</v>
      </c>
      <c r="G161" s="42" t="n">
        <v>93.39</v>
      </c>
      <c r="H161" s="41" t="n">
        <v>6</v>
      </c>
      <c r="I161" s="42" t="n">
        <v>28.017</v>
      </c>
      <c r="J161" s="42" t="n">
        <v>588.357</v>
      </c>
      <c r="K161" s="43" t="n">
        <v>43551</v>
      </c>
      <c r="L161" s="44" t="n">
        <v>0.804166666666667</v>
      </c>
      <c r="M161" s="41" t="s">
        <v>98</v>
      </c>
      <c r="N161" s="42" t="n">
        <v>560.34</v>
      </c>
      <c r="O161" s="42" t="n">
        <v>28.017</v>
      </c>
      <c r="P161" s="45" t="n">
        <v>10</v>
      </c>
      <c r="Q161" s="41" t="str">
        <f aca="false">CHOOSE(MONTH(K161),"Jan","Feb","Mar","Apr","May","Jun","Jul","Aug","Sep","Oct","Nov","Dec")</f>
        <v>Mar</v>
      </c>
      <c r="R161" s="41" t="n">
        <f aca="false">INT((K161-setMinDate)/7)+1</f>
        <v>13</v>
      </c>
      <c r="S161" s="41" t="n">
        <f aca="false">HOUR(L161)</f>
        <v>19</v>
      </c>
      <c r="T161" s="41" t="str">
        <f aca="false">IF(S161&lt;setMorningEnd,"Morning",IF(S161&lt;setAfternoonEnd,"Afternoon","Evening"))</f>
        <v>Evening</v>
      </c>
      <c r="U161" s="41" t="str">
        <f aca="false">IF(J161&gt;=setLarge,"Large",IF(J161&gt;=setMedium,"Medium","Small"))</f>
        <v>Medium</v>
      </c>
      <c r="V161" s="41" t="str">
        <f aca="false">IF(P161&gt;=setExc,"Excellent",IF(P161&gt;=setGood,"Good",IF(P161&gt;=setAvg,"Average","Poor")))</f>
        <v>Excellent</v>
      </c>
    </row>
    <row r="162" customFormat="false" ht="15" hidden="false" customHeight="false" outlineLevel="0" collapsed="false">
      <c r="A162" s="41" t="s">
        <v>340</v>
      </c>
      <c r="B162" s="41" t="s">
        <v>180</v>
      </c>
      <c r="C162" s="41" t="s">
        <v>87</v>
      </c>
      <c r="D162" s="41" t="s">
        <v>105</v>
      </c>
      <c r="E162" s="41" t="s">
        <v>102</v>
      </c>
      <c r="F162" s="41" t="s">
        <v>76</v>
      </c>
      <c r="G162" s="42" t="n">
        <v>43.18</v>
      </c>
      <c r="H162" s="41" t="n">
        <v>8</v>
      </c>
      <c r="I162" s="42" t="n">
        <v>17.272</v>
      </c>
      <c r="J162" s="42" t="n">
        <v>362.712</v>
      </c>
      <c r="K162" s="43" t="n">
        <v>43484</v>
      </c>
      <c r="L162" s="44" t="n">
        <v>0.81875</v>
      </c>
      <c r="M162" s="41" t="s">
        <v>99</v>
      </c>
      <c r="N162" s="42" t="n">
        <v>345.44</v>
      </c>
      <c r="O162" s="42" t="n">
        <v>17.272</v>
      </c>
      <c r="P162" s="45" t="n">
        <v>8.3</v>
      </c>
      <c r="Q162" s="41" t="str">
        <f aca="false">CHOOSE(MONTH(K162),"Jan","Feb","Mar","Apr","May","Jun","Jul","Aug","Sep","Oct","Nov","Dec")</f>
        <v>Jan</v>
      </c>
      <c r="R162" s="41" t="n">
        <f aca="false">INT((K162-setMinDate)/7)+1</f>
        <v>3</v>
      </c>
      <c r="S162" s="41" t="n">
        <f aca="false">HOUR(L162)</f>
        <v>19</v>
      </c>
      <c r="T162" s="41" t="str">
        <f aca="false">IF(S162&lt;setMorningEnd,"Morning",IF(S162&lt;setAfternoonEnd,"Afternoon","Evening"))</f>
        <v>Evening</v>
      </c>
      <c r="U162" s="41" t="str">
        <f aca="false">IF(J162&gt;=setLarge,"Large",IF(J162&gt;=setMedium,"Medium","Small"))</f>
        <v>Medium</v>
      </c>
      <c r="V162" s="41" t="str">
        <f aca="false">IF(P162&gt;=setExc,"Excellent",IF(P162&gt;=setGood,"Good",IF(P162&gt;=setAvg,"Average","Poor")))</f>
        <v>Good</v>
      </c>
    </row>
    <row r="163" customFormat="false" ht="15" hidden="false" customHeight="false" outlineLevel="0" collapsed="false">
      <c r="A163" s="41" t="s">
        <v>341</v>
      </c>
      <c r="B163" s="41" t="s">
        <v>178</v>
      </c>
      <c r="C163" s="41" t="s">
        <v>85</v>
      </c>
      <c r="D163" s="41" t="s">
        <v>105</v>
      </c>
      <c r="E163" s="41" t="s">
        <v>103</v>
      </c>
      <c r="F163" s="41" t="s">
        <v>77</v>
      </c>
      <c r="G163" s="42" t="n">
        <v>63.69</v>
      </c>
      <c r="H163" s="41" t="n">
        <v>1</v>
      </c>
      <c r="I163" s="42" t="n">
        <v>3.1845</v>
      </c>
      <c r="J163" s="42" t="n">
        <v>66.8745</v>
      </c>
      <c r="K163" s="43" t="n">
        <v>43521</v>
      </c>
      <c r="L163" s="44" t="n">
        <v>0.68125</v>
      </c>
      <c r="M163" s="41" t="s">
        <v>97</v>
      </c>
      <c r="N163" s="42" t="n">
        <v>63.69</v>
      </c>
      <c r="O163" s="42" t="n">
        <v>3.1845</v>
      </c>
      <c r="P163" s="45" t="n">
        <v>6</v>
      </c>
      <c r="Q163" s="41" t="str">
        <f aca="false">CHOOSE(MONTH(K163),"Jan","Feb","Mar","Apr","May","Jun","Jul","Aug","Sep","Oct","Nov","Dec")</f>
        <v>Feb</v>
      </c>
      <c r="R163" s="41" t="n">
        <f aca="false">INT((K163-setMinDate)/7)+1</f>
        <v>8</v>
      </c>
      <c r="S163" s="41" t="n">
        <f aca="false">HOUR(L163)</f>
        <v>16</v>
      </c>
      <c r="T163" s="41" t="str">
        <f aca="false">IF(S163&lt;setMorningEnd,"Morning",IF(S163&lt;setAfternoonEnd,"Afternoon","Evening"))</f>
        <v>Afternoon</v>
      </c>
      <c r="U163" s="41" t="str">
        <f aca="false">IF(J163&gt;=setLarge,"Large",IF(J163&gt;=setMedium,"Medium","Small"))</f>
        <v>Small</v>
      </c>
      <c r="V163" s="41" t="str">
        <f aca="false">IF(P163&gt;=setExc,"Excellent",IF(P163&gt;=setGood,"Good",IF(P163&gt;=setAvg,"Average","Poor")))</f>
        <v>Average</v>
      </c>
    </row>
    <row r="164" customFormat="false" ht="15" hidden="false" customHeight="false" outlineLevel="0" collapsed="false">
      <c r="A164" s="41" t="s">
        <v>342</v>
      </c>
      <c r="B164" s="41" t="s">
        <v>178</v>
      </c>
      <c r="C164" s="41" t="s">
        <v>85</v>
      </c>
      <c r="D164" s="41" t="s">
        <v>105</v>
      </c>
      <c r="E164" s="41" t="s">
        <v>103</v>
      </c>
      <c r="F164" s="41" t="s">
        <v>76</v>
      </c>
      <c r="G164" s="42" t="n">
        <v>45.79</v>
      </c>
      <c r="H164" s="41" t="n">
        <v>7</v>
      </c>
      <c r="I164" s="42" t="n">
        <v>16.0265</v>
      </c>
      <c r="J164" s="42" t="n">
        <v>336.5565</v>
      </c>
      <c r="K164" s="43" t="n">
        <v>43537</v>
      </c>
      <c r="L164" s="44" t="n">
        <v>0.822222222222222</v>
      </c>
      <c r="M164" s="41" t="s">
        <v>99</v>
      </c>
      <c r="N164" s="42" t="n">
        <v>320.53</v>
      </c>
      <c r="O164" s="42" t="n">
        <v>16.0265</v>
      </c>
      <c r="P164" s="45" t="n">
        <v>7</v>
      </c>
      <c r="Q164" s="41" t="str">
        <f aca="false">CHOOSE(MONTH(K164),"Jan","Feb","Mar","Apr","May","Jun","Jul","Aug","Sep","Oct","Nov","Dec")</f>
        <v>Mar</v>
      </c>
      <c r="R164" s="41" t="n">
        <f aca="false">INT((K164-setMinDate)/7)+1</f>
        <v>11</v>
      </c>
      <c r="S164" s="41" t="n">
        <f aca="false">HOUR(L164)</f>
        <v>19</v>
      </c>
      <c r="T164" s="41" t="str">
        <f aca="false">IF(S164&lt;setMorningEnd,"Morning",IF(S164&lt;setAfternoonEnd,"Afternoon","Evening"))</f>
        <v>Evening</v>
      </c>
      <c r="U164" s="41" t="str">
        <f aca="false">IF(J164&gt;=setLarge,"Large",IF(J164&gt;=setMedium,"Medium","Small"))</f>
        <v>Medium</v>
      </c>
      <c r="V164" s="41" t="str">
        <f aca="false">IF(P164&gt;=setExc,"Excellent",IF(P164&gt;=setGood,"Good",IF(P164&gt;=setAvg,"Average","Poor")))</f>
        <v>Good</v>
      </c>
    </row>
    <row r="165" customFormat="false" ht="15" hidden="false" customHeight="false" outlineLevel="0" collapsed="false">
      <c r="A165" s="41" t="s">
        <v>343</v>
      </c>
      <c r="B165" s="41" t="s">
        <v>180</v>
      </c>
      <c r="C165" s="41" t="s">
        <v>87</v>
      </c>
      <c r="D165" s="41" t="s">
        <v>105</v>
      </c>
      <c r="E165" s="41" t="s">
        <v>103</v>
      </c>
      <c r="F165" s="41" t="s">
        <v>77</v>
      </c>
      <c r="G165" s="42" t="n">
        <v>76.4</v>
      </c>
      <c r="H165" s="41" t="n">
        <v>2</v>
      </c>
      <c r="I165" s="42" t="n">
        <v>7.64</v>
      </c>
      <c r="J165" s="42" t="n">
        <v>160.44</v>
      </c>
      <c r="K165" s="43" t="n">
        <v>43495</v>
      </c>
      <c r="L165" s="44" t="n">
        <v>0.820833333333333</v>
      </c>
      <c r="M165" s="41" t="s">
        <v>98</v>
      </c>
      <c r="N165" s="42" t="n">
        <v>152.8</v>
      </c>
      <c r="O165" s="42" t="n">
        <v>7.64</v>
      </c>
      <c r="P165" s="45" t="n">
        <v>6.5</v>
      </c>
      <c r="Q165" s="41" t="str">
        <f aca="false">CHOOSE(MONTH(K165),"Jan","Feb","Mar","Apr","May","Jun","Jul","Aug","Sep","Oct","Nov","Dec")</f>
        <v>Jan</v>
      </c>
      <c r="R165" s="41" t="n">
        <f aca="false">INT((K165-setMinDate)/7)+1</f>
        <v>5</v>
      </c>
      <c r="S165" s="41" t="n">
        <f aca="false">HOUR(L165)</f>
        <v>19</v>
      </c>
      <c r="T165" s="41" t="str">
        <f aca="false">IF(S165&lt;setMorningEnd,"Morning",IF(S165&lt;setAfternoonEnd,"Afternoon","Evening"))</f>
        <v>Evening</v>
      </c>
      <c r="U165" s="41" t="str">
        <f aca="false">IF(J165&gt;=setLarge,"Large",IF(J165&gt;=setMedium,"Medium","Small"))</f>
        <v>Small</v>
      </c>
      <c r="V165" s="41" t="str">
        <f aca="false">IF(P165&gt;=setExc,"Excellent",IF(P165&gt;=setGood,"Good",IF(P165&gt;=setAvg,"Average","Poor")))</f>
        <v>Average</v>
      </c>
    </row>
    <row r="166" customFormat="false" ht="15" hidden="false" customHeight="false" outlineLevel="0" collapsed="false">
      <c r="A166" s="41" t="s">
        <v>344</v>
      </c>
      <c r="B166" s="41" t="s">
        <v>189</v>
      </c>
      <c r="C166" s="41" t="s">
        <v>86</v>
      </c>
      <c r="D166" s="41" t="s">
        <v>105</v>
      </c>
      <c r="E166" s="41" t="s">
        <v>103</v>
      </c>
      <c r="F166" s="41" t="s">
        <v>76</v>
      </c>
      <c r="G166" s="42" t="n">
        <v>39.9</v>
      </c>
      <c r="H166" s="41" t="n">
        <v>10</v>
      </c>
      <c r="I166" s="42" t="n">
        <v>19.95</v>
      </c>
      <c r="J166" s="42" t="n">
        <v>418.95</v>
      </c>
      <c r="K166" s="43" t="n">
        <v>43516</v>
      </c>
      <c r="L166" s="44" t="n">
        <v>0.641666666666667</v>
      </c>
      <c r="M166" s="41" t="s">
        <v>99</v>
      </c>
      <c r="N166" s="42" t="n">
        <v>399</v>
      </c>
      <c r="O166" s="42" t="n">
        <v>19.95</v>
      </c>
      <c r="P166" s="45" t="n">
        <v>5.9</v>
      </c>
      <c r="Q166" s="41" t="str">
        <f aca="false">CHOOSE(MONTH(K166),"Jan","Feb","Mar","Apr","May","Jun","Jul","Aug","Sep","Oct","Nov","Dec")</f>
        <v>Feb</v>
      </c>
      <c r="R166" s="41" t="n">
        <f aca="false">INT((K166-setMinDate)/7)+1</f>
        <v>8</v>
      </c>
      <c r="S166" s="41" t="n">
        <f aca="false">HOUR(L166)</f>
        <v>15</v>
      </c>
      <c r="T166" s="41" t="str">
        <f aca="false">IF(S166&lt;setMorningEnd,"Morning",IF(S166&lt;setAfternoonEnd,"Afternoon","Evening"))</f>
        <v>Afternoon</v>
      </c>
      <c r="U166" s="41" t="str">
        <f aca="false">IF(J166&gt;=setLarge,"Large",IF(J166&gt;=setMedium,"Medium","Small"))</f>
        <v>Medium</v>
      </c>
      <c r="V166" s="41" t="str">
        <f aca="false">IF(P166&gt;=setExc,"Excellent",IF(P166&gt;=setGood,"Good",IF(P166&gt;=setAvg,"Average","Poor")))</f>
        <v>Average</v>
      </c>
    </row>
    <row r="167" customFormat="false" ht="15" hidden="false" customHeight="false" outlineLevel="0" collapsed="false">
      <c r="A167" s="41" t="s">
        <v>345</v>
      </c>
      <c r="B167" s="41" t="s">
        <v>189</v>
      </c>
      <c r="C167" s="41" t="s">
        <v>86</v>
      </c>
      <c r="D167" s="41" t="s">
        <v>104</v>
      </c>
      <c r="E167" s="41" t="s">
        <v>103</v>
      </c>
      <c r="F167" s="41" t="s">
        <v>81</v>
      </c>
      <c r="G167" s="42" t="n">
        <v>42.57</v>
      </c>
      <c r="H167" s="41" t="n">
        <v>8</v>
      </c>
      <c r="I167" s="42" t="n">
        <v>17.028</v>
      </c>
      <c r="J167" s="42" t="n">
        <v>357.588</v>
      </c>
      <c r="K167" s="43" t="n">
        <v>43521</v>
      </c>
      <c r="L167" s="44" t="n">
        <v>0.591666666666667</v>
      </c>
      <c r="M167" s="41" t="s">
        <v>98</v>
      </c>
      <c r="N167" s="42" t="n">
        <v>340.56</v>
      </c>
      <c r="O167" s="42" t="n">
        <v>17.028</v>
      </c>
      <c r="P167" s="45" t="n">
        <v>5.6</v>
      </c>
      <c r="Q167" s="41" t="str">
        <f aca="false">CHOOSE(MONTH(K167),"Jan","Feb","Mar","Apr","May","Jun","Jul","Aug","Sep","Oct","Nov","Dec")</f>
        <v>Feb</v>
      </c>
      <c r="R167" s="41" t="n">
        <f aca="false">INT((K167-setMinDate)/7)+1</f>
        <v>8</v>
      </c>
      <c r="S167" s="41" t="n">
        <f aca="false">HOUR(L167)</f>
        <v>14</v>
      </c>
      <c r="T167" s="41" t="str">
        <f aca="false">IF(S167&lt;setMorningEnd,"Morning",IF(S167&lt;setAfternoonEnd,"Afternoon","Evening"))</f>
        <v>Afternoon</v>
      </c>
      <c r="U167" s="41" t="str">
        <f aca="false">IF(J167&gt;=setLarge,"Large",IF(J167&gt;=setMedium,"Medium","Small"))</f>
        <v>Medium</v>
      </c>
      <c r="V167" s="41" t="str">
        <f aca="false">IF(P167&gt;=setExc,"Excellent",IF(P167&gt;=setGood,"Good",IF(P167&gt;=setAvg,"Average","Poor")))</f>
        <v>Average</v>
      </c>
    </row>
    <row r="168" customFormat="false" ht="15" hidden="false" customHeight="false" outlineLevel="0" collapsed="false">
      <c r="A168" s="41" t="s">
        <v>346</v>
      </c>
      <c r="B168" s="41" t="s">
        <v>180</v>
      </c>
      <c r="C168" s="41" t="s">
        <v>87</v>
      </c>
      <c r="D168" s="41" t="s">
        <v>105</v>
      </c>
      <c r="E168" s="41" t="s">
        <v>103</v>
      </c>
      <c r="F168" s="41" t="s">
        <v>80</v>
      </c>
      <c r="G168" s="42" t="n">
        <v>95.58</v>
      </c>
      <c r="H168" s="41" t="n">
        <v>10</v>
      </c>
      <c r="I168" s="42" t="n">
        <v>47.79</v>
      </c>
      <c r="J168" s="42" t="n">
        <v>1003.59</v>
      </c>
      <c r="K168" s="43" t="n">
        <v>43481</v>
      </c>
      <c r="L168" s="44" t="n">
        <v>0.563888888888889</v>
      </c>
      <c r="M168" s="41" t="s">
        <v>97</v>
      </c>
      <c r="N168" s="42" t="n">
        <v>955.8</v>
      </c>
      <c r="O168" s="42" t="n">
        <v>47.79</v>
      </c>
      <c r="P168" s="45" t="n">
        <v>4.8</v>
      </c>
      <c r="Q168" s="41" t="str">
        <f aca="false">CHOOSE(MONTH(K168),"Jan","Feb","Mar","Apr","May","Jun","Jul","Aug","Sep","Oct","Nov","Dec")</f>
        <v>Jan</v>
      </c>
      <c r="R168" s="41" t="n">
        <f aca="false">INT((K168-setMinDate)/7)+1</f>
        <v>3</v>
      </c>
      <c r="S168" s="41" t="n">
        <f aca="false">HOUR(L168)</f>
        <v>13</v>
      </c>
      <c r="T168" s="41" t="str">
        <f aca="false">IF(S168&lt;setMorningEnd,"Morning",IF(S168&lt;setAfternoonEnd,"Afternoon","Evening"))</f>
        <v>Afternoon</v>
      </c>
      <c r="U168" s="41" t="str">
        <f aca="false">IF(J168&gt;=setLarge,"Large",IF(J168&gt;=setMedium,"Medium","Small"))</f>
        <v>Large</v>
      </c>
      <c r="V168" s="41" t="str">
        <f aca="false">IF(P168&gt;=setExc,"Excellent",IF(P168&gt;=setGood,"Good",IF(P168&gt;=setAvg,"Average","Poor")))</f>
        <v>Poor</v>
      </c>
    </row>
    <row r="169" customFormat="false" ht="15" hidden="false" customHeight="false" outlineLevel="0" collapsed="false">
      <c r="A169" s="41" t="s">
        <v>347</v>
      </c>
      <c r="B169" s="41" t="s">
        <v>178</v>
      </c>
      <c r="C169" s="41" t="s">
        <v>85</v>
      </c>
      <c r="D169" s="41" t="s">
        <v>105</v>
      </c>
      <c r="E169" s="41" t="s">
        <v>103</v>
      </c>
      <c r="F169" s="41" t="s">
        <v>79</v>
      </c>
      <c r="G169" s="42" t="n">
        <v>98.98</v>
      </c>
      <c r="H169" s="41" t="n">
        <v>10</v>
      </c>
      <c r="I169" s="42" t="n">
        <v>49.49</v>
      </c>
      <c r="J169" s="42" t="n">
        <v>1039.29</v>
      </c>
      <c r="K169" s="43" t="n">
        <v>43504</v>
      </c>
      <c r="L169" s="44" t="n">
        <v>0.680555555555556</v>
      </c>
      <c r="M169" s="41" t="s">
        <v>99</v>
      </c>
      <c r="N169" s="42" t="n">
        <v>989.8</v>
      </c>
      <c r="O169" s="42" t="n">
        <v>49.49</v>
      </c>
      <c r="P169" s="45" t="n">
        <v>8.7</v>
      </c>
      <c r="Q169" s="41" t="str">
        <f aca="false">CHOOSE(MONTH(K169),"Jan","Feb","Mar","Apr","May","Jun","Jul","Aug","Sep","Oct","Nov","Dec")</f>
        <v>Feb</v>
      </c>
      <c r="R169" s="41" t="n">
        <f aca="false">INT((K169-setMinDate)/7)+1</f>
        <v>6</v>
      </c>
      <c r="S169" s="41" t="n">
        <f aca="false">HOUR(L169)</f>
        <v>16</v>
      </c>
      <c r="T169" s="41" t="str">
        <f aca="false">IF(S169&lt;setMorningEnd,"Morning",IF(S169&lt;setAfternoonEnd,"Afternoon","Evening"))</f>
        <v>Afternoon</v>
      </c>
      <c r="U169" s="41" t="str">
        <f aca="false">IF(J169&gt;=setLarge,"Large",IF(J169&gt;=setMedium,"Medium","Small"))</f>
        <v>Large</v>
      </c>
      <c r="V169" s="41" t="str">
        <f aca="false">IF(P169&gt;=setExc,"Excellent",IF(P169&gt;=setGood,"Good",IF(P169&gt;=setAvg,"Average","Poor")))</f>
        <v>Good</v>
      </c>
    </row>
    <row r="170" customFormat="false" ht="15" hidden="false" customHeight="false" outlineLevel="0" collapsed="false">
      <c r="A170" s="41" t="s">
        <v>348</v>
      </c>
      <c r="B170" s="41" t="s">
        <v>178</v>
      </c>
      <c r="C170" s="41" t="s">
        <v>85</v>
      </c>
      <c r="D170" s="41" t="s">
        <v>105</v>
      </c>
      <c r="E170" s="41" t="s">
        <v>103</v>
      </c>
      <c r="F170" s="41" t="s">
        <v>76</v>
      </c>
      <c r="G170" s="42" t="n">
        <v>51.28</v>
      </c>
      <c r="H170" s="41" t="n">
        <v>6</v>
      </c>
      <c r="I170" s="42" t="n">
        <v>15.384</v>
      </c>
      <c r="J170" s="42" t="n">
        <v>323.064</v>
      </c>
      <c r="K170" s="43" t="n">
        <v>43484</v>
      </c>
      <c r="L170" s="44" t="n">
        <v>0.688194444444444</v>
      </c>
      <c r="M170" s="41" t="s">
        <v>97</v>
      </c>
      <c r="N170" s="42" t="n">
        <v>307.68</v>
      </c>
      <c r="O170" s="42" t="n">
        <v>15.384</v>
      </c>
      <c r="P170" s="45" t="n">
        <v>6.5</v>
      </c>
      <c r="Q170" s="41" t="str">
        <f aca="false">CHOOSE(MONTH(K170),"Jan","Feb","Mar","Apr","May","Jun","Jul","Aug","Sep","Oct","Nov","Dec")</f>
        <v>Jan</v>
      </c>
      <c r="R170" s="41" t="n">
        <f aca="false">INT((K170-setMinDate)/7)+1</f>
        <v>3</v>
      </c>
      <c r="S170" s="41" t="n">
        <f aca="false">HOUR(L170)</f>
        <v>16</v>
      </c>
      <c r="T170" s="41" t="str">
        <f aca="false">IF(S170&lt;setMorningEnd,"Morning",IF(S170&lt;setAfternoonEnd,"Afternoon","Evening"))</f>
        <v>Afternoon</v>
      </c>
      <c r="U170" s="41" t="str">
        <f aca="false">IF(J170&gt;=setLarge,"Large",IF(J170&gt;=setMedium,"Medium","Small"))</f>
        <v>Medium</v>
      </c>
      <c r="V170" s="41" t="str">
        <f aca="false">IF(P170&gt;=setExc,"Excellent",IF(P170&gt;=setGood,"Good",IF(P170&gt;=setAvg,"Average","Poor")))</f>
        <v>Average</v>
      </c>
    </row>
    <row r="171" customFormat="false" ht="15" hidden="false" customHeight="false" outlineLevel="0" collapsed="false">
      <c r="A171" s="41" t="s">
        <v>349</v>
      </c>
      <c r="B171" s="41" t="s">
        <v>178</v>
      </c>
      <c r="C171" s="41" t="s">
        <v>85</v>
      </c>
      <c r="D171" s="41" t="s">
        <v>104</v>
      </c>
      <c r="E171" s="41" t="s">
        <v>103</v>
      </c>
      <c r="F171" s="41" t="s">
        <v>77</v>
      </c>
      <c r="G171" s="42" t="n">
        <v>69.52</v>
      </c>
      <c r="H171" s="41" t="n">
        <v>7</v>
      </c>
      <c r="I171" s="42" t="n">
        <v>24.332</v>
      </c>
      <c r="J171" s="42" t="n">
        <v>510.972</v>
      </c>
      <c r="K171" s="43" t="n">
        <v>43497</v>
      </c>
      <c r="L171" s="44" t="n">
        <v>0.631944444444444</v>
      </c>
      <c r="M171" s="41" t="s">
        <v>99</v>
      </c>
      <c r="N171" s="42" t="n">
        <v>486.64</v>
      </c>
      <c r="O171" s="42" t="n">
        <v>24.332</v>
      </c>
      <c r="P171" s="45" t="n">
        <v>8.5</v>
      </c>
      <c r="Q171" s="41" t="str">
        <f aca="false">CHOOSE(MONTH(K171),"Jan","Feb","Mar","Apr","May","Jun","Jul","Aug","Sep","Oct","Nov","Dec")</f>
        <v>Feb</v>
      </c>
      <c r="R171" s="41" t="n">
        <f aca="false">INT((K171-setMinDate)/7)+1</f>
        <v>5</v>
      </c>
      <c r="S171" s="41" t="n">
        <f aca="false">HOUR(L171)</f>
        <v>15</v>
      </c>
      <c r="T171" s="41" t="str">
        <f aca="false">IF(S171&lt;setMorningEnd,"Morning",IF(S171&lt;setAfternoonEnd,"Afternoon","Evening"))</f>
        <v>Afternoon</v>
      </c>
      <c r="U171" s="41" t="str">
        <f aca="false">IF(J171&gt;=setLarge,"Large",IF(J171&gt;=setMedium,"Medium","Small"))</f>
        <v>Medium</v>
      </c>
      <c r="V171" s="41" t="str">
        <f aca="false">IF(P171&gt;=setExc,"Excellent",IF(P171&gt;=setGood,"Good",IF(P171&gt;=setAvg,"Average","Poor")))</f>
        <v>Good</v>
      </c>
    </row>
    <row r="172" customFormat="false" ht="15" hidden="false" customHeight="false" outlineLevel="0" collapsed="false">
      <c r="A172" s="41" t="s">
        <v>350</v>
      </c>
      <c r="B172" s="41" t="s">
        <v>178</v>
      </c>
      <c r="C172" s="41" t="s">
        <v>85</v>
      </c>
      <c r="D172" s="41" t="s">
        <v>105</v>
      </c>
      <c r="E172" s="41" t="s">
        <v>103</v>
      </c>
      <c r="F172" s="41" t="s">
        <v>81</v>
      </c>
      <c r="G172" s="42" t="n">
        <v>70.01</v>
      </c>
      <c r="H172" s="41" t="n">
        <v>5</v>
      </c>
      <c r="I172" s="42" t="n">
        <v>17.5025</v>
      </c>
      <c r="J172" s="42" t="n">
        <v>367.5525</v>
      </c>
      <c r="K172" s="43" t="n">
        <v>43468</v>
      </c>
      <c r="L172" s="44" t="n">
        <v>0.483333333333333</v>
      </c>
      <c r="M172" s="41" t="s">
        <v>98</v>
      </c>
      <c r="N172" s="42" t="n">
        <v>350.05</v>
      </c>
      <c r="O172" s="42" t="n">
        <v>17.5025</v>
      </c>
      <c r="P172" s="45" t="n">
        <v>5.5</v>
      </c>
      <c r="Q172" s="41" t="str">
        <f aca="false">CHOOSE(MONTH(K172),"Jan","Feb","Mar","Apr","May","Jun","Jul","Aug","Sep","Oct","Nov","Dec")</f>
        <v>Jan</v>
      </c>
      <c r="R172" s="41" t="n">
        <f aca="false">INT((K172-setMinDate)/7)+1</f>
        <v>1</v>
      </c>
      <c r="S172" s="41" t="n">
        <f aca="false">HOUR(L172)</f>
        <v>11</v>
      </c>
      <c r="T172" s="41" t="str">
        <f aca="false">IF(S172&lt;setMorningEnd,"Morning",IF(S172&lt;setAfternoonEnd,"Afternoon","Evening"))</f>
        <v>Morning</v>
      </c>
      <c r="U172" s="41" t="str">
        <f aca="false">IF(J172&gt;=setLarge,"Large",IF(J172&gt;=setMedium,"Medium","Small"))</f>
        <v>Medium</v>
      </c>
      <c r="V172" s="41" t="str">
        <f aca="false">IF(P172&gt;=setExc,"Excellent",IF(P172&gt;=setGood,"Good",IF(P172&gt;=setAvg,"Average","Poor")))</f>
        <v>Average</v>
      </c>
    </row>
    <row r="173" customFormat="false" ht="15" hidden="false" customHeight="false" outlineLevel="0" collapsed="false">
      <c r="A173" s="41" t="s">
        <v>351</v>
      </c>
      <c r="B173" s="41" t="s">
        <v>189</v>
      </c>
      <c r="C173" s="41" t="s">
        <v>86</v>
      </c>
      <c r="D173" s="41" t="s">
        <v>104</v>
      </c>
      <c r="E173" s="41" t="s">
        <v>103</v>
      </c>
      <c r="F173" s="41" t="s">
        <v>76</v>
      </c>
      <c r="G173" s="42" t="n">
        <v>80.05</v>
      </c>
      <c r="H173" s="41" t="n">
        <v>5</v>
      </c>
      <c r="I173" s="42" t="n">
        <v>20.0125</v>
      </c>
      <c r="J173" s="42" t="n">
        <v>420.2625</v>
      </c>
      <c r="K173" s="43" t="n">
        <v>43491</v>
      </c>
      <c r="L173" s="44" t="n">
        <v>0.53125</v>
      </c>
      <c r="M173" s="41" t="s">
        <v>99</v>
      </c>
      <c r="N173" s="42" t="n">
        <v>400.25</v>
      </c>
      <c r="O173" s="42" t="n">
        <v>20.0125</v>
      </c>
      <c r="P173" s="45" t="n">
        <v>9.4</v>
      </c>
      <c r="Q173" s="41" t="str">
        <f aca="false">CHOOSE(MONTH(K173),"Jan","Feb","Mar","Apr","May","Jun","Jul","Aug","Sep","Oct","Nov","Dec")</f>
        <v>Jan</v>
      </c>
      <c r="R173" s="41" t="n">
        <f aca="false">INT((K173-setMinDate)/7)+1</f>
        <v>4</v>
      </c>
      <c r="S173" s="41" t="n">
        <f aca="false">HOUR(L173)</f>
        <v>12</v>
      </c>
      <c r="T173" s="41" t="str">
        <f aca="false">IF(S173&lt;setMorningEnd,"Morning",IF(S173&lt;setAfternoonEnd,"Afternoon","Evening"))</f>
        <v>Afternoon</v>
      </c>
      <c r="U173" s="41" t="str">
        <f aca="false">IF(J173&gt;=setLarge,"Large",IF(J173&gt;=setMedium,"Medium","Small"))</f>
        <v>Medium</v>
      </c>
      <c r="V173" s="41" t="str">
        <f aca="false">IF(P173&gt;=setExc,"Excellent",IF(P173&gt;=setGood,"Good",IF(P173&gt;=setAvg,"Average","Poor")))</f>
        <v>Excellent</v>
      </c>
    </row>
    <row r="174" customFormat="false" ht="15" hidden="false" customHeight="false" outlineLevel="0" collapsed="false">
      <c r="A174" s="41" t="s">
        <v>352</v>
      </c>
      <c r="B174" s="41" t="s">
        <v>180</v>
      </c>
      <c r="C174" s="41" t="s">
        <v>87</v>
      </c>
      <c r="D174" s="41" t="s">
        <v>105</v>
      </c>
      <c r="E174" s="41" t="s">
        <v>103</v>
      </c>
      <c r="F174" s="41" t="s">
        <v>78</v>
      </c>
      <c r="G174" s="42" t="n">
        <v>20.85</v>
      </c>
      <c r="H174" s="41" t="n">
        <v>8</v>
      </c>
      <c r="I174" s="42" t="n">
        <v>8.34</v>
      </c>
      <c r="J174" s="42" t="n">
        <v>175.14</v>
      </c>
      <c r="K174" s="43" t="n">
        <v>43527</v>
      </c>
      <c r="L174" s="44" t="n">
        <v>0.803472222222222</v>
      </c>
      <c r="M174" s="41" t="s">
        <v>97</v>
      </c>
      <c r="N174" s="42" t="n">
        <v>166.8</v>
      </c>
      <c r="O174" s="42" t="n">
        <v>8.34</v>
      </c>
      <c r="P174" s="45" t="n">
        <v>6.3</v>
      </c>
      <c r="Q174" s="41" t="str">
        <f aca="false">CHOOSE(MONTH(K174),"Jan","Feb","Mar","Apr","May","Jun","Jul","Aug","Sep","Oct","Nov","Dec")</f>
        <v>Mar</v>
      </c>
      <c r="R174" s="41" t="n">
        <f aca="false">INT((K174-setMinDate)/7)+1</f>
        <v>9</v>
      </c>
      <c r="S174" s="41" t="n">
        <f aca="false">HOUR(L174)</f>
        <v>19</v>
      </c>
      <c r="T174" s="41" t="str">
        <f aca="false">IF(S174&lt;setMorningEnd,"Morning",IF(S174&lt;setAfternoonEnd,"Afternoon","Evening"))</f>
        <v>Evening</v>
      </c>
      <c r="U174" s="41" t="str">
        <f aca="false">IF(J174&gt;=setLarge,"Large",IF(J174&gt;=setMedium,"Medium","Small"))</f>
        <v>Small</v>
      </c>
      <c r="V174" s="41" t="str">
        <f aca="false">IF(P174&gt;=setExc,"Excellent",IF(P174&gt;=setGood,"Good",IF(P174&gt;=setAvg,"Average","Poor")))</f>
        <v>Average</v>
      </c>
    </row>
    <row r="175" customFormat="false" ht="15" hidden="false" customHeight="false" outlineLevel="0" collapsed="false">
      <c r="A175" s="41" t="s">
        <v>353</v>
      </c>
      <c r="B175" s="41" t="s">
        <v>189</v>
      </c>
      <c r="C175" s="41" t="s">
        <v>86</v>
      </c>
      <c r="D175" s="41" t="s">
        <v>104</v>
      </c>
      <c r="E175" s="41" t="s">
        <v>103</v>
      </c>
      <c r="F175" s="41" t="s">
        <v>78</v>
      </c>
      <c r="G175" s="42" t="n">
        <v>52.89</v>
      </c>
      <c r="H175" s="41" t="n">
        <v>6</v>
      </c>
      <c r="I175" s="42" t="n">
        <v>15.867</v>
      </c>
      <c r="J175" s="42" t="n">
        <v>333.207</v>
      </c>
      <c r="K175" s="43" t="n">
        <v>43484</v>
      </c>
      <c r="L175" s="44" t="n">
        <v>0.731944444444444</v>
      </c>
      <c r="M175" s="41" t="s">
        <v>99</v>
      </c>
      <c r="N175" s="42" t="n">
        <v>317.34</v>
      </c>
      <c r="O175" s="42" t="n">
        <v>15.867</v>
      </c>
      <c r="P175" s="45" t="n">
        <v>9.8</v>
      </c>
      <c r="Q175" s="41" t="str">
        <f aca="false">CHOOSE(MONTH(K175),"Jan","Feb","Mar","Apr","May","Jun","Jul","Aug","Sep","Oct","Nov","Dec")</f>
        <v>Jan</v>
      </c>
      <c r="R175" s="41" t="n">
        <f aca="false">INT((K175-setMinDate)/7)+1</f>
        <v>3</v>
      </c>
      <c r="S175" s="41" t="n">
        <f aca="false">HOUR(L175)</f>
        <v>17</v>
      </c>
      <c r="T175" s="41" t="str">
        <f aca="false">IF(S175&lt;setMorningEnd,"Morning",IF(S175&lt;setAfternoonEnd,"Afternoon","Evening"))</f>
        <v>Evening</v>
      </c>
      <c r="U175" s="41" t="str">
        <f aca="false">IF(J175&gt;=setLarge,"Large",IF(J175&gt;=setMedium,"Medium","Small"))</f>
        <v>Medium</v>
      </c>
      <c r="V175" s="41" t="str">
        <f aca="false">IF(P175&gt;=setExc,"Excellent",IF(P175&gt;=setGood,"Good",IF(P175&gt;=setAvg,"Average","Poor")))</f>
        <v>Excellent</v>
      </c>
    </row>
    <row r="176" customFormat="false" ht="15" hidden="false" customHeight="false" outlineLevel="0" collapsed="false">
      <c r="A176" s="41" t="s">
        <v>354</v>
      </c>
      <c r="B176" s="41" t="s">
        <v>189</v>
      </c>
      <c r="C176" s="41" t="s">
        <v>86</v>
      </c>
      <c r="D176" s="41" t="s">
        <v>105</v>
      </c>
      <c r="E176" s="41" t="s">
        <v>103</v>
      </c>
      <c r="F176" s="41" t="s">
        <v>76</v>
      </c>
      <c r="G176" s="42" t="n">
        <v>19.79</v>
      </c>
      <c r="H176" s="41" t="n">
        <v>8</v>
      </c>
      <c r="I176" s="42" t="n">
        <v>7.916</v>
      </c>
      <c r="J176" s="42" t="n">
        <v>166.236</v>
      </c>
      <c r="K176" s="43" t="n">
        <v>43483</v>
      </c>
      <c r="L176" s="44" t="n">
        <v>0.502777777777778</v>
      </c>
      <c r="M176" s="41" t="s">
        <v>98</v>
      </c>
      <c r="N176" s="42" t="n">
        <v>158.32</v>
      </c>
      <c r="O176" s="42" t="n">
        <v>7.916</v>
      </c>
      <c r="P176" s="45" t="n">
        <v>8.7</v>
      </c>
      <c r="Q176" s="41" t="str">
        <f aca="false">CHOOSE(MONTH(K176),"Jan","Feb","Mar","Apr","May","Jun","Jul","Aug","Sep","Oct","Nov","Dec")</f>
        <v>Jan</v>
      </c>
      <c r="R176" s="41" t="n">
        <f aca="false">INT((K176-setMinDate)/7)+1</f>
        <v>3</v>
      </c>
      <c r="S176" s="41" t="n">
        <f aca="false">HOUR(L176)</f>
        <v>12</v>
      </c>
      <c r="T176" s="41" t="str">
        <f aca="false">IF(S176&lt;setMorningEnd,"Morning",IF(S176&lt;setAfternoonEnd,"Afternoon","Evening"))</f>
        <v>Afternoon</v>
      </c>
      <c r="U176" s="41" t="str">
        <f aca="false">IF(J176&gt;=setLarge,"Large",IF(J176&gt;=setMedium,"Medium","Small"))</f>
        <v>Small</v>
      </c>
      <c r="V176" s="41" t="str">
        <f aca="false">IF(P176&gt;=setExc,"Excellent",IF(P176&gt;=setGood,"Good",IF(P176&gt;=setAvg,"Average","Poor")))</f>
        <v>Good</v>
      </c>
    </row>
    <row r="177" customFormat="false" ht="15" hidden="false" customHeight="false" outlineLevel="0" collapsed="false">
      <c r="A177" s="41" t="s">
        <v>355</v>
      </c>
      <c r="B177" s="41" t="s">
        <v>178</v>
      </c>
      <c r="C177" s="41" t="s">
        <v>85</v>
      </c>
      <c r="D177" s="41" t="s">
        <v>104</v>
      </c>
      <c r="E177" s="41" t="s">
        <v>103</v>
      </c>
      <c r="F177" s="41" t="s">
        <v>80</v>
      </c>
      <c r="G177" s="42" t="n">
        <v>33.84</v>
      </c>
      <c r="H177" s="41" t="n">
        <v>9</v>
      </c>
      <c r="I177" s="42" t="n">
        <v>15.228</v>
      </c>
      <c r="J177" s="42" t="n">
        <v>319.788</v>
      </c>
      <c r="K177" s="43" t="n">
        <v>43545</v>
      </c>
      <c r="L177" s="44" t="n">
        <v>0.68125</v>
      </c>
      <c r="M177" s="41" t="s">
        <v>98</v>
      </c>
      <c r="N177" s="42" t="n">
        <v>304.56</v>
      </c>
      <c r="O177" s="42" t="n">
        <v>15.228</v>
      </c>
      <c r="P177" s="45" t="n">
        <v>8.8</v>
      </c>
      <c r="Q177" s="41" t="str">
        <f aca="false">CHOOSE(MONTH(K177),"Jan","Feb","Mar","Apr","May","Jun","Jul","Aug","Sep","Oct","Nov","Dec")</f>
        <v>Mar</v>
      </c>
      <c r="R177" s="41" t="n">
        <f aca="false">INT((K177-setMinDate)/7)+1</f>
        <v>12</v>
      </c>
      <c r="S177" s="41" t="n">
        <f aca="false">HOUR(L177)</f>
        <v>16</v>
      </c>
      <c r="T177" s="41" t="str">
        <f aca="false">IF(S177&lt;setMorningEnd,"Morning",IF(S177&lt;setAfternoonEnd,"Afternoon","Evening"))</f>
        <v>Afternoon</v>
      </c>
      <c r="U177" s="41" t="str">
        <f aca="false">IF(J177&gt;=setLarge,"Large",IF(J177&gt;=setMedium,"Medium","Small"))</f>
        <v>Medium</v>
      </c>
      <c r="V177" s="41" t="str">
        <f aca="false">IF(P177&gt;=setExc,"Excellent",IF(P177&gt;=setGood,"Good",IF(P177&gt;=setAvg,"Average","Poor")))</f>
        <v>Good</v>
      </c>
    </row>
    <row r="178" customFormat="false" ht="15" hidden="false" customHeight="false" outlineLevel="0" collapsed="false">
      <c r="A178" s="41" t="s">
        <v>356</v>
      </c>
      <c r="B178" s="41" t="s">
        <v>178</v>
      </c>
      <c r="C178" s="41" t="s">
        <v>85</v>
      </c>
      <c r="D178" s="41" t="s">
        <v>104</v>
      </c>
      <c r="E178" s="41" t="s">
        <v>103</v>
      </c>
      <c r="F178" s="41" t="s">
        <v>76</v>
      </c>
      <c r="G178" s="42" t="n">
        <v>22.17</v>
      </c>
      <c r="H178" s="41" t="n">
        <v>8</v>
      </c>
      <c r="I178" s="42" t="n">
        <v>8.868</v>
      </c>
      <c r="J178" s="42" t="n">
        <v>186.228</v>
      </c>
      <c r="K178" s="43" t="n">
        <v>43527</v>
      </c>
      <c r="L178" s="44" t="n">
        <v>0.709027777777778</v>
      </c>
      <c r="M178" s="41" t="s">
        <v>99</v>
      </c>
      <c r="N178" s="42" t="n">
        <v>177.36</v>
      </c>
      <c r="O178" s="42" t="n">
        <v>8.868</v>
      </c>
      <c r="P178" s="45" t="n">
        <v>9.6</v>
      </c>
      <c r="Q178" s="41" t="str">
        <f aca="false">CHOOSE(MONTH(K178),"Jan","Feb","Mar","Apr","May","Jun","Jul","Aug","Sep","Oct","Nov","Dec")</f>
        <v>Mar</v>
      </c>
      <c r="R178" s="41" t="n">
        <f aca="false">INT((K178-setMinDate)/7)+1</f>
        <v>9</v>
      </c>
      <c r="S178" s="41" t="n">
        <f aca="false">HOUR(L178)</f>
        <v>17</v>
      </c>
      <c r="T178" s="41" t="str">
        <f aca="false">IF(S178&lt;setMorningEnd,"Morning",IF(S178&lt;setAfternoonEnd,"Afternoon","Evening"))</f>
        <v>Evening</v>
      </c>
      <c r="U178" s="41" t="str">
        <f aca="false">IF(J178&gt;=setLarge,"Large",IF(J178&gt;=setMedium,"Medium","Small"))</f>
        <v>Small</v>
      </c>
      <c r="V178" s="41" t="str">
        <f aca="false">IF(P178&gt;=setExc,"Excellent",IF(P178&gt;=setGood,"Good",IF(P178&gt;=setAvg,"Average","Poor")))</f>
        <v>Excellent</v>
      </c>
    </row>
    <row r="179" customFormat="false" ht="15" hidden="false" customHeight="false" outlineLevel="0" collapsed="false">
      <c r="A179" s="41" t="s">
        <v>357</v>
      </c>
      <c r="B179" s="41" t="s">
        <v>180</v>
      </c>
      <c r="C179" s="41" t="s">
        <v>87</v>
      </c>
      <c r="D179" s="41" t="s">
        <v>105</v>
      </c>
      <c r="E179" s="41" t="s">
        <v>102</v>
      </c>
      <c r="F179" s="41" t="s">
        <v>79</v>
      </c>
      <c r="G179" s="42" t="n">
        <v>22.51</v>
      </c>
      <c r="H179" s="41" t="n">
        <v>7</v>
      </c>
      <c r="I179" s="42" t="n">
        <v>7.8785</v>
      </c>
      <c r="J179" s="42" t="n">
        <v>165.4485</v>
      </c>
      <c r="K179" s="43" t="n">
        <v>43509</v>
      </c>
      <c r="L179" s="44" t="n">
        <v>0.451388888888889</v>
      </c>
      <c r="M179" s="41" t="s">
        <v>99</v>
      </c>
      <c r="N179" s="42" t="n">
        <v>157.57</v>
      </c>
      <c r="O179" s="42" t="n">
        <v>7.8785</v>
      </c>
      <c r="P179" s="45" t="n">
        <v>4.8</v>
      </c>
      <c r="Q179" s="41" t="str">
        <f aca="false">CHOOSE(MONTH(K179),"Jan","Feb","Mar","Apr","May","Jun","Jul","Aug","Sep","Oct","Nov","Dec")</f>
        <v>Feb</v>
      </c>
      <c r="R179" s="41" t="n">
        <f aca="false">INT((K179-setMinDate)/7)+1</f>
        <v>7</v>
      </c>
      <c r="S179" s="41" t="n">
        <f aca="false">HOUR(L179)</f>
        <v>10</v>
      </c>
      <c r="T179" s="41" t="str">
        <f aca="false">IF(S179&lt;setMorningEnd,"Morning",IF(S179&lt;setAfternoonEnd,"Afternoon","Evening"))</f>
        <v>Morning</v>
      </c>
      <c r="U179" s="41" t="str">
        <f aca="false">IF(J179&gt;=setLarge,"Large",IF(J179&gt;=setMedium,"Medium","Small"))</f>
        <v>Small</v>
      </c>
      <c r="V179" s="41" t="str">
        <f aca="false">IF(P179&gt;=setExc,"Excellent",IF(P179&gt;=setGood,"Good",IF(P179&gt;=setAvg,"Average","Poor")))</f>
        <v>Poor</v>
      </c>
    </row>
    <row r="180" customFormat="false" ht="15" hidden="false" customHeight="false" outlineLevel="0" collapsed="false">
      <c r="A180" s="41" t="s">
        <v>358</v>
      </c>
      <c r="B180" s="41" t="s">
        <v>178</v>
      </c>
      <c r="C180" s="41" t="s">
        <v>85</v>
      </c>
      <c r="D180" s="41" t="s">
        <v>105</v>
      </c>
      <c r="E180" s="41" t="s">
        <v>103</v>
      </c>
      <c r="F180" s="41" t="s">
        <v>76</v>
      </c>
      <c r="G180" s="42" t="n">
        <v>73.88</v>
      </c>
      <c r="H180" s="41" t="n">
        <v>6</v>
      </c>
      <c r="I180" s="42" t="n">
        <v>22.164</v>
      </c>
      <c r="J180" s="42" t="n">
        <v>465.444</v>
      </c>
      <c r="K180" s="43" t="n">
        <v>43547</v>
      </c>
      <c r="L180" s="44" t="n">
        <v>0.802777777777778</v>
      </c>
      <c r="M180" s="41" t="s">
        <v>98</v>
      </c>
      <c r="N180" s="42" t="n">
        <v>443.28</v>
      </c>
      <c r="O180" s="42" t="n">
        <v>22.164</v>
      </c>
      <c r="P180" s="45" t="n">
        <v>4.4</v>
      </c>
      <c r="Q180" s="41" t="str">
        <f aca="false">CHOOSE(MONTH(K180),"Jan","Feb","Mar","Apr","May","Jun","Jul","Aug","Sep","Oct","Nov","Dec")</f>
        <v>Mar</v>
      </c>
      <c r="R180" s="41" t="n">
        <f aca="false">INT((K180-setMinDate)/7)+1</f>
        <v>12</v>
      </c>
      <c r="S180" s="41" t="n">
        <f aca="false">HOUR(L180)</f>
        <v>19</v>
      </c>
      <c r="T180" s="41" t="str">
        <f aca="false">IF(S180&lt;setMorningEnd,"Morning",IF(S180&lt;setAfternoonEnd,"Afternoon","Evening"))</f>
        <v>Evening</v>
      </c>
      <c r="U180" s="41" t="str">
        <f aca="false">IF(J180&gt;=setLarge,"Large",IF(J180&gt;=setMedium,"Medium","Small"))</f>
        <v>Medium</v>
      </c>
      <c r="V180" s="41" t="str">
        <f aca="false">IF(P180&gt;=setExc,"Excellent",IF(P180&gt;=setGood,"Good",IF(P180&gt;=setAvg,"Average","Poor")))</f>
        <v>Poor</v>
      </c>
    </row>
    <row r="181" customFormat="false" ht="15" hidden="false" customHeight="false" outlineLevel="0" collapsed="false">
      <c r="A181" s="41" t="s">
        <v>359</v>
      </c>
      <c r="B181" s="41" t="s">
        <v>180</v>
      </c>
      <c r="C181" s="41" t="s">
        <v>87</v>
      </c>
      <c r="D181" s="41" t="s">
        <v>104</v>
      </c>
      <c r="E181" s="41" t="s">
        <v>103</v>
      </c>
      <c r="F181" s="41" t="s">
        <v>81</v>
      </c>
      <c r="G181" s="42" t="n">
        <v>86.8</v>
      </c>
      <c r="H181" s="41" t="n">
        <v>3</v>
      </c>
      <c r="I181" s="42" t="n">
        <v>13.02</v>
      </c>
      <c r="J181" s="42" t="n">
        <v>273.42</v>
      </c>
      <c r="K181" s="43" t="n">
        <v>43493</v>
      </c>
      <c r="L181" s="44" t="n">
        <v>0.699305555555556</v>
      </c>
      <c r="M181" s="41" t="s">
        <v>98</v>
      </c>
      <c r="N181" s="42" t="n">
        <v>260.4</v>
      </c>
      <c r="O181" s="42" t="n">
        <v>13.02</v>
      </c>
      <c r="P181" s="45" t="n">
        <v>9.9</v>
      </c>
      <c r="Q181" s="41" t="str">
        <f aca="false">CHOOSE(MONTH(K181),"Jan","Feb","Mar","Apr","May","Jun","Jul","Aug","Sep","Oct","Nov","Dec")</f>
        <v>Jan</v>
      </c>
      <c r="R181" s="41" t="n">
        <f aca="false">INT((K181-setMinDate)/7)+1</f>
        <v>4</v>
      </c>
      <c r="S181" s="41" t="n">
        <f aca="false">HOUR(L181)</f>
        <v>16</v>
      </c>
      <c r="T181" s="41" t="str">
        <f aca="false">IF(S181&lt;setMorningEnd,"Morning",IF(S181&lt;setAfternoonEnd,"Afternoon","Evening"))</f>
        <v>Afternoon</v>
      </c>
      <c r="U181" s="41" t="str">
        <f aca="false">IF(J181&gt;=setLarge,"Large",IF(J181&gt;=setMedium,"Medium","Small"))</f>
        <v>Medium</v>
      </c>
      <c r="V181" s="41" t="str">
        <f aca="false">IF(P181&gt;=setExc,"Excellent",IF(P181&gt;=setGood,"Good",IF(P181&gt;=setAvg,"Average","Poor")))</f>
        <v>Excellent</v>
      </c>
    </row>
    <row r="182" customFormat="false" ht="15" hidden="false" customHeight="false" outlineLevel="0" collapsed="false">
      <c r="A182" s="41" t="s">
        <v>360</v>
      </c>
      <c r="B182" s="41" t="s">
        <v>180</v>
      </c>
      <c r="C182" s="41" t="s">
        <v>87</v>
      </c>
      <c r="D182" s="41" t="s">
        <v>105</v>
      </c>
      <c r="E182" s="41" t="s">
        <v>103</v>
      </c>
      <c r="F182" s="41" t="s">
        <v>79</v>
      </c>
      <c r="G182" s="42" t="n">
        <v>64.26</v>
      </c>
      <c r="H182" s="41" t="n">
        <v>7</v>
      </c>
      <c r="I182" s="42" t="n">
        <v>22.491</v>
      </c>
      <c r="J182" s="42" t="n">
        <v>472.311</v>
      </c>
      <c r="K182" s="43" t="n">
        <v>43505</v>
      </c>
      <c r="L182" s="44" t="n">
        <v>0.416666666666667</v>
      </c>
      <c r="M182" s="41" t="s">
        <v>97</v>
      </c>
      <c r="N182" s="42" t="n">
        <v>449.82</v>
      </c>
      <c r="O182" s="42" t="n">
        <v>22.491</v>
      </c>
      <c r="P182" s="45" t="n">
        <v>5.7</v>
      </c>
      <c r="Q182" s="41" t="str">
        <f aca="false">CHOOSE(MONTH(K182),"Jan","Feb","Mar","Apr","May","Jun","Jul","Aug","Sep","Oct","Nov","Dec")</f>
        <v>Feb</v>
      </c>
      <c r="R182" s="41" t="n">
        <f aca="false">INT((K182-setMinDate)/7)+1</f>
        <v>6</v>
      </c>
      <c r="S182" s="41" t="n">
        <f aca="false">HOUR(L182)</f>
        <v>10</v>
      </c>
      <c r="T182" s="41" t="str">
        <f aca="false">IF(S182&lt;setMorningEnd,"Morning",IF(S182&lt;setAfternoonEnd,"Afternoon","Evening"))</f>
        <v>Morning</v>
      </c>
      <c r="U182" s="41" t="str">
        <f aca="false">IF(J182&gt;=setLarge,"Large",IF(J182&gt;=setMedium,"Medium","Small"))</f>
        <v>Medium</v>
      </c>
      <c r="V182" s="41" t="str">
        <f aca="false">IF(P182&gt;=setExc,"Excellent",IF(P182&gt;=setGood,"Good",IF(P182&gt;=setAvg,"Average","Poor")))</f>
        <v>Average</v>
      </c>
    </row>
    <row r="183" customFormat="false" ht="15" hidden="false" customHeight="false" outlineLevel="0" collapsed="false">
      <c r="A183" s="41" t="s">
        <v>361</v>
      </c>
      <c r="B183" s="41" t="s">
        <v>180</v>
      </c>
      <c r="C183" s="41" t="s">
        <v>87</v>
      </c>
      <c r="D183" s="41" t="s">
        <v>104</v>
      </c>
      <c r="E183" s="41" t="s">
        <v>103</v>
      </c>
      <c r="F183" s="41" t="s">
        <v>76</v>
      </c>
      <c r="G183" s="42" t="n">
        <v>38.47</v>
      </c>
      <c r="H183" s="41" t="n">
        <v>8</v>
      </c>
      <c r="I183" s="42" t="n">
        <v>15.388</v>
      </c>
      <c r="J183" s="42" t="n">
        <v>323.148</v>
      </c>
      <c r="K183" s="43" t="n">
        <v>43488</v>
      </c>
      <c r="L183" s="44" t="n">
        <v>0.49375</v>
      </c>
      <c r="M183" s="41" t="s">
        <v>97</v>
      </c>
      <c r="N183" s="42" t="n">
        <v>307.76</v>
      </c>
      <c r="O183" s="42" t="n">
        <v>15.388</v>
      </c>
      <c r="P183" s="45" t="n">
        <v>7.7</v>
      </c>
      <c r="Q183" s="41" t="str">
        <f aca="false">CHOOSE(MONTH(K183),"Jan","Feb","Mar","Apr","May","Jun","Jul","Aug","Sep","Oct","Nov","Dec")</f>
        <v>Jan</v>
      </c>
      <c r="R183" s="41" t="n">
        <f aca="false">INT((K183-setMinDate)/7)+1</f>
        <v>4</v>
      </c>
      <c r="S183" s="41" t="n">
        <f aca="false">HOUR(L183)</f>
        <v>11</v>
      </c>
      <c r="T183" s="41" t="str">
        <f aca="false">IF(S183&lt;setMorningEnd,"Morning",IF(S183&lt;setAfternoonEnd,"Afternoon","Evening"))</f>
        <v>Morning</v>
      </c>
      <c r="U183" s="41" t="str">
        <f aca="false">IF(J183&gt;=setLarge,"Large",IF(J183&gt;=setMedium,"Medium","Small"))</f>
        <v>Medium</v>
      </c>
      <c r="V183" s="41" t="str">
        <f aca="false">IF(P183&gt;=setExc,"Excellent",IF(P183&gt;=setGood,"Good",IF(P183&gt;=setAvg,"Average","Poor")))</f>
        <v>Good</v>
      </c>
    </row>
    <row r="184" customFormat="false" ht="15" hidden="false" customHeight="false" outlineLevel="0" collapsed="false">
      <c r="A184" s="41" t="s">
        <v>362</v>
      </c>
      <c r="B184" s="41" t="s">
        <v>178</v>
      </c>
      <c r="C184" s="41" t="s">
        <v>85</v>
      </c>
      <c r="D184" s="41" t="s">
        <v>104</v>
      </c>
      <c r="E184" s="41" t="s">
        <v>103</v>
      </c>
      <c r="F184" s="41" t="s">
        <v>77</v>
      </c>
      <c r="G184" s="42" t="n">
        <v>15.5</v>
      </c>
      <c r="H184" s="41" t="n">
        <v>10</v>
      </c>
      <c r="I184" s="42" t="n">
        <v>7.75</v>
      </c>
      <c r="J184" s="42" t="n">
        <v>162.75</v>
      </c>
      <c r="K184" s="43" t="n">
        <v>43547</v>
      </c>
      <c r="L184" s="44" t="n">
        <v>0.454861111111111</v>
      </c>
      <c r="M184" s="41" t="s">
        <v>98</v>
      </c>
      <c r="N184" s="42" t="n">
        <v>155</v>
      </c>
      <c r="O184" s="42" t="n">
        <v>7.75</v>
      </c>
      <c r="P184" s="45" t="n">
        <v>8</v>
      </c>
      <c r="Q184" s="41" t="str">
        <f aca="false">CHOOSE(MONTH(K184),"Jan","Feb","Mar","Apr","May","Jun","Jul","Aug","Sep","Oct","Nov","Dec")</f>
        <v>Mar</v>
      </c>
      <c r="R184" s="41" t="n">
        <f aca="false">INT((K184-setMinDate)/7)+1</f>
        <v>12</v>
      </c>
      <c r="S184" s="41" t="n">
        <f aca="false">HOUR(L184)</f>
        <v>10</v>
      </c>
      <c r="T184" s="41" t="str">
        <f aca="false">IF(S184&lt;setMorningEnd,"Morning",IF(S184&lt;setAfternoonEnd,"Afternoon","Evening"))</f>
        <v>Morning</v>
      </c>
      <c r="U184" s="41" t="str">
        <f aca="false">IF(J184&gt;=setLarge,"Large",IF(J184&gt;=setMedium,"Medium","Small"))</f>
        <v>Small</v>
      </c>
      <c r="V184" s="41" t="str">
        <f aca="false">IF(P184&gt;=setExc,"Excellent",IF(P184&gt;=setGood,"Good",IF(P184&gt;=setAvg,"Average","Poor")))</f>
        <v>Good</v>
      </c>
    </row>
    <row r="185" customFormat="false" ht="15" hidden="false" customHeight="false" outlineLevel="0" collapsed="false">
      <c r="A185" s="41" t="s">
        <v>363</v>
      </c>
      <c r="B185" s="41" t="s">
        <v>180</v>
      </c>
      <c r="C185" s="41" t="s">
        <v>87</v>
      </c>
      <c r="D185" s="41" t="s">
        <v>105</v>
      </c>
      <c r="E185" s="41" t="s">
        <v>103</v>
      </c>
      <c r="F185" s="41" t="s">
        <v>81</v>
      </c>
      <c r="G185" s="42" t="n">
        <v>34.31</v>
      </c>
      <c r="H185" s="41" t="n">
        <v>8</v>
      </c>
      <c r="I185" s="42" t="n">
        <v>13.724</v>
      </c>
      <c r="J185" s="42" t="n">
        <v>288.204</v>
      </c>
      <c r="K185" s="43" t="n">
        <v>43490</v>
      </c>
      <c r="L185" s="44" t="n">
        <v>0.625</v>
      </c>
      <c r="M185" s="41" t="s">
        <v>98</v>
      </c>
      <c r="N185" s="42" t="n">
        <v>274.48</v>
      </c>
      <c r="O185" s="42" t="n">
        <v>13.724</v>
      </c>
      <c r="P185" s="45" t="n">
        <v>5.7</v>
      </c>
      <c r="Q185" s="41" t="str">
        <f aca="false">CHOOSE(MONTH(K185),"Jan","Feb","Mar","Apr","May","Jun","Jul","Aug","Sep","Oct","Nov","Dec")</f>
        <v>Jan</v>
      </c>
      <c r="R185" s="41" t="n">
        <f aca="false">INT((K185-setMinDate)/7)+1</f>
        <v>4</v>
      </c>
      <c r="S185" s="41" t="n">
        <f aca="false">HOUR(L185)</f>
        <v>15</v>
      </c>
      <c r="T185" s="41" t="str">
        <f aca="false">IF(S185&lt;setMorningEnd,"Morning",IF(S185&lt;setAfternoonEnd,"Afternoon","Evening"))</f>
        <v>Afternoon</v>
      </c>
      <c r="U185" s="41" t="str">
        <f aca="false">IF(J185&gt;=setLarge,"Large",IF(J185&gt;=setMedium,"Medium","Small"))</f>
        <v>Medium</v>
      </c>
      <c r="V185" s="41" t="str">
        <f aca="false">IF(P185&gt;=setExc,"Excellent",IF(P185&gt;=setGood,"Good",IF(P185&gt;=setAvg,"Average","Poor")))</f>
        <v>Average</v>
      </c>
    </row>
    <row r="186" customFormat="false" ht="15" hidden="false" customHeight="false" outlineLevel="0" collapsed="false">
      <c r="A186" s="41" t="s">
        <v>364</v>
      </c>
      <c r="B186" s="41" t="s">
        <v>178</v>
      </c>
      <c r="C186" s="41" t="s">
        <v>85</v>
      </c>
      <c r="D186" s="41" t="s">
        <v>105</v>
      </c>
      <c r="E186" s="41" t="s">
        <v>102</v>
      </c>
      <c r="F186" s="41" t="s">
        <v>77</v>
      </c>
      <c r="G186" s="42" t="n">
        <v>12.34</v>
      </c>
      <c r="H186" s="41" t="n">
        <v>7</v>
      </c>
      <c r="I186" s="42" t="n">
        <v>4.319</v>
      </c>
      <c r="J186" s="42" t="n">
        <v>90.699</v>
      </c>
      <c r="K186" s="43" t="n">
        <v>43528</v>
      </c>
      <c r="L186" s="44" t="n">
        <v>0.471527777777778</v>
      </c>
      <c r="M186" s="41" t="s">
        <v>99</v>
      </c>
      <c r="N186" s="42" t="n">
        <v>86.38</v>
      </c>
      <c r="O186" s="42" t="n">
        <v>4.319</v>
      </c>
      <c r="P186" s="45" t="n">
        <v>6.7</v>
      </c>
      <c r="Q186" s="41" t="str">
        <f aca="false">CHOOSE(MONTH(K186),"Jan","Feb","Mar","Apr","May","Jun","Jul","Aug","Sep","Oct","Nov","Dec")</f>
        <v>Mar</v>
      </c>
      <c r="R186" s="41" t="n">
        <f aca="false">INT((K186-setMinDate)/7)+1</f>
        <v>9</v>
      </c>
      <c r="S186" s="41" t="n">
        <f aca="false">HOUR(L186)</f>
        <v>11</v>
      </c>
      <c r="T186" s="41" t="str">
        <f aca="false">IF(S186&lt;setMorningEnd,"Morning",IF(S186&lt;setAfternoonEnd,"Afternoon","Evening"))</f>
        <v>Morning</v>
      </c>
      <c r="U186" s="41" t="str">
        <f aca="false">IF(J186&gt;=setLarge,"Large",IF(J186&gt;=setMedium,"Medium","Small"))</f>
        <v>Small</v>
      </c>
      <c r="V186" s="41" t="str">
        <f aca="false">IF(P186&gt;=setExc,"Excellent",IF(P186&gt;=setGood,"Good",IF(P186&gt;=setAvg,"Average","Poor")))</f>
        <v>Average</v>
      </c>
    </row>
    <row r="187" customFormat="false" ht="15" hidden="false" customHeight="false" outlineLevel="0" collapsed="false">
      <c r="A187" s="41" t="s">
        <v>365</v>
      </c>
      <c r="B187" s="41" t="s">
        <v>189</v>
      </c>
      <c r="C187" s="41" t="s">
        <v>86</v>
      </c>
      <c r="D187" s="41" t="s">
        <v>104</v>
      </c>
      <c r="E187" s="41" t="s">
        <v>103</v>
      </c>
      <c r="F187" s="41" t="s">
        <v>76</v>
      </c>
      <c r="G187" s="42" t="n">
        <v>18.08</v>
      </c>
      <c r="H187" s="41" t="n">
        <v>3</v>
      </c>
      <c r="I187" s="42" t="n">
        <v>2.712</v>
      </c>
      <c r="J187" s="42" t="n">
        <v>56.952</v>
      </c>
      <c r="K187" s="43" t="n">
        <v>43529</v>
      </c>
      <c r="L187" s="44" t="n">
        <v>0.823611111111111</v>
      </c>
      <c r="M187" s="41" t="s">
        <v>98</v>
      </c>
      <c r="N187" s="42" t="n">
        <v>54.24</v>
      </c>
      <c r="O187" s="42" t="n">
        <v>2.712</v>
      </c>
      <c r="P187" s="45" t="n">
        <v>8</v>
      </c>
      <c r="Q187" s="41" t="str">
        <f aca="false">CHOOSE(MONTH(K187),"Jan","Feb","Mar","Apr","May","Jun","Jul","Aug","Sep","Oct","Nov","Dec")</f>
        <v>Mar</v>
      </c>
      <c r="R187" s="41" t="n">
        <f aca="false">INT((K187-setMinDate)/7)+1</f>
        <v>10</v>
      </c>
      <c r="S187" s="41" t="n">
        <f aca="false">HOUR(L187)</f>
        <v>19</v>
      </c>
      <c r="T187" s="41" t="str">
        <f aca="false">IF(S187&lt;setMorningEnd,"Morning",IF(S187&lt;setAfternoonEnd,"Afternoon","Evening"))</f>
        <v>Evening</v>
      </c>
      <c r="U187" s="41" t="str">
        <f aca="false">IF(J187&gt;=setLarge,"Large",IF(J187&gt;=setMedium,"Medium","Small"))</f>
        <v>Small</v>
      </c>
      <c r="V187" s="41" t="str">
        <f aca="false">IF(P187&gt;=setExc,"Excellent",IF(P187&gt;=setGood,"Good",IF(P187&gt;=setAvg,"Average","Poor")))</f>
        <v>Good</v>
      </c>
    </row>
    <row r="188" customFormat="false" ht="15" hidden="false" customHeight="false" outlineLevel="0" collapsed="false">
      <c r="A188" s="41" t="s">
        <v>366</v>
      </c>
      <c r="B188" s="41" t="s">
        <v>189</v>
      </c>
      <c r="C188" s="41" t="s">
        <v>86</v>
      </c>
      <c r="D188" s="41" t="s">
        <v>104</v>
      </c>
      <c r="E188" s="41" t="s">
        <v>102</v>
      </c>
      <c r="F188" s="41" t="s">
        <v>80</v>
      </c>
      <c r="G188" s="42" t="n">
        <v>94.49</v>
      </c>
      <c r="H188" s="41" t="n">
        <v>8</v>
      </c>
      <c r="I188" s="42" t="n">
        <v>37.796</v>
      </c>
      <c r="J188" s="42" t="n">
        <v>793.716</v>
      </c>
      <c r="K188" s="43" t="n">
        <v>43527</v>
      </c>
      <c r="L188" s="44" t="n">
        <v>0.791666666666667</v>
      </c>
      <c r="M188" s="41" t="s">
        <v>98</v>
      </c>
      <c r="N188" s="42" t="n">
        <v>755.92</v>
      </c>
      <c r="O188" s="42" t="n">
        <v>37.796</v>
      </c>
      <c r="P188" s="45" t="n">
        <v>7.5</v>
      </c>
      <c r="Q188" s="41" t="str">
        <f aca="false">CHOOSE(MONTH(K188),"Jan","Feb","Mar","Apr","May","Jun","Jul","Aug","Sep","Oct","Nov","Dec")</f>
        <v>Mar</v>
      </c>
      <c r="R188" s="41" t="n">
        <f aca="false">INT((K188-setMinDate)/7)+1</f>
        <v>9</v>
      </c>
      <c r="S188" s="41" t="n">
        <f aca="false">HOUR(L188)</f>
        <v>19</v>
      </c>
      <c r="T188" s="41" t="str">
        <f aca="false">IF(S188&lt;setMorningEnd,"Morning",IF(S188&lt;setAfternoonEnd,"Afternoon","Evening"))</f>
        <v>Evening</v>
      </c>
      <c r="U188" s="41" t="str">
        <f aca="false">IF(J188&gt;=setLarge,"Large",IF(J188&gt;=setMedium,"Medium","Small"))</f>
        <v>Large</v>
      </c>
      <c r="V188" s="41" t="str">
        <f aca="false">IF(P188&gt;=setExc,"Excellent",IF(P188&gt;=setGood,"Good",IF(P188&gt;=setAvg,"Average","Poor")))</f>
        <v>Good</v>
      </c>
    </row>
    <row r="189" customFormat="false" ht="15" hidden="false" customHeight="false" outlineLevel="0" collapsed="false">
      <c r="A189" s="41" t="s">
        <v>367</v>
      </c>
      <c r="B189" s="41" t="s">
        <v>189</v>
      </c>
      <c r="C189" s="41" t="s">
        <v>86</v>
      </c>
      <c r="D189" s="41" t="s">
        <v>104</v>
      </c>
      <c r="E189" s="41" t="s">
        <v>103</v>
      </c>
      <c r="F189" s="41" t="s">
        <v>80</v>
      </c>
      <c r="G189" s="42" t="n">
        <v>46.47</v>
      </c>
      <c r="H189" s="41" t="n">
        <v>4</v>
      </c>
      <c r="I189" s="42" t="n">
        <v>9.294</v>
      </c>
      <c r="J189" s="42" t="n">
        <v>195.174</v>
      </c>
      <c r="K189" s="43" t="n">
        <v>43504</v>
      </c>
      <c r="L189" s="44" t="n">
        <v>0.453472222222222</v>
      </c>
      <c r="M189" s="41" t="s">
        <v>97</v>
      </c>
      <c r="N189" s="42" t="n">
        <v>185.88</v>
      </c>
      <c r="O189" s="42" t="n">
        <v>9.294</v>
      </c>
      <c r="P189" s="45" t="n">
        <v>7</v>
      </c>
      <c r="Q189" s="41" t="str">
        <f aca="false">CHOOSE(MONTH(K189),"Jan","Feb","Mar","Apr","May","Jun","Jul","Aug","Sep","Oct","Nov","Dec")</f>
        <v>Feb</v>
      </c>
      <c r="R189" s="41" t="n">
        <f aca="false">INT((K189-setMinDate)/7)+1</f>
        <v>6</v>
      </c>
      <c r="S189" s="41" t="n">
        <f aca="false">HOUR(L189)</f>
        <v>10</v>
      </c>
      <c r="T189" s="41" t="str">
        <f aca="false">IF(S189&lt;setMorningEnd,"Morning",IF(S189&lt;setAfternoonEnd,"Afternoon","Evening"))</f>
        <v>Morning</v>
      </c>
      <c r="U189" s="41" t="str">
        <f aca="false">IF(J189&gt;=setLarge,"Large",IF(J189&gt;=setMedium,"Medium","Small"))</f>
        <v>Small</v>
      </c>
      <c r="V189" s="41" t="str">
        <f aca="false">IF(P189&gt;=setExc,"Excellent",IF(P189&gt;=setGood,"Good",IF(P189&gt;=setAvg,"Average","Poor")))</f>
        <v>Good</v>
      </c>
    </row>
    <row r="190" customFormat="false" ht="15" hidden="false" customHeight="false" outlineLevel="0" collapsed="false">
      <c r="A190" s="41" t="s">
        <v>368</v>
      </c>
      <c r="B190" s="41" t="s">
        <v>178</v>
      </c>
      <c r="C190" s="41" t="s">
        <v>85</v>
      </c>
      <c r="D190" s="41" t="s">
        <v>105</v>
      </c>
      <c r="E190" s="41" t="s">
        <v>103</v>
      </c>
      <c r="F190" s="41" t="s">
        <v>80</v>
      </c>
      <c r="G190" s="42" t="n">
        <v>74.07</v>
      </c>
      <c r="H190" s="41" t="n">
        <v>1</v>
      </c>
      <c r="I190" s="42" t="n">
        <v>3.7035</v>
      </c>
      <c r="J190" s="42" t="n">
        <v>77.7735</v>
      </c>
      <c r="K190" s="43" t="n">
        <v>43506</v>
      </c>
      <c r="L190" s="44" t="n">
        <v>0.534722222222222</v>
      </c>
      <c r="M190" s="41" t="s">
        <v>98</v>
      </c>
      <c r="N190" s="42" t="n">
        <v>74.07</v>
      </c>
      <c r="O190" s="42" t="n">
        <v>3.7035</v>
      </c>
      <c r="P190" s="45" t="n">
        <v>9.9</v>
      </c>
      <c r="Q190" s="41" t="str">
        <f aca="false">CHOOSE(MONTH(K190),"Jan","Feb","Mar","Apr","May","Jun","Jul","Aug","Sep","Oct","Nov","Dec")</f>
        <v>Feb</v>
      </c>
      <c r="R190" s="41" t="n">
        <f aca="false">INT((K190-setMinDate)/7)+1</f>
        <v>6</v>
      </c>
      <c r="S190" s="41" t="n">
        <f aca="false">HOUR(L190)</f>
        <v>12</v>
      </c>
      <c r="T190" s="41" t="str">
        <f aca="false">IF(S190&lt;setMorningEnd,"Morning",IF(S190&lt;setAfternoonEnd,"Afternoon","Evening"))</f>
        <v>Afternoon</v>
      </c>
      <c r="U190" s="41" t="str">
        <f aca="false">IF(J190&gt;=setLarge,"Large",IF(J190&gt;=setMedium,"Medium","Small"))</f>
        <v>Small</v>
      </c>
      <c r="V190" s="41" t="str">
        <f aca="false">IF(P190&gt;=setExc,"Excellent",IF(P190&gt;=setGood,"Good",IF(P190&gt;=setAvg,"Average","Poor")))</f>
        <v>Excellent</v>
      </c>
    </row>
    <row r="191" customFormat="false" ht="15" hidden="false" customHeight="false" outlineLevel="0" collapsed="false">
      <c r="A191" s="41" t="s">
        <v>369</v>
      </c>
      <c r="B191" s="41" t="s">
        <v>180</v>
      </c>
      <c r="C191" s="41" t="s">
        <v>87</v>
      </c>
      <c r="D191" s="41" t="s">
        <v>105</v>
      </c>
      <c r="E191" s="41" t="s">
        <v>102</v>
      </c>
      <c r="F191" s="41" t="s">
        <v>80</v>
      </c>
      <c r="G191" s="42" t="n">
        <v>69.81</v>
      </c>
      <c r="H191" s="41" t="n">
        <v>4</v>
      </c>
      <c r="I191" s="42" t="n">
        <v>13.962</v>
      </c>
      <c r="J191" s="42" t="n">
        <v>293.202</v>
      </c>
      <c r="K191" s="43" t="n">
        <v>43493</v>
      </c>
      <c r="L191" s="44" t="n">
        <v>0.868055555555556</v>
      </c>
      <c r="M191" s="41" t="s">
        <v>99</v>
      </c>
      <c r="N191" s="42" t="n">
        <v>279.24</v>
      </c>
      <c r="O191" s="42" t="n">
        <v>13.962</v>
      </c>
      <c r="P191" s="45" t="n">
        <v>5.9</v>
      </c>
      <c r="Q191" s="41" t="str">
        <f aca="false">CHOOSE(MONTH(K191),"Jan","Feb","Mar","Apr","May","Jun","Jul","Aug","Sep","Oct","Nov","Dec")</f>
        <v>Jan</v>
      </c>
      <c r="R191" s="41" t="n">
        <f aca="false">INT((K191-setMinDate)/7)+1</f>
        <v>4</v>
      </c>
      <c r="S191" s="41" t="n">
        <f aca="false">HOUR(L191)</f>
        <v>20</v>
      </c>
      <c r="T191" s="41" t="str">
        <f aca="false">IF(S191&lt;setMorningEnd,"Morning",IF(S191&lt;setAfternoonEnd,"Afternoon","Evening"))</f>
        <v>Evening</v>
      </c>
      <c r="U191" s="41" t="str">
        <f aca="false">IF(J191&gt;=setLarge,"Large",IF(J191&gt;=setMedium,"Medium","Small"))</f>
        <v>Medium</v>
      </c>
      <c r="V191" s="41" t="str">
        <f aca="false">IF(P191&gt;=setExc,"Excellent",IF(P191&gt;=setGood,"Good",IF(P191&gt;=setAvg,"Average","Poor")))</f>
        <v>Average</v>
      </c>
    </row>
    <row r="192" customFormat="false" ht="15" hidden="false" customHeight="false" outlineLevel="0" collapsed="false">
      <c r="A192" s="41" t="s">
        <v>370</v>
      </c>
      <c r="B192" s="41" t="s">
        <v>189</v>
      </c>
      <c r="C192" s="41" t="s">
        <v>86</v>
      </c>
      <c r="D192" s="41" t="s">
        <v>105</v>
      </c>
      <c r="E192" s="41" t="s">
        <v>102</v>
      </c>
      <c r="F192" s="41" t="s">
        <v>80</v>
      </c>
      <c r="G192" s="42" t="n">
        <v>77.04</v>
      </c>
      <c r="H192" s="41" t="n">
        <v>3</v>
      </c>
      <c r="I192" s="42" t="n">
        <v>11.556</v>
      </c>
      <c r="J192" s="42" t="n">
        <v>242.676</v>
      </c>
      <c r="K192" s="43" t="n">
        <v>43507</v>
      </c>
      <c r="L192" s="44" t="n">
        <v>0.44375</v>
      </c>
      <c r="M192" s="41" t="s">
        <v>99</v>
      </c>
      <c r="N192" s="42" t="n">
        <v>231.12</v>
      </c>
      <c r="O192" s="42" t="n">
        <v>11.556</v>
      </c>
      <c r="P192" s="45" t="n">
        <v>7.2</v>
      </c>
      <c r="Q192" s="41" t="str">
        <f aca="false">CHOOSE(MONTH(K192),"Jan","Feb","Mar","Apr","May","Jun","Jul","Aug","Sep","Oct","Nov","Dec")</f>
        <v>Feb</v>
      </c>
      <c r="R192" s="41" t="n">
        <f aca="false">INT((K192-setMinDate)/7)+1</f>
        <v>6</v>
      </c>
      <c r="S192" s="41" t="n">
        <f aca="false">HOUR(L192)</f>
        <v>10</v>
      </c>
      <c r="T192" s="41" t="str">
        <f aca="false">IF(S192&lt;setMorningEnd,"Morning",IF(S192&lt;setAfternoonEnd,"Afternoon","Evening"))</f>
        <v>Morning</v>
      </c>
      <c r="U192" s="41" t="str">
        <f aca="false">IF(J192&gt;=setLarge,"Large",IF(J192&gt;=setMedium,"Medium","Small"))</f>
        <v>Small</v>
      </c>
      <c r="V192" s="41" t="str">
        <f aca="false">IF(P192&gt;=setExc,"Excellent",IF(P192&gt;=setGood,"Good",IF(P192&gt;=setAvg,"Average","Poor")))</f>
        <v>Good</v>
      </c>
    </row>
    <row r="193" customFormat="false" ht="15" hidden="false" customHeight="false" outlineLevel="0" collapsed="false">
      <c r="A193" s="41" t="s">
        <v>371</v>
      </c>
      <c r="B193" s="41" t="s">
        <v>189</v>
      </c>
      <c r="C193" s="41" t="s">
        <v>86</v>
      </c>
      <c r="D193" s="41" t="s">
        <v>105</v>
      </c>
      <c r="E193" s="41" t="s">
        <v>102</v>
      </c>
      <c r="F193" s="41" t="s">
        <v>79</v>
      </c>
      <c r="G193" s="42" t="n">
        <v>73.52</v>
      </c>
      <c r="H193" s="41" t="n">
        <v>2</v>
      </c>
      <c r="I193" s="42" t="n">
        <v>7.352</v>
      </c>
      <c r="J193" s="42" t="n">
        <v>154.392</v>
      </c>
      <c r="K193" s="43" t="n">
        <v>43480</v>
      </c>
      <c r="L193" s="44" t="n">
        <v>0.570138888888889</v>
      </c>
      <c r="M193" s="41" t="s">
        <v>98</v>
      </c>
      <c r="N193" s="42" t="n">
        <v>147.04</v>
      </c>
      <c r="O193" s="42" t="n">
        <v>7.352</v>
      </c>
      <c r="P193" s="45" t="n">
        <v>4.6</v>
      </c>
      <c r="Q193" s="41" t="str">
        <f aca="false">CHOOSE(MONTH(K193),"Jan","Feb","Mar","Apr","May","Jun","Jul","Aug","Sep","Oct","Nov","Dec")</f>
        <v>Jan</v>
      </c>
      <c r="R193" s="41" t="n">
        <f aca="false">INT((K193-setMinDate)/7)+1</f>
        <v>3</v>
      </c>
      <c r="S193" s="41" t="n">
        <f aca="false">HOUR(L193)</f>
        <v>13</v>
      </c>
      <c r="T193" s="41" t="str">
        <f aca="false">IF(S193&lt;setMorningEnd,"Morning",IF(S193&lt;setAfternoonEnd,"Afternoon","Evening"))</f>
        <v>Afternoon</v>
      </c>
      <c r="U193" s="41" t="str">
        <f aca="false">IF(J193&gt;=setLarge,"Large",IF(J193&gt;=setMedium,"Medium","Small"))</f>
        <v>Small</v>
      </c>
      <c r="V193" s="41" t="str">
        <f aca="false">IF(P193&gt;=setExc,"Excellent",IF(P193&gt;=setGood,"Good",IF(P193&gt;=setAvg,"Average","Poor")))</f>
        <v>Poor</v>
      </c>
    </row>
    <row r="194" customFormat="false" ht="15" hidden="false" customHeight="false" outlineLevel="0" collapsed="false">
      <c r="A194" s="41" t="s">
        <v>372</v>
      </c>
      <c r="B194" s="41" t="s">
        <v>180</v>
      </c>
      <c r="C194" s="41" t="s">
        <v>87</v>
      </c>
      <c r="D194" s="41" t="s">
        <v>105</v>
      </c>
      <c r="E194" s="41" t="s">
        <v>102</v>
      </c>
      <c r="F194" s="41" t="s">
        <v>76</v>
      </c>
      <c r="G194" s="42" t="n">
        <v>87.8</v>
      </c>
      <c r="H194" s="41" t="n">
        <v>9</v>
      </c>
      <c r="I194" s="42" t="n">
        <v>39.51</v>
      </c>
      <c r="J194" s="42" t="n">
        <v>829.71</v>
      </c>
      <c r="K194" s="43" t="n">
        <v>43540</v>
      </c>
      <c r="L194" s="44" t="n">
        <v>0.797222222222222</v>
      </c>
      <c r="M194" s="41" t="s">
        <v>97</v>
      </c>
      <c r="N194" s="42" t="n">
        <v>790.2</v>
      </c>
      <c r="O194" s="42" t="n">
        <v>39.51</v>
      </c>
      <c r="P194" s="45" t="n">
        <v>9.2</v>
      </c>
      <c r="Q194" s="41" t="str">
        <f aca="false">CHOOSE(MONTH(K194),"Jan","Feb","Mar","Apr","May","Jun","Jul","Aug","Sep","Oct","Nov","Dec")</f>
        <v>Mar</v>
      </c>
      <c r="R194" s="41" t="n">
        <f aca="false">INT((K194-setMinDate)/7)+1</f>
        <v>11</v>
      </c>
      <c r="S194" s="41" t="n">
        <f aca="false">HOUR(L194)</f>
        <v>19</v>
      </c>
      <c r="T194" s="41" t="str">
        <f aca="false">IF(S194&lt;setMorningEnd,"Morning",IF(S194&lt;setAfternoonEnd,"Afternoon","Evening"))</f>
        <v>Evening</v>
      </c>
      <c r="U194" s="41" t="str">
        <f aca="false">IF(J194&gt;=setLarge,"Large",IF(J194&gt;=setMedium,"Medium","Small"))</f>
        <v>Large</v>
      </c>
      <c r="V194" s="41" t="str">
        <f aca="false">IF(P194&gt;=setExc,"Excellent",IF(P194&gt;=setGood,"Good",IF(P194&gt;=setAvg,"Average","Poor")))</f>
        <v>Excellent</v>
      </c>
    </row>
    <row r="195" customFormat="false" ht="15" hidden="false" customHeight="false" outlineLevel="0" collapsed="false">
      <c r="A195" s="41" t="s">
        <v>373</v>
      </c>
      <c r="B195" s="41" t="s">
        <v>189</v>
      </c>
      <c r="C195" s="41" t="s">
        <v>86</v>
      </c>
      <c r="D195" s="41" t="s">
        <v>105</v>
      </c>
      <c r="E195" s="41" t="s">
        <v>103</v>
      </c>
      <c r="F195" s="41" t="s">
        <v>80</v>
      </c>
      <c r="G195" s="42" t="n">
        <v>25.55</v>
      </c>
      <c r="H195" s="41" t="n">
        <v>4</v>
      </c>
      <c r="I195" s="42" t="n">
        <v>5.11</v>
      </c>
      <c r="J195" s="42" t="n">
        <v>107.31</v>
      </c>
      <c r="K195" s="43" t="n">
        <v>43491</v>
      </c>
      <c r="L195" s="44" t="n">
        <v>0.849305555555556</v>
      </c>
      <c r="M195" s="41" t="s">
        <v>98</v>
      </c>
      <c r="N195" s="42" t="n">
        <v>102.2</v>
      </c>
      <c r="O195" s="42" t="n">
        <v>5.11</v>
      </c>
      <c r="P195" s="45" t="n">
        <v>5.7</v>
      </c>
      <c r="Q195" s="41" t="str">
        <f aca="false">CHOOSE(MONTH(K195),"Jan","Feb","Mar","Apr","May","Jun","Jul","Aug","Sep","Oct","Nov","Dec")</f>
        <v>Jan</v>
      </c>
      <c r="R195" s="41" t="n">
        <f aca="false">INT((K195-setMinDate)/7)+1</f>
        <v>4</v>
      </c>
      <c r="S195" s="41" t="n">
        <f aca="false">HOUR(L195)</f>
        <v>20</v>
      </c>
      <c r="T195" s="41" t="str">
        <f aca="false">IF(S195&lt;setMorningEnd,"Morning",IF(S195&lt;setAfternoonEnd,"Afternoon","Evening"))</f>
        <v>Evening</v>
      </c>
      <c r="U195" s="41" t="str">
        <f aca="false">IF(J195&gt;=setLarge,"Large",IF(J195&gt;=setMedium,"Medium","Small"))</f>
        <v>Small</v>
      </c>
      <c r="V195" s="41" t="str">
        <f aca="false">IF(P195&gt;=setExc,"Excellent",IF(P195&gt;=setGood,"Good",IF(P195&gt;=setAvg,"Average","Poor")))</f>
        <v>Average</v>
      </c>
    </row>
    <row r="196" customFormat="false" ht="15" hidden="false" customHeight="false" outlineLevel="0" collapsed="false">
      <c r="A196" s="41" t="s">
        <v>374</v>
      </c>
      <c r="B196" s="41" t="s">
        <v>178</v>
      </c>
      <c r="C196" s="41" t="s">
        <v>85</v>
      </c>
      <c r="D196" s="41" t="s">
        <v>105</v>
      </c>
      <c r="E196" s="41" t="s">
        <v>103</v>
      </c>
      <c r="F196" s="41" t="s">
        <v>78</v>
      </c>
      <c r="G196" s="42" t="n">
        <v>32.71</v>
      </c>
      <c r="H196" s="41" t="n">
        <v>5</v>
      </c>
      <c r="I196" s="42" t="n">
        <v>8.1775</v>
      </c>
      <c r="J196" s="42" t="n">
        <v>171.7275</v>
      </c>
      <c r="K196" s="43" t="n">
        <v>43543</v>
      </c>
      <c r="L196" s="44" t="n">
        <v>0.479166666666667</v>
      </c>
      <c r="M196" s="41" t="s">
        <v>99</v>
      </c>
      <c r="N196" s="42" t="n">
        <v>163.55</v>
      </c>
      <c r="O196" s="42" t="n">
        <v>8.1775</v>
      </c>
      <c r="P196" s="45" t="n">
        <v>9.9</v>
      </c>
      <c r="Q196" s="41" t="str">
        <f aca="false">CHOOSE(MONTH(K196),"Jan","Feb","Mar","Apr","May","Jun","Jul","Aug","Sep","Oct","Nov","Dec")</f>
        <v>Mar</v>
      </c>
      <c r="R196" s="41" t="n">
        <f aca="false">INT((K196-setMinDate)/7)+1</f>
        <v>12</v>
      </c>
      <c r="S196" s="41" t="n">
        <f aca="false">HOUR(L196)</f>
        <v>11</v>
      </c>
      <c r="T196" s="41" t="str">
        <f aca="false">IF(S196&lt;setMorningEnd,"Morning",IF(S196&lt;setAfternoonEnd,"Afternoon","Evening"))</f>
        <v>Morning</v>
      </c>
      <c r="U196" s="41" t="str">
        <f aca="false">IF(J196&gt;=setLarge,"Large",IF(J196&gt;=setMedium,"Medium","Small"))</f>
        <v>Small</v>
      </c>
      <c r="V196" s="41" t="str">
        <f aca="false">IF(P196&gt;=setExc,"Excellent",IF(P196&gt;=setGood,"Good",IF(P196&gt;=setAvg,"Average","Poor")))</f>
        <v>Excellent</v>
      </c>
    </row>
    <row r="197" customFormat="false" ht="15" hidden="false" customHeight="false" outlineLevel="0" collapsed="false">
      <c r="A197" s="41" t="s">
        <v>375</v>
      </c>
      <c r="B197" s="41" t="s">
        <v>180</v>
      </c>
      <c r="C197" s="41" t="s">
        <v>87</v>
      </c>
      <c r="D197" s="41" t="s">
        <v>104</v>
      </c>
      <c r="E197" s="41" t="s">
        <v>102</v>
      </c>
      <c r="F197" s="41" t="s">
        <v>79</v>
      </c>
      <c r="G197" s="42" t="n">
        <v>74.29</v>
      </c>
      <c r="H197" s="41" t="n">
        <v>1</v>
      </c>
      <c r="I197" s="42" t="n">
        <v>3.7145</v>
      </c>
      <c r="J197" s="42" t="n">
        <v>78.0045</v>
      </c>
      <c r="K197" s="43" t="n">
        <v>43478</v>
      </c>
      <c r="L197" s="44" t="n">
        <v>0.8125</v>
      </c>
      <c r="M197" s="41" t="s">
        <v>97</v>
      </c>
      <c r="N197" s="42" t="n">
        <v>74.29</v>
      </c>
      <c r="O197" s="42" t="n">
        <v>3.7145</v>
      </c>
      <c r="P197" s="45" t="n">
        <v>5</v>
      </c>
      <c r="Q197" s="41" t="str">
        <f aca="false">CHOOSE(MONTH(K197),"Jan","Feb","Mar","Apr","May","Jun","Jul","Aug","Sep","Oct","Nov","Dec")</f>
        <v>Jan</v>
      </c>
      <c r="R197" s="41" t="n">
        <f aca="false">INT((K197-setMinDate)/7)+1</f>
        <v>2</v>
      </c>
      <c r="S197" s="41" t="n">
        <f aca="false">HOUR(L197)</f>
        <v>19</v>
      </c>
      <c r="T197" s="41" t="str">
        <f aca="false">IF(S197&lt;setMorningEnd,"Morning",IF(S197&lt;setAfternoonEnd,"Afternoon","Evening"))</f>
        <v>Evening</v>
      </c>
      <c r="U197" s="41" t="str">
        <f aca="false">IF(J197&gt;=setLarge,"Large",IF(J197&gt;=setMedium,"Medium","Small"))</f>
        <v>Small</v>
      </c>
      <c r="V197" s="41" t="str">
        <f aca="false">IF(P197&gt;=setExc,"Excellent",IF(P197&gt;=setGood,"Good",IF(P197&gt;=setAvg,"Average","Poor")))</f>
        <v>Average</v>
      </c>
    </row>
    <row r="198" customFormat="false" ht="15" hidden="false" customHeight="false" outlineLevel="0" collapsed="false">
      <c r="A198" s="41" t="s">
        <v>376</v>
      </c>
      <c r="B198" s="41" t="s">
        <v>180</v>
      </c>
      <c r="C198" s="41" t="s">
        <v>87</v>
      </c>
      <c r="D198" s="41" t="s">
        <v>104</v>
      </c>
      <c r="E198" s="41" t="s">
        <v>103</v>
      </c>
      <c r="F198" s="41" t="s">
        <v>81</v>
      </c>
      <c r="G198" s="42" t="n">
        <v>43.7</v>
      </c>
      <c r="H198" s="41" t="n">
        <v>2</v>
      </c>
      <c r="I198" s="42" t="n">
        <v>4.37</v>
      </c>
      <c r="J198" s="42" t="n">
        <v>91.77</v>
      </c>
      <c r="K198" s="43" t="n">
        <v>43550</v>
      </c>
      <c r="L198" s="44" t="n">
        <v>0.752083333333333</v>
      </c>
      <c r="M198" s="41" t="s">
        <v>97</v>
      </c>
      <c r="N198" s="42" t="n">
        <v>87.4</v>
      </c>
      <c r="O198" s="42" t="n">
        <v>4.37</v>
      </c>
      <c r="P198" s="45" t="n">
        <v>4.9</v>
      </c>
      <c r="Q198" s="41" t="str">
        <f aca="false">CHOOSE(MONTH(K198),"Jan","Feb","Mar","Apr","May","Jun","Jul","Aug","Sep","Oct","Nov","Dec")</f>
        <v>Mar</v>
      </c>
      <c r="R198" s="41" t="n">
        <f aca="false">INT((K198-setMinDate)/7)+1</f>
        <v>13</v>
      </c>
      <c r="S198" s="41" t="n">
        <f aca="false">HOUR(L198)</f>
        <v>18</v>
      </c>
      <c r="T198" s="41" t="str">
        <f aca="false">IF(S198&lt;setMorningEnd,"Morning",IF(S198&lt;setAfternoonEnd,"Afternoon","Evening"))</f>
        <v>Evening</v>
      </c>
      <c r="U198" s="41" t="str">
        <f aca="false">IF(J198&gt;=setLarge,"Large",IF(J198&gt;=setMedium,"Medium","Small"))</f>
        <v>Small</v>
      </c>
      <c r="V198" s="41" t="str">
        <f aca="false">IF(P198&gt;=setExc,"Excellent",IF(P198&gt;=setGood,"Good",IF(P198&gt;=setAvg,"Average","Poor")))</f>
        <v>Poor</v>
      </c>
    </row>
    <row r="199" customFormat="false" ht="15" hidden="false" customHeight="false" outlineLevel="0" collapsed="false">
      <c r="A199" s="41" t="s">
        <v>377</v>
      </c>
      <c r="B199" s="41" t="s">
        <v>178</v>
      </c>
      <c r="C199" s="41" t="s">
        <v>85</v>
      </c>
      <c r="D199" s="41" t="s">
        <v>105</v>
      </c>
      <c r="E199" s="41" t="s">
        <v>102</v>
      </c>
      <c r="F199" s="41" t="s">
        <v>80</v>
      </c>
      <c r="G199" s="42" t="n">
        <v>25.29</v>
      </c>
      <c r="H199" s="41" t="n">
        <v>1</v>
      </c>
      <c r="I199" s="42" t="n">
        <v>1.2645</v>
      </c>
      <c r="J199" s="42" t="n">
        <v>26.5545</v>
      </c>
      <c r="K199" s="43" t="n">
        <v>43547</v>
      </c>
      <c r="L199" s="44" t="n">
        <v>0.425694444444444</v>
      </c>
      <c r="M199" s="41" t="s">
        <v>98</v>
      </c>
      <c r="N199" s="42" t="n">
        <v>25.29</v>
      </c>
      <c r="O199" s="42" t="n">
        <v>1.2645</v>
      </c>
      <c r="P199" s="45" t="n">
        <v>6.1</v>
      </c>
      <c r="Q199" s="41" t="str">
        <f aca="false">CHOOSE(MONTH(K199),"Jan","Feb","Mar","Apr","May","Jun","Jul","Aug","Sep","Oct","Nov","Dec")</f>
        <v>Mar</v>
      </c>
      <c r="R199" s="41" t="n">
        <f aca="false">INT((K199-setMinDate)/7)+1</f>
        <v>12</v>
      </c>
      <c r="S199" s="41" t="n">
        <f aca="false">HOUR(L199)</f>
        <v>10</v>
      </c>
      <c r="T199" s="41" t="str">
        <f aca="false">IF(S199&lt;setMorningEnd,"Morning",IF(S199&lt;setAfternoonEnd,"Afternoon","Evening"))</f>
        <v>Morning</v>
      </c>
      <c r="U199" s="41" t="str">
        <f aca="false">IF(J199&gt;=setLarge,"Large",IF(J199&gt;=setMedium,"Medium","Small"))</f>
        <v>Small</v>
      </c>
      <c r="V199" s="41" t="str">
        <f aca="false">IF(P199&gt;=setExc,"Excellent",IF(P199&gt;=setGood,"Good",IF(P199&gt;=setAvg,"Average","Poor")))</f>
        <v>Average</v>
      </c>
    </row>
    <row r="200" customFormat="false" ht="15" hidden="false" customHeight="false" outlineLevel="0" collapsed="false">
      <c r="A200" s="41" t="s">
        <v>378</v>
      </c>
      <c r="B200" s="41" t="s">
        <v>180</v>
      </c>
      <c r="C200" s="41" t="s">
        <v>87</v>
      </c>
      <c r="D200" s="41" t="s">
        <v>105</v>
      </c>
      <c r="E200" s="41" t="s">
        <v>103</v>
      </c>
      <c r="F200" s="41" t="s">
        <v>81</v>
      </c>
      <c r="G200" s="42" t="n">
        <v>41.5</v>
      </c>
      <c r="H200" s="41" t="n">
        <v>4</v>
      </c>
      <c r="I200" s="42" t="n">
        <v>8.3</v>
      </c>
      <c r="J200" s="42" t="n">
        <v>174.3</v>
      </c>
      <c r="K200" s="43" t="n">
        <v>43536</v>
      </c>
      <c r="L200" s="44" t="n">
        <v>0.831944444444445</v>
      </c>
      <c r="M200" s="41" t="s">
        <v>99</v>
      </c>
      <c r="N200" s="42" t="n">
        <v>166</v>
      </c>
      <c r="O200" s="42" t="n">
        <v>8.3</v>
      </c>
      <c r="P200" s="45" t="n">
        <v>8.2</v>
      </c>
      <c r="Q200" s="41" t="str">
        <f aca="false">CHOOSE(MONTH(K200),"Jan","Feb","Mar","Apr","May","Jun","Jul","Aug","Sep","Oct","Nov","Dec")</f>
        <v>Mar</v>
      </c>
      <c r="R200" s="41" t="n">
        <f aca="false">INT((K200-setMinDate)/7)+1</f>
        <v>11</v>
      </c>
      <c r="S200" s="41" t="n">
        <f aca="false">HOUR(L200)</f>
        <v>19</v>
      </c>
      <c r="T200" s="41" t="str">
        <f aca="false">IF(S200&lt;setMorningEnd,"Morning",IF(S200&lt;setAfternoonEnd,"Afternoon","Evening"))</f>
        <v>Evening</v>
      </c>
      <c r="U200" s="41" t="str">
        <f aca="false">IF(J200&gt;=setLarge,"Large",IF(J200&gt;=setMedium,"Medium","Small"))</f>
        <v>Small</v>
      </c>
      <c r="V200" s="41" t="str">
        <f aca="false">IF(P200&gt;=setExc,"Excellent",IF(P200&gt;=setGood,"Good",IF(P200&gt;=setAvg,"Average","Poor")))</f>
        <v>Good</v>
      </c>
    </row>
    <row r="201" customFormat="false" ht="15" hidden="false" customHeight="false" outlineLevel="0" collapsed="false">
      <c r="A201" s="41" t="s">
        <v>379</v>
      </c>
      <c r="B201" s="41" t="s">
        <v>180</v>
      </c>
      <c r="C201" s="41" t="s">
        <v>87</v>
      </c>
      <c r="D201" s="41" t="s">
        <v>104</v>
      </c>
      <c r="E201" s="41" t="s">
        <v>102</v>
      </c>
      <c r="F201" s="41" t="s">
        <v>76</v>
      </c>
      <c r="G201" s="42" t="n">
        <v>71.39</v>
      </c>
      <c r="H201" s="41" t="n">
        <v>5</v>
      </c>
      <c r="I201" s="42" t="n">
        <v>17.8475</v>
      </c>
      <c r="J201" s="42" t="n">
        <v>374.7975</v>
      </c>
      <c r="K201" s="43" t="n">
        <v>43513</v>
      </c>
      <c r="L201" s="44" t="n">
        <v>0.83125</v>
      </c>
      <c r="M201" s="41" t="s">
        <v>99</v>
      </c>
      <c r="N201" s="42" t="n">
        <v>356.95</v>
      </c>
      <c r="O201" s="42" t="n">
        <v>17.8475</v>
      </c>
      <c r="P201" s="45" t="n">
        <v>5.5</v>
      </c>
      <c r="Q201" s="41" t="str">
        <f aca="false">CHOOSE(MONTH(K201),"Jan","Feb","Mar","Apr","May","Jun","Jul","Aug","Sep","Oct","Nov","Dec")</f>
        <v>Feb</v>
      </c>
      <c r="R201" s="41" t="n">
        <f aca="false">INT((K201-setMinDate)/7)+1</f>
        <v>7</v>
      </c>
      <c r="S201" s="41" t="n">
        <f aca="false">HOUR(L201)</f>
        <v>19</v>
      </c>
      <c r="T201" s="41" t="str">
        <f aca="false">IF(S201&lt;setMorningEnd,"Morning",IF(S201&lt;setAfternoonEnd,"Afternoon","Evening"))</f>
        <v>Evening</v>
      </c>
      <c r="U201" s="41" t="str">
        <f aca="false">IF(J201&gt;=setLarge,"Large",IF(J201&gt;=setMedium,"Medium","Small"))</f>
        <v>Medium</v>
      </c>
      <c r="V201" s="41" t="str">
        <f aca="false">IF(P201&gt;=setExc,"Excellent",IF(P201&gt;=setGood,"Good",IF(P201&gt;=setAvg,"Average","Poor")))</f>
        <v>Average</v>
      </c>
    </row>
    <row r="202" customFormat="false" ht="15" hidden="false" customHeight="false" outlineLevel="0" collapsed="false">
      <c r="A202" s="41" t="s">
        <v>380</v>
      </c>
      <c r="B202" s="41" t="s">
        <v>180</v>
      </c>
      <c r="C202" s="41" t="s">
        <v>87</v>
      </c>
      <c r="D202" s="41" t="s">
        <v>104</v>
      </c>
      <c r="E202" s="41" t="s">
        <v>102</v>
      </c>
      <c r="F202" s="41" t="s">
        <v>77</v>
      </c>
      <c r="G202" s="42" t="n">
        <v>19.15</v>
      </c>
      <c r="H202" s="41" t="n">
        <v>6</v>
      </c>
      <c r="I202" s="42" t="n">
        <v>5.745</v>
      </c>
      <c r="J202" s="42" t="n">
        <v>120.645</v>
      </c>
      <c r="K202" s="43" t="n">
        <v>43494</v>
      </c>
      <c r="L202" s="44" t="n">
        <v>0.417361111111111</v>
      </c>
      <c r="M202" s="41" t="s">
        <v>99</v>
      </c>
      <c r="N202" s="42" t="n">
        <v>114.9</v>
      </c>
      <c r="O202" s="42" t="n">
        <v>5.745</v>
      </c>
      <c r="P202" s="45" t="n">
        <v>6.8</v>
      </c>
      <c r="Q202" s="41" t="str">
        <f aca="false">CHOOSE(MONTH(K202),"Jan","Feb","Mar","Apr","May","Jun","Jul","Aug","Sep","Oct","Nov","Dec")</f>
        <v>Jan</v>
      </c>
      <c r="R202" s="41" t="n">
        <f aca="false">INT((K202-setMinDate)/7)+1</f>
        <v>5</v>
      </c>
      <c r="S202" s="41" t="n">
        <f aca="false">HOUR(L202)</f>
        <v>10</v>
      </c>
      <c r="T202" s="41" t="str">
        <f aca="false">IF(S202&lt;setMorningEnd,"Morning",IF(S202&lt;setAfternoonEnd,"Afternoon","Evening"))</f>
        <v>Morning</v>
      </c>
      <c r="U202" s="41" t="str">
        <f aca="false">IF(J202&gt;=setLarge,"Large",IF(J202&gt;=setMedium,"Medium","Small"))</f>
        <v>Small</v>
      </c>
      <c r="V202" s="41" t="str">
        <f aca="false">IF(P202&gt;=setExc,"Excellent",IF(P202&gt;=setGood,"Good",IF(P202&gt;=setAvg,"Average","Poor")))</f>
        <v>Average</v>
      </c>
    </row>
    <row r="203" customFormat="false" ht="15" hidden="false" customHeight="false" outlineLevel="0" collapsed="false">
      <c r="A203" s="41" t="s">
        <v>381</v>
      </c>
      <c r="B203" s="41" t="s">
        <v>189</v>
      </c>
      <c r="C203" s="41" t="s">
        <v>86</v>
      </c>
      <c r="D203" s="41" t="s">
        <v>104</v>
      </c>
      <c r="E203" s="41" t="s">
        <v>102</v>
      </c>
      <c r="F203" s="41" t="s">
        <v>78</v>
      </c>
      <c r="G203" s="42" t="n">
        <v>57.49</v>
      </c>
      <c r="H203" s="41" t="n">
        <v>4</v>
      </c>
      <c r="I203" s="42" t="n">
        <v>11.498</v>
      </c>
      <c r="J203" s="42" t="n">
        <v>241.458</v>
      </c>
      <c r="K203" s="43" t="n">
        <v>43539</v>
      </c>
      <c r="L203" s="44" t="n">
        <v>0.497916666666667</v>
      </c>
      <c r="M203" s="41" t="s">
        <v>97</v>
      </c>
      <c r="N203" s="42" t="n">
        <v>229.96</v>
      </c>
      <c r="O203" s="42" t="n">
        <v>11.498</v>
      </c>
      <c r="P203" s="45" t="n">
        <v>6.6</v>
      </c>
      <c r="Q203" s="41" t="str">
        <f aca="false">CHOOSE(MONTH(K203),"Jan","Feb","Mar","Apr","May","Jun","Jul","Aug","Sep","Oct","Nov","Dec")</f>
        <v>Mar</v>
      </c>
      <c r="R203" s="41" t="n">
        <f aca="false">INT((K203-setMinDate)/7)+1</f>
        <v>11</v>
      </c>
      <c r="S203" s="41" t="n">
        <f aca="false">HOUR(L203)</f>
        <v>11</v>
      </c>
      <c r="T203" s="41" t="str">
        <f aca="false">IF(S203&lt;setMorningEnd,"Morning",IF(S203&lt;setAfternoonEnd,"Afternoon","Evening"))</f>
        <v>Morning</v>
      </c>
      <c r="U203" s="41" t="str">
        <f aca="false">IF(J203&gt;=setLarge,"Large",IF(J203&gt;=setMedium,"Medium","Small"))</f>
        <v>Small</v>
      </c>
      <c r="V203" s="41" t="str">
        <f aca="false">IF(P203&gt;=setExc,"Excellent",IF(P203&gt;=setGood,"Good",IF(P203&gt;=setAvg,"Average","Poor")))</f>
        <v>Average</v>
      </c>
    </row>
    <row r="204" customFormat="false" ht="15" hidden="false" customHeight="false" outlineLevel="0" collapsed="false">
      <c r="A204" s="41" t="s">
        <v>382</v>
      </c>
      <c r="B204" s="41" t="s">
        <v>180</v>
      </c>
      <c r="C204" s="41" t="s">
        <v>87</v>
      </c>
      <c r="D204" s="41" t="s">
        <v>105</v>
      </c>
      <c r="E204" s="41" t="s">
        <v>103</v>
      </c>
      <c r="F204" s="41" t="s">
        <v>78</v>
      </c>
      <c r="G204" s="42" t="n">
        <v>61.41</v>
      </c>
      <c r="H204" s="41" t="n">
        <v>7</v>
      </c>
      <c r="I204" s="42" t="n">
        <v>21.4935</v>
      </c>
      <c r="J204" s="42" t="n">
        <v>451.3635</v>
      </c>
      <c r="K204" s="43" t="n">
        <v>43479</v>
      </c>
      <c r="L204" s="44" t="n">
        <v>0.418055555555556</v>
      </c>
      <c r="M204" s="41" t="s">
        <v>97</v>
      </c>
      <c r="N204" s="42" t="n">
        <v>429.87</v>
      </c>
      <c r="O204" s="42" t="n">
        <v>21.4935</v>
      </c>
      <c r="P204" s="45" t="n">
        <v>9.8</v>
      </c>
      <c r="Q204" s="41" t="str">
        <f aca="false">CHOOSE(MONTH(K204),"Jan","Feb","Mar","Apr","May","Jun","Jul","Aug","Sep","Oct","Nov","Dec")</f>
        <v>Jan</v>
      </c>
      <c r="R204" s="41" t="n">
        <f aca="false">INT((K204-setMinDate)/7)+1</f>
        <v>2</v>
      </c>
      <c r="S204" s="41" t="n">
        <f aca="false">HOUR(L204)</f>
        <v>10</v>
      </c>
      <c r="T204" s="41" t="str">
        <f aca="false">IF(S204&lt;setMorningEnd,"Morning",IF(S204&lt;setAfternoonEnd,"Afternoon","Evening"))</f>
        <v>Morning</v>
      </c>
      <c r="U204" s="41" t="str">
        <f aca="false">IF(J204&gt;=setLarge,"Large",IF(J204&gt;=setMedium,"Medium","Small"))</f>
        <v>Medium</v>
      </c>
      <c r="V204" s="41" t="str">
        <f aca="false">IF(P204&gt;=setExc,"Excellent",IF(P204&gt;=setGood,"Good",IF(P204&gt;=setAvg,"Average","Poor")))</f>
        <v>Excellent</v>
      </c>
    </row>
    <row r="205" customFormat="false" ht="15" hidden="false" customHeight="false" outlineLevel="0" collapsed="false">
      <c r="A205" s="41" t="s">
        <v>383</v>
      </c>
      <c r="B205" s="41" t="s">
        <v>189</v>
      </c>
      <c r="C205" s="41" t="s">
        <v>86</v>
      </c>
      <c r="D205" s="41" t="s">
        <v>104</v>
      </c>
      <c r="E205" s="41" t="s">
        <v>103</v>
      </c>
      <c r="F205" s="41" t="s">
        <v>81</v>
      </c>
      <c r="G205" s="42" t="n">
        <v>25.9</v>
      </c>
      <c r="H205" s="41" t="n">
        <v>10</v>
      </c>
      <c r="I205" s="42" t="n">
        <v>12.95</v>
      </c>
      <c r="J205" s="42" t="n">
        <v>271.95</v>
      </c>
      <c r="K205" s="43" t="n">
        <v>43502</v>
      </c>
      <c r="L205" s="44" t="n">
        <v>0.61875</v>
      </c>
      <c r="M205" s="41" t="s">
        <v>98</v>
      </c>
      <c r="N205" s="42" t="n">
        <v>259</v>
      </c>
      <c r="O205" s="42" t="n">
        <v>12.95</v>
      </c>
      <c r="P205" s="45" t="n">
        <v>8.7</v>
      </c>
      <c r="Q205" s="41" t="str">
        <f aca="false">CHOOSE(MONTH(K205),"Jan","Feb","Mar","Apr","May","Jun","Jul","Aug","Sep","Oct","Nov","Dec")</f>
        <v>Feb</v>
      </c>
      <c r="R205" s="41" t="n">
        <f aca="false">INT((K205-setMinDate)/7)+1</f>
        <v>6</v>
      </c>
      <c r="S205" s="41" t="n">
        <f aca="false">HOUR(L205)</f>
        <v>14</v>
      </c>
      <c r="T205" s="41" t="str">
        <f aca="false">IF(S205&lt;setMorningEnd,"Morning",IF(S205&lt;setAfternoonEnd,"Afternoon","Evening"))</f>
        <v>Afternoon</v>
      </c>
      <c r="U205" s="41" t="str">
        <f aca="false">IF(J205&gt;=setLarge,"Large",IF(J205&gt;=setMedium,"Medium","Small"))</f>
        <v>Medium</v>
      </c>
      <c r="V205" s="41" t="str">
        <f aca="false">IF(P205&gt;=setExc,"Excellent",IF(P205&gt;=setGood,"Good",IF(P205&gt;=setAvg,"Average","Poor")))</f>
        <v>Good</v>
      </c>
    </row>
    <row r="206" customFormat="false" ht="15" hidden="false" customHeight="false" outlineLevel="0" collapsed="false">
      <c r="A206" s="41" t="s">
        <v>384</v>
      </c>
      <c r="B206" s="41" t="s">
        <v>189</v>
      </c>
      <c r="C206" s="41" t="s">
        <v>86</v>
      </c>
      <c r="D206" s="41" t="s">
        <v>104</v>
      </c>
      <c r="E206" s="41" t="s">
        <v>103</v>
      </c>
      <c r="F206" s="41" t="s">
        <v>80</v>
      </c>
      <c r="G206" s="42" t="n">
        <v>17.77</v>
      </c>
      <c r="H206" s="41" t="n">
        <v>5</v>
      </c>
      <c r="I206" s="42" t="n">
        <v>4.4425</v>
      </c>
      <c r="J206" s="42" t="n">
        <v>93.2925</v>
      </c>
      <c r="K206" s="43" t="n">
        <v>43511</v>
      </c>
      <c r="L206" s="44" t="n">
        <v>0.529166666666667</v>
      </c>
      <c r="M206" s="41" t="s">
        <v>99</v>
      </c>
      <c r="N206" s="42" t="n">
        <v>88.85</v>
      </c>
      <c r="O206" s="42" t="n">
        <v>4.4425</v>
      </c>
      <c r="P206" s="45" t="n">
        <v>5.4</v>
      </c>
      <c r="Q206" s="41" t="str">
        <f aca="false">CHOOSE(MONTH(K206),"Jan","Feb","Mar","Apr","May","Jun","Jul","Aug","Sep","Oct","Nov","Dec")</f>
        <v>Feb</v>
      </c>
      <c r="R206" s="41" t="n">
        <f aca="false">INT((K206-setMinDate)/7)+1</f>
        <v>7</v>
      </c>
      <c r="S206" s="41" t="n">
        <f aca="false">HOUR(L206)</f>
        <v>12</v>
      </c>
      <c r="T206" s="41" t="str">
        <f aca="false">IF(S206&lt;setMorningEnd,"Morning",IF(S206&lt;setAfternoonEnd,"Afternoon","Evening"))</f>
        <v>Afternoon</v>
      </c>
      <c r="U206" s="41" t="str">
        <f aca="false">IF(J206&gt;=setLarge,"Large",IF(J206&gt;=setMedium,"Medium","Small"))</f>
        <v>Small</v>
      </c>
      <c r="V206" s="41" t="str">
        <f aca="false">IF(P206&gt;=setExc,"Excellent",IF(P206&gt;=setGood,"Good",IF(P206&gt;=setAvg,"Average","Poor")))</f>
        <v>Average</v>
      </c>
    </row>
    <row r="207" customFormat="false" ht="15" hidden="false" customHeight="false" outlineLevel="0" collapsed="false">
      <c r="A207" s="41" t="s">
        <v>385</v>
      </c>
      <c r="B207" s="41" t="s">
        <v>178</v>
      </c>
      <c r="C207" s="41" t="s">
        <v>85</v>
      </c>
      <c r="D207" s="41" t="s">
        <v>105</v>
      </c>
      <c r="E207" s="41" t="s">
        <v>102</v>
      </c>
      <c r="F207" s="41" t="s">
        <v>81</v>
      </c>
      <c r="G207" s="42" t="n">
        <v>23.03</v>
      </c>
      <c r="H207" s="41" t="n">
        <v>9</v>
      </c>
      <c r="I207" s="42" t="n">
        <v>10.3635</v>
      </c>
      <c r="J207" s="42" t="n">
        <v>217.6335</v>
      </c>
      <c r="K207" s="43" t="n">
        <v>43468</v>
      </c>
      <c r="L207" s="44" t="n">
        <v>0.501388888888889</v>
      </c>
      <c r="M207" s="41" t="s">
        <v>98</v>
      </c>
      <c r="N207" s="42" t="n">
        <v>207.27</v>
      </c>
      <c r="O207" s="42" t="n">
        <v>10.3635</v>
      </c>
      <c r="P207" s="45" t="n">
        <v>7.9</v>
      </c>
      <c r="Q207" s="41" t="str">
        <f aca="false">CHOOSE(MONTH(K207),"Jan","Feb","Mar","Apr","May","Jun","Jul","Aug","Sep","Oct","Nov","Dec")</f>
        <v>Jan</v>
      </c>
      <c r="R207" s="41" t="n">
        <f aca="false">INT((K207-setMinDate)/7)+1</f>
        <v>1</v>
      </c>
      <c r="S207" s="41" t="n">
        <f aca="false">HOUR(L207)</f>
        <v>12</v>
      </c>
      <c r="T207" s="41" t="str">
        <f aca="false">IF(S207&lt;setMorningEnd,"Morning",IF(S207&lt;setAfternoonEnd,"Afternoon","Evening"))</f>
        <v>Afternoon</v>
      </c>
      <c r="U207" s="41" t="str">
        <f aca="false">IF(J207&gt;=setLarge,"Large",IF(J207&gt;=setMedium,"Medium","Small"))</f>
        <v>Small</v>
      </c>
      <c r="V207" s="41" t="str">
        <f aca="false">IF(P207&gt;=setExc,"Excellent",IF(P207&gt;=setGood,"Good",IF(P207&gt;=setAvg,"Average","Poor")))</f>
        <v>Good</v>
      </c>
    </row>
    <row r="208" customFormat="false" ht="15" hidden="false" customHeight="false" outlineLevel="0" collapsed="false">
      <c r="A208" s="41" t="s">
        <v>386</v>
      </c>
      <c r="B208" s="41" t="s">
        <v>180</v>
      </c>
      <c r="C208" s="41" t="s">
        <v>87</v>
      </c>
      <c r="D208" s="41" t="s">
        <v>104</v>
      </c>
      <c r="E208" s="41" t="s">
        <v>102</v>
      </c>
      <c r="F208" s="41" t="s">
        <v>78</v>
      </c>
      <c r="G208" s="42" t="n">
        <v>66.65</v>
      </c>
      <c r="H208" s="41" t="n">
        <v>9</v>
      </c>
      <c r="I208" s="42" t="n">
        <v>29.9925</v>
      </c>
      <c r="J208" s="42" t="n">
        <v>629.8425</v>
      </c>
      <c r="K208" s="43" t="n">
        <v>43469</v>
      </c>
      <c r="L208" s="44" t="n">
        <v>0.763194444444444</v>
      </c>
      <c r="M208" s="41" t="s">
        <v>99</v>
      </c>
      <c r="N208" s="42" t="n">
        <v>599.85</v>
      </c>
      <c r="O208" s="42" t="n">
        <v>29.9925</v>
      </c>
      <c r="P208" s="45" t="n">
        <v>9.7</v>
      </c>
      <c r="Q208" s="41" t="str">
        <f aca="false">CHOOSE(MONTH(K208),"Jan","Feb","Mar","Apr","May","Jun","Jul","Aug","Sep","Oct","Nov","Dec")</f>
        <v>Jan</v>
      </c>
      <c r="R208" s="41" t="n">
        <f aca="false">INT((K208-setMinDate)/7)+1</f>
        <v>1</v>
      </c>
      <c r="S208" s="41" t="n">
        <f aca="false">HOUR(L208)</f>
        <v>18</v>
      </c>
      <c r="T208" s="41" t="str">
        <f aca="false">IF(S208&lt;setMorningEnd,"Morning",IF(S208&lt;setAfternoonEnd,"Afternoon","Evening"))</f>
        <v>Evening</v>
      </c>
      <c r="U208" s="41" t="str">
        <f aca="false">IF(J208&gt;=setLarge,"Large",IF(J208&gt;=setMedium,"Medium","Small"))</f>
        <v>Large</v>
      </c>
      <c r="V208" s="41" t="str">
        <f aca="false">IF(P208&gt;=setExc,"Excellent",IF(P208&gt;=setGood,"Good",IF(P208&gt;=setAvg,"Average","Poor")))</f>
        <v>Excellent</v>
      </c>
    </row>
    <row r="209" customFormat="false" ht="15" hidden="false" customHeight="false" outlineLevel="0" collapsed="false">
      <c r="A209" s="41" t="s">
        <v>387</v>
      </c>
      <c r="B209" s="41" t="s">
        <v>180</v>
      </c>
      <c r="C209" s="41" t="s">
        <v>87</v>
      </c>
      <c r="D209" s="41" t="s">
        <v>104</v>
      </c>
      <c r="E209" s="41" t="s">
        <v>102</v>
      </c>
      <c r="F209" s="41" t="s">
        <v>80</v>
      </c>
      <c r="G209" s="42" t="n">
        <v>28.53</v>
      </c>
      <c r="H209" s="41" t="n">
        <v>10</v>
      </c>
      <c r="I209" s="42" t="n">
        <v>14.265</v>
      </c>
      <c r="J209" s="42" t="n">
        <v>299.565</v>
      </c>
      <c r="K209" s="43" t="n">
        <v>43542</v>
      </c>
      <c r="L209" s="44" t="n">
        <v>0.734722222222222</v>
      </c>
      <c r="M209" s="41" t="s">
        <v>98</v>
      </c>
      <c r="N209" s="42" t="n">
        <v>285.3</v>
      </c>
      <c r="O209" s="42" t="n">
        <v>14.265</v>
      </c>
      <c r="P209" s="45" t="n">
        <v>7.8</v>
      </c>
      <c r="Q209" s="41" t="str">
        <f aca="false">CHOOSE(MONTH(K209),"Jan","Feb","Mar","Apr","May","Jun","Jul","Aug","Sep","Oct","Nov","Dec")</f>
        <v>Mar</v>
      </c>
      <c r="R209" s="41" t="n">
        <f aca="false">INT((K209-setMinDate)/7)+1</f>
        <v>11</v>
      </c>
      <c r="S209" s="41" t="n">
        <f aca="false">HOUR(L209)</f>
        <v>17</v>
      </c>
      <c r="T209" s="41" t="str">
        <f aca="false">IF(S209&lt;setMorningEnd,"Morning",IF(S209&lt;setAfternoonEnd,"Afternoon","Evening"))</f>
        <v>Evening</v>
      </c>
      <c r="U209" s="41" t="str">
        <f aca="false">IF(J209&gt;=setLarge,"Large",IF(J209&gt;=setMedium,"Medium","Small"))</f>
        <v>Medium</v>
      </c>
      <c r="V209" s="41" t="str">
        <f aca="false">IF(P209&gt;=setExc,"Excellent",IF(P209&gt;=setGood,"Good",IF(P209&gt;=setAvg,"Average","Poor")))</f>
        <v>Good</v>
      </c>
    </row>
    <row r="210" customFormat="false" ht="15" hidden="false" customHeight="false" outlineLevel="0" collapsed="false">
      <c r="A210" s="41" t="s">
        <v>388</v>
      </c>
      <c r="B210" s="41" t="s">
        <v>189</v>
      </c>
      <c r="C210" s="41" t="s">
        <v>86</v>
      </c>
      <c r="D210" s="41" t="s">
        <v>105</v>
      </c>
      <c r="E210" s="41" t="s">
        <v>102</v>
      </c>
      <c r="F210" s="41" t="s">
        <v>79</v>
      </c>
      <c r="G210" s="42" t="n">
        <v>30.37</v>
      </c>
      <c r="H210" s="41" t="n">
        <v>3</v>
      </c>
      <c r="I210" s="42" t="n">
        <v>4.5555</v>
      </c>
      <c r="J210" s="42" t="n">
        <v>95.6655</v>
      </c>
      <c r="K210" s="43" t="n">
        <v>43552</v>
      </c>
      <c r="L210" s="44" t="n">
        <v>0.570138888888889</v>
      </c>
      <c r="M210" s="41" t="s">
        <v>98</v>
      </c>
      <c r="N210" s="42" t="n">
        <v>91.11</v>
      </c>
      <c r="O210" s="42" t="n">
        <v>4.5555</v>
      </c>
      <c r="P210" s="45" t="n">
        <v>5.1</v>
      </c>
      <c r="Q210" s="41" t="str">
        <f aca="false">CHOOSE(MONTH(K210),"Jan","Feb","Mar","Apr","May","Jun","Jul","Aug","Sep","Oct","Nov","Dec")</f>
        <v>Mar</v>
      </c>
      <c r="R210" s="41" t="n">
        <f aca="false">INT((K210-setMinDate)/7)+1</f>
        <v>13</v>
      </c>
      <c r="S210" s="41" t="n">
        <f aca="false">HOUR(L210)</f>
        <v>13</v>
      </c>
      <c r="T210" s="41" t="str">
        <f aca="false">IF(S210&lt;setMorningEnd,"Morning",IF(S210&lt;setAfternoonEnd,"Afternoon","Evening"))</f>
        <v>Afternoon</v>
      </c>
      <c r="U210" s="41" t="str">
        <f aca="false">IF(J210&gt;=setLarge,"Large",IF(J210&gt;=setMedium,"Medium","Small"))</f>
        <v>Small</v>
      </c>
      <c r="V210" s="41" t="str">
        <f aca="false">IF(P210&gt;=setExc,"Excellent",IF(P210&gt;=setGood,"Good",IF(P210&gt;=setAvg,"Average","Poor")))</f>
        <v>Average</v>
      </c>
    </row>
    <row r="211" customFormat="false" ht="15" hidden="false" customHeight="false" outlineLevel="0" collapsed="false">
      <c r="A211" s="41" t="s">
        <v>389</v>
      </c>
      <c r="B211" s="41" t="s">
        <v>189</v>
      </c>
      <c r="C211" s="41" t="s">
        <v>86</v>
      </c>
      <c r="D211" s="41" t="s">
        <v>105</v>
      </c>
      <c r="E211" s="41" t="s">
        <v>102</v>
      </c>
      <c r="F211" s="41" t="s">
        <v>78</v>
      </c>
      <c r="G211" s="42" t="n">
        <v>99.73</v>
      </c>
      <c r="H211" s="41" t="n">
        <v>9</v>
      </c>
      <c r="I211" s="42" t="n">
        <v>44.8785</v>
      </c>
      <c r="J211" s="42" t="n">
        <v>942.4485</v>
      </c>
      <c r="K211" s="43" t="n">
        <v>43526</v>
      </c>
      <c r="L211" s="44" t="n">
        <v>0.820833333333333</v>
      </c>
      <c r="M211" s="41" t="s">
        <v>99</v>
      </c>
      <c r="N211" s="42" t="n">
        <v>897.57</v>
      </c>
      <c r="O211" s="42" t="n">
        <v>44.8785</v>
      </c>
      <c r="P211" s="45" t="n">
        <v>6.5</v>
      </c>
      <c r="Q211" s="41" t="str">
        <f aca="false">CHOOSE(MONTH(K211),"Jan","Feb","Mar","Apr","May","Jun","Jul","Aug","Sep","Oct","Nov","Dec")</f>
        <v>Mar</v>
      </c>
      <c r="R211" s="41" t="n">
        <f aca="false">INT((K211-setMinDate)/7)+1</f>
        <v>9</v>
      </c>
      <c r="S211" s="41" t="n">
        <f aca="false">HOUR(L211)</f>
        <v>19</v>
      </c>
      <c r="T211" s="41" t="str">
        <f aca="false">IF(S211&lt;setMorningEnd,"Morning",IF(S211&lt;setAfternoonEnd,"Afternoon","Evening"))</f>
        <v>Evening</v>
      </c>
      <c r="U211" s="41" t="str">
        <f aca="false">IF(J211&gt;=setLarge,"Large",IF(J211&gt;=setMedium,"Medium","Small"))</f>
        <v>Large</v>
      </c>
      <c r="V211" s="41" t="str">
        <f aca="false">IF(P211&gt;=setExc,"Excellent",IF(P211&gt;=setGood,"Good",IF(P211&gt;=setAvg,"Average","Poor")))</f>
        <v>Average</v>
      </c>
    </row>
    <row r="212" customFormat="false" ht="15" hidden="false" customHeight="false" outlineLevel="0" collapsed="false">
      <c r="A212" s="41" t="s">
        <v>390</v>
      </c>
      <c r="B212" s="41" t="s">
        <v>178</v>
      </c>
      <c r="C212" s="41" t="s">
        <v>85</v>
      </c>
      <c r="D212" s="41" t="s">
        <v>105</v>
      </c>
      <c r="E212" s="41" t="s">
        <v>103</v>
      </c>
      <c r="F212" s="41" t="s">
        <v>78</v>
      </c>
      <c r="G212" s="42" t="n">
        <v>26.23</v>
      </c>
      <c r="H212" s="41" t="n">
        <v>9</v>
      </c>
      <c r="I212" s="42" t="n">
        <v>11.8035</v>
      </c>
      <c r="J212" s="42" t="n">
        <v>247.8735</v>
      </c>
      <c r="K212" s="43" t="n">
        <v>43490</v>
      </c>
      <c r="L212" s="44" t="n">
        <v>0.85</v>
      </c>
      <c r="M212" s="41" t="s">
        <v>98</v>
      </c>
      <c r="N212" s="42" t="n">
        <v>236.07</v>
      </c>
      <c r="O212" s="42" t="n">
        <v>11.8035</v>
      </c>
      <c r="P212" s="45" t="n">
        <v>5.9</v>
      </c>
      <c r="Q212" s="41" t="str">
        <f aca="false">CHOOSE(MONTH(K212),"Jan","Feb","Mar","Apr","May","Jun","Jul","Aug","Sep","Oct","Nov","Dec")</f>
        <v>Jan</v>
      </c>
      <c r="R212" s="41" t="n">
        <f aca="false">INT((K212-setMinDate)/7)+1</f>
        <v>4</v>
      </c>
      <c r="S212" s="41" t="n">
        <f aca="false">HOUR(L212)</f>
        <v>20</v>
      </c>
      <c r="T212" s="41" t="str">
        <f aca="false">IF(S212&lt;setMorningEnd,"Morning",IF(S212&lt;setAfternoonEnd,"Afternoon","Evening"))</f>
        <v>Evening</v>
      </c>
      <c r="U212" s="41" t="str">
        <f aca="false">IF(J212&gt;=setLarge,"Large",IF(J212&gt;=setMedium,"Medium","Small"))</f>
        <v>Small</v>
      </c>
      <c r="V212" s="41" t="str">
        <f aca="false">IF(P212&gt;=setExc,"Excellent",IF(P212&gt;=setGood,"Good",IF(P212&gt;=setAvg,"Average","Poor")))</f>
        <v>Average</v>
      </c>
    </row>
    <row r="213" customFormat="false" ht="15" hidden="false" customHeight="false" outlineLevel="0" collapsed="false">
      <c r="A213" s="41" t="s">
        <v>391</v>
      </c>
      <c r="B213" s="41" t="s">
        <v>180</v>
      </c>
      <c r="C213" s="41" t="s">
        <v>87</v>
      </c>
      <c r="D213" s="41" t="s">
        <v>105</v>
      </c>
      <c r="E213" s="41" t="s">
        <v>102</v>
      </c>
      <c r="F213" s="41" t="s">
        <v>76</v>
      </c>
      <c r="G213" s="42" t="n">
        <v>93.26</v>
      </c>
      <c r="H213" s="41" t="n">
        <v>9</v>
      </c>
      <c r="I213" s="42" t="n">
        <v>41.967</v>
      </c>
      <c r="J213" s="42" t="n">
        <v>881.307</v>
      </c>
      <c r="K213" s="43" t="n">
        <v>43481</v>
      </c>
      <c r="L213" s="44" t="n">
        <v>0.755555555555556</v>
      </c>
      <c r="M213" s="41" t="s">
        <v>97</v>
      </c>
      <c r="N213" s="42" t="n">
        <v>839.34</v>
      </c>
      <c r="O213" s="42" t="n">
        <v>41.967</v>
      </c>
      <c r="P213" s="45" t="n">
        <v>8.8</v>
      </c>
      <c r="Q213" s="41" t="str">
        <f aca="false">CHOOSE(MONTH(K213),"Jan","Feb","Mar","Apr","May","Jun","Jul","Aug","Sep","Oct","Nov","Dec")</f>
        <v>Jan</v>
      </c>
      <c r="R213" s="41" t="n">
        <f aca="false">INT((K213-setMinDate)/7)+1</f>
        <v>3</v>
      </c>
      <c r="S213" s="41" t="n">
        <f aca="false">HOUR(L213)</f>
        <v>18</v>
      </c>
      <c r="T213" s="41" t="str">
        <f aca="false">IF(S213&lt;setMorningEnd,"Morning",IF(S213&lt;setAfternoonEnd,"Afternoon","Evening"))</f>
        <v>Evening</v>
      </c>
      <c r="U213" s="41" t="str">
        <f aca="false">IF(J213&gt;=setLarge,"Large",IF(J213&gt;=setMedium,"Medium","Small"))</f>
        <v>Large</v>
      </c>
      <c r="V213" s="41" t="str">
        <f aca="false">IF(P213&gt;=setExc,"Excellent",IF(P213&gt;=setGood,"Good",IF(P213&gt;=setAvg,"Average","Poor")))</f>
        <v>Good</v>
      </c>
    </row>
    <row r="214" customFormat="false" ht="15" hidden="false" customHeight="false" outlineLevel="0" collapsed="false">
      <c r="A214" s="41" t="s">
        <v>392</v>
      </c>
      <c r="B214" s="41" t="s">
        <v>189</v>
      </c>
      <c r="C214" s="41" t="s">
        <v>86</v>
      </c>
      <c r="D214" s="41" t="s">
        <v>105</v>
      </c>
      <c r="E214" s="41" t="s">
        <v>103</v>
      </c>
      <c r="F214" s="41" t="s">
        <v>80</v>
      </c>
      <c r="G214" s="42" t="n">
        <v>92.36</v>
      </c>
      <c r="H214" s="41" t="n">
        <v>5</v>
      </c>
      <c r="I214" s="42" t="n">
        <v>23.09</v>
      </c>
      <c r="J214" s="42" t="n">
        <v>484.89</v>
      </c>
      <c r="K214" s="43" t="n">
        <v>43544</v>
      </c>
      <c r="L214" s="44" t="n">
        <v>0.803472222222222</v>
      </c>
      <c r="M214" s="41" t="s">
        <v>98</v>
      </c>
      <c r="N214" s="42" t="n">
        <v>461.8</v>
      </c>
      <c r="O214" s="42" t="n">
        <v>23.09</v>
      </c>
      <c r="P214" s="45" t="n">
        <v>4.9</v>
      </c>
      <c r="Q214" s="41" t="str">
        <f aca="false">CHOOSE(MONTH(K214),"Jan","Feb","Mar","Apr","May","Jun","Jul","Aug","Sep","Oct","Nov","Dec")</f>
        <v>Mar</v>
      </c>
      <c r="R214" s="41" t="n">
        <f aca="false">INT((K214-setMinDate)/7)+1</f>
        <v>12</v>
      </c>
      <c r="S214" s="41" t="n">
        <f aca="false">HOUR(L214)</f>
        <v>19</v>
      </c>
      <c r="T214" s="41" t="str">
        <f aca="false">IF(S214&lt;setMorningEnd,"Morning",IF(S214&lt;setAfternoonEnd,"Afternoon","Evening"))</f>
        <v>Evening</v>
      </c>
      <c r="U214" s="41" t="str">
        <f aca="false">IF(J214&gt;=setLarge,"Large",IF(J214&gt;=setMedium,"Medium","Small"))</f>
        <v>Medium</v>
      </c>
      <c r="V214" s="41" t="str">
        <f aca="false">IF(P214&gt;=setExc,"Excellent",IF(P214&gt;=setGood,"Good",IF(P214&gt;=setAvg,"Average","Poor")))</f>
        <v>Poor</v>
      </c>
    </row>
    <row r="215" customFormat="false" ht="15" hidden="false" customHeight="false" outlineLevel="0" collapsed="false">
      <c r="A215" s="41" t="s">
        <v>393</v>
      </c>
      <c r="B215" s="41" t="s">
        <v>189</v>
      </c>
      <c r="C215" s="41" t="s">
        <v>86</v>
      </c>
      <c r="D215" s="41" t="s">
        <v>105</v>
      </c>
      <c r="E215" s="41" t="s">
        <v>103</v>
      </c>
      <c r="F215" s="41" t="s">
        <v>77</v>
      </c>
      <c r="G215" s="42" t="n">
        <v>46.42</v>
      </c>
      <c r="H215" s="41" t="n">
        <v>3</v>
      </c>
      <c r="I215" s="42" t="n">
        <v>6.963</v>
      </c>
      <c r="J215" s="42" t="n">
        <v>146.223</v>
      </c>
      <c r="K215" s="43" t="n">
        <v>43469</v>
      </c>
      <c r="L215" s="44" t="n">
        <v>0.558333333333333</v>
      </c>
      <c r="M215" s="41" t="s">
        <v>99</v>
      </c>
      <c r="N215" s="42" t="n">
        <v>139.26</v>
      </c>
      <c r="O215" s="42" t="n">
        <v>6.963</v>
      </c>
      <c r="P215" s="45" t="n">
        <v>4.4</v>
      </c>
      <c r="Q215" s="41" t="str">
        <f aca="false">CHOOSE(MONTH(K215),"Jan","Feb","Mar","Apr","May","Jun","Jul","Aug","Sep","Oct","Nov","Dec")</f>
        <v>Jan</v>
      </c>
      <c r="R215" s="41" t="n">
        <f aca="false">INT((K215-setMinDate)/7)+1</f>
        <v>1</v>
      </c>
      <c r="S215" s="41" t="n">
        <f aca="false">HOUR(L215)</f>
        <v>13</v>
      </c>
      <c r="T215" s="41" t="str">
        <f aca="false">IF(S215&lt;setMorningEnd,"Morning",IF(S215&lt;setAfternoonEnd,"Afternoon","Evening"))</f>
        <v>Afternoon</v>
      </c>
      <c r="U215" s="41" t="str">
        <f aca="false">IF(J215&gt;=setLarge,"Large",IF(J215&gt;=setMedium,"Medium","Small"))</f>
        <v>Small</v>
      </c>
      <c r="V215" s="41" t="str">
        <f aca="false">IF(P215&gt;=setExc,"Excellent",IF(P215&gt;=setGood,"Good",IF(P215&gt;=setAvg,"Average","Poor")))</f>
        <v>Poor</v>
      </c>
    </row>
    <row r="216" customFormat="false" ht="15" hidden="false" customHeight="false" outlineLevel="0" collapsed="false">
      <c r="A216" s="41" t="s">
        <v>394</v>
      </c>
      <c r="B216" s="41" t="s">
        <v>189</v>
      </c>
      <c r="C216" s="41" t="s">
        <v>86</v>
      </c>
      <c r="D216" s="41" t="s">
        <v>104</v>
      </c>
      <c r="E216" s="41" t="s">
        <v>102</v>
      </c>
      <c r="F216" s="41" t="s">
        <v>77</v>
      </c>
      <c r="G216" s="42" t="n">
        <v>29.61</v>
      </c>
      <c r="H216" s="41" t="n">
        <v>7</v>
      </c>
      <c r="I216" s="42" t="n">
        <v>10.3635</v>
      </c>
      <c r="J216" s="42" t="n">
        <v>217.6335</v>
      </c>
      <c r="K216" s="43" t="n">
        <v>43535</v>
      </c>
      <c r="L216" s="44" t="n">
        <v>0.661805555555556</v>
      </c>
      <c r="M216" s="41" t="s">
        <v>97</v>
      </c>
      <c r="N216" s="42" t="n">
        <v>207.27</v>
      </c>
      <c r="O216" s="42" t="n">
        <v>10.3635</v>
      </c>
      <c r="P216" s="45" t="n">
        <v>6.5</v>
      </c>
      <c r="Q216" s="41" t="str">
        <f aca="false">CHOOSE(MONTH(K216),"Jan","Feb","Mar","Apr","May","Jun","Jul","Aug","Sep","Oct","Nov","Dec")</f>
        <v>Mar</v>
      </c>
      <c r="R216" s="41" t="n">
        <f aca="false">INT((K216-setMinDate)/7)+1</f>
        <v>10</v>
      </c>
      <c r="S216" s="41" t="n">
        <f aca="false">HOUR(L216)</f>
        <v>15</v>
      </c>
      <c r="T216" s="41" t="str">
        <f aca="false">IF(S216&lt;setMorningEnd,"Morning",IF(S216&lt;setAfternoonEnd,"Afternoon","Evening"))</f>
        <v>Afternoon</v>
      </c>
      <c r="U216" s="41" t="str">
        <f aca="false">IF(J216&gt;=setLarge,"Large",IF(J216&gt;=setMedium,"Medium","Small"))</f>
        <v>Small</v>
      </c>
      <c r="V216" s="41" t="str">
        <f aca="false">IF(P216&gt;=setExc,"Excellent",IF(P216&gt;=setGood,"Good",IF(P216&gt;=setAvg,"Average","Poor")))</f>
        <v>Average</v>
      </c>
    </row>
    <row r="217" customFormat="false" ht="15" hidden="false" customHeight="false" outlineLevel="0" collapsed="false">
      <c r="A217" s="41" t="s">
        <v>395</v>
      </c>
      <c r="B217" s="41" t="s">
        <v>178</v>
      </c>
      <c r="C217" s="41" t="s">
        <v>85</v>
      </c>
      <c r="D217" s="41" t="s">
        <v>105</v>
      </c>
      <c r="E217" s="41" t="s">
        <v>103</v>
      </c>
      <c r="F217" s="41" t="s">
        <v>80</v>
      </c>
      <c r="G217" s="42" t="n">
        <v>18.28</v>
      </c>
      <c r="H217" s="41" t="n">
        <v>1</v>
      </c>
      <c r="I217" s="42" t="n">
        <v>0.914</v>
      </c>
      <c r="J217" s="42" t="n">
        <v>19.194</v>
      </c>
      <c r="K217" s="43" t="n">
        <v>43546</v>
      </c>
      <c r="L217" s="44" t="n">
        <v>0.628472222222222</v>
      </c>
      <c r="M217" s="41" t="s">
        <v>99</v>
      </c>
      <c r="N217" s="42" t="n">
        <v>18.28</v>
      </c>
      <c r="O217" s="42" t="n">
        <v>0.914</v>
      </c>
      <c r="P217" s="45" t="n">
        <v>8.3</v>
      </c>
      <c r="Q217" s="41" t="str">
        <f aca="false">CHOOSE(MONTH(K217),"Jan","Feb","Mar","Apr","May","Jun","Jul","Aug","Sep","Oct","Nov","Dec")</f>
        <v>Mar</v>
      </c>
      <c r="R217" s="41" t="n">
        <f aca="false">INT((K217-setMinDate)/7)+1</f>
        <v>12</v>
      </c>
      <c r="S217" s="41" t="n">
        <f aca="false">HOUR(L217)</f>
        <v>15</v>
      </c>
      <c r="T217" s="41" t="str">
        <f aca="false">IF(S217&lt;setMorningEnd,"Morning",IF(S217&lt;setAfternoonEnd,"Afternoon","Evening"))</f>
        <v>Afternoon</v>
      </c>
      <c r="U217" s="41" t="str">
        <f aca="false">IF(J217&gt;=setLarge,"Large",IF(J217&gt;=setMedium,"Medium","Small"))</f>
        <v>Small</v>
      </c>
      <c r="V217" s="41" t="str">
        <f aca="false">IF(P217&gt;=setExc,"Excellent",IF(P217&gt;=setGood,"Good",IF(P217&gt;=setAvg,"Average","Poor")))</f>
        <v>Good</v>
      </c>
    </row>
    <row r="218" customFormat="false" ht="15" hidden="false" customHeight="false" outlineLevel="0" collapsed="false">
      <c r="A218" s="41" t="s">
        <v>396</v>
      </c>
      <c r="B218" s="41" t="s">
        <v>189</v>
      </c>
      <c r="C218" s="41" t="s">
        <v>86</v>
      </c>
      <c r="D218" s="41" t="s">
        <v>105</v>
      </c>
      <c r="E218" s="41" t="s">
        <v>102</v>
      </c>
      <c r="F218" s="41" t="s">
        <v>77</v>
      </c>
      <c r="G218" s="42" t="n">
        <v>24.77</v>
      </c>
      <c r="H218" s="41" t="n">
        <v>5</v>
      </c>
      <c r="I218" s="42" t="n">
        <v>6.1925</v>
      </c>
      <c r="J218" s="42" t="n">
        <v>130.0425</v>
      </c>
      <c r="K218" s="43" t="n">
        <v>43548</v>
      </c>
      <c r="L218" s="44" t="n">
        <v>0.76875</v>
      </c>
      <c r="M218" s="41" t="s">
        <v>97</v>
      </c>
      <c r="N218" s="42" t="n">
        <v>123.85</v>
      </c>
      <c r="O218" s="42" t="n">
        <v>6.1925</v>
      </c>
      <c r="P218" s="45" t="n">
        <v>8.5</v>
      </c>
      <c r="Q218" s="41" t="str">
        <f aca="false">CHOOSE(MONTH(K218),"Jan","Feb","Mar","Apr","May","Jun","Jul","Aug","Sep","Oct","Nov","Dec")</f>
        <v>Mar</v>
      </c>
      <c r="R218" s="41" t="n">
        <f aca="false">INT((K218-setMinDate)/7)+1</f>
        <v>12</v>
      </c>
      <c r="S218" s="41" t="n">
        <f aca="false">HOUR(L218)</f>
        <v>18</v>
      </c>
      <c r="T218" s="41" t="str">
        <f aca="false">IF(S218&lt;setMorningEnd,"Morning",IF(S218&lt;setAfternoonEnd,"Afternoon","Evening"))</f>
        <v>Evening</v>
      </c>
      <c r="U218" s="41" t="str">
        <f aca="false">IF(J218&gt;=setLarge,"Large",IF(J218&gt;=setMedium,"Medium","Small"))</f>
        <v>Small</v>
      </c>
      <c r="V218" s="41" t="str">
        <f aca="false">IF(P218&gt;=setExc,"Excellent",IF(P218&gt;=setGood,"Good",IF(P218&gt;=setAvg,"Average","Poor")))</f>
        <v>Good</v>
      </c>
    </row>
    <row r="219" customFormat="false" ht="15" hidden="false" customHeight="false" outlineLevel="0" collapsed="false">
      <c r="A219" s="41" t="s">
        <v>397</v>
      </c>
      <c r="B219" s="41" t="s">
        <v>178</v>
      </c>
      <c r="C219" s="41" t="s">
        <v>85</v>
      </c>
      <c r="D219" s="41" t="s">
        <v>104</v>
      </c>
      <c r="E219" s="41" t="s">
        <v>102</v>
      </c>
      <c r="F219" s="41" t="s">
        <v>78</v>
      </c>
      <c r="G219" s="42" t="n">
        <v>94.64</v>
      </c>
      <c r="H219" s="41" t="n">
        <v>3</v>
      </c>
      <c r="I219" s="42" t="n">
        <v>14.196</v>
      </c>
      <c r="J219" s="42" t="n">
        <v>298.116</v>
      </c>
      <c r="K219" s="43" t="n">
        <v>43517</v>
      </c>
      <c r="L219" s="44" t="n">
        <v>0.704861111111111</v>
      </c>
      <c r="M219" s="41" t="s">
        <v>97</v>
      </c>
      <c r="N219" s="42" t="n">
        <v>283.92</v>
      </c>
      <c r="O219" s="42" t="n">
        <v>14.196</v>
      </c>
      <c r="P219" s="45" t="n">
        <v>5.5</v>
      </c>
      <c r="Q219" s="41" t="str">
        <f aca="false">CHOOSE(MONTH(K219),"Jan","Feb","Mar","Apr","May","Jun","Jul","Aug","Sep","Oct","Nov","Dec")</f>
        <v>Feb</v>
      </c>
      <c r="R219" s="41" t="n">
        <f aca="false">INT((K219-setMinDate)/7)+1</f>
        <v>8</v>
      </c>
      <c r="S219" s="41" t="n">
        <f aca="false">HOUR(L219)</f>
        <v>16</v>
      </c>
      <c r="T219" s="41" t="str">
        <f aca="false">IF(S219&lt;setMorningEnd,"Morning",IF(S219&lt;setAfternoonEnd,"Afternoon","Evening"))</f>
        <v>Afternoon</v>
      </c>
      <c r="U219" s="41" t="str">
        <f aca="false">IF(J219&gt;=setLarge,"Large",IF(J219&gt;=setMedium,"Medium","Small"))</f>
        <v>Medium</v>
      </c>
      <c r="V219" s="41" t="str">
        <f aca="false">IF(P219&gt;=setExc,"Excellent",IF(P219&gt;=setGood,"Good",IF(P219&gt;=setAvg,"Average","Poor")))</f>
        <v>Average</v>
      </c>
    </row>
    <row r="220" customFormat="false" ht="15" hidden="false" customHeight="false" outlineLevel="0" collapsed="false">
      <c r="A220" s="41" t="s">
        <v>398</v>
      </c>
      <c r="B220" s="41" t="s">
        <v>189</v>
      </c>
      <c r="C220" s="41" t="s">
        <v>86</v>
      </c>
      <c r="D220" s="41" t="s">
        <v>105</v>
      </c>
      <c r="E220" s="41" t="s">
        <v>103</v>
      </c>
      <c r="F220" s="41" t="s">
        <v>79</v>
      </c>
      <c r="G220" s="42" t="n">
        <v>94.87</v>
      </c>
      <c r="H220" s="41" t="n">
        <v>8</v>
      </c>
      <c r="I220" s="42" t="n">
        <v>37.948</v>
      </c>
      <c r="J220" s="42" t="n">
        <v>796.908</v>
      </c>
      <c r="K220" s="43" t="n">
        <v>43508</v>
      </c>
      <c r="L220" s="44" t="n">
        <v>0.540277777777778</v>
      </c>
      <c r="M220" s="41" t="s">
        <v>98</v>
      </c>
      <c r="N220" s="42" t="n">
        <v>758.96</v>
      </c>
      <c r="O220" s="42" t="n">
        <v>37.948</v>
      </c>
      <c r="P220" s="45" t="n">
        <v>8.7</v>
      </c>
      <c r="Q220" s="41" t="str">
        <f aca="false">CHOOSE(MONTH(K220),"Jan","Feb","Mar","Apr","May","Jun","Jul","Aug","Sep","Oct","Nov","Dec")</f>
        <v>Feb</v>
      </c>
      <c r="R220" s="41" t="n">
        <f aca="false">INT((K220-setMinDate)/7)+1</f>
        <v>7</v>
      </c>
      <c r="S220" s="41" t="n">
        <f aca="false">HOUR(L220)</f>
        <v>12</v>
      </c>
      <c r="T220" s="41" t="str">
        <f aca="false">IF(S220&lt;setMorningEnd,"Morning",IF(S220&lt;setAfternoonEnd,"Afternoon","Evening"))</f>
        <v>Afternoon</v>
      </c>
      <c r="U220" s="41" t="str">
        <f aca="false">IF(J220&gt;=setLarge,"Large",IF(J220&gt;=setMedium,"Medium","Small"))</f>
        <v>Large</v>
      </c>
      <c r="V220" s="41" t="str">
        <f aca="false">IF(P220&gt;=setExc,"Excellent",IF(P220&gt;=setGood,"Good",IF(P220&gt;=setAvg,"Average","Poor")))</f>
        <v>Good</v>
      </c>
    </row>
    <row r="221" customFormat="false" ht="15" hidden="false" customHeight="false" outlineLevel="0" collapsed="false">
      <c r="A221" s="41" t="s">
        <v>399</v>
      </c>
      <c r="B221" s="41" t="s">
        <v>189</v>
      </c>
      <c r="C221" s="41" t="s">
        <v>86</v>
      </c>
      <c r="D221" s="41" t="s">
        <v>105</v>
      </c>
      <c r="E221" s="41" t="s">
        <v>102</v>
      </c>
      <c r="F221" s="41" t="s">
        <v>76</v>
      </c>
      <c r="G221" s="42" t="n">
        <v>57.34</v>
      </c>
      <c r="H221" s="41" t="n">
        <v>3</v>
      </c>
      <c r="I221" s="42" t="n">
        <v>8.601</v>
      </c>
      <c r="J221" s="42" t="n">
        <v>180.621</v>
      </c>
      <c r="K221" s="43" t="n">
        <v>43534</v>
      </c>
      <c r="L221" s="44" t="n">
        <v>0.790972222222222</v>
      </c>
      <c r="M221" s="41" t="s">
        <v>99</v>
      </c>
      <c r="N221" s="42" t="n">
        <v>172.02</v>
      </c>
      <c r="O221" s="42" t="n">
        <v>8.601</v>
      </c>
      <c r="P221" s="45" t="n">
        <v>7.9</v>
      </c>
      <c r="Q221" s="41" t="str">
        <f aca="false">CHOOSE(MONTH(K221),"Jan","Feb","Mar","Apr","May","Jun","Jul","Aug","Sep","Oct","Nov","Dec")</f>
        <v>Mar</v>
      </c>
      <c r="R221" s="41" t="n">
        <f aca="false">INT((K221-setMinDate)/7)+1</f>
        <v>10</v>
      </c>
      <c r="S221" s="41" t="n">
        <f aca="false">HOUR(L221)</f>
        <v>18</v>
      </c>
      <c r="T221" s="41" t="str">
        <f aca="false">IF(S221&lt;setMorningEnd,"Morning",IF(S221&lt;setAfternoonEnd,"Afternoon","Evening"))</f>
        <v>Evening</v>
      </c>
      <c r="U221" s="41" t="str">
        <f aca="false">IF(J221&gt;=setLarge,"Large",IF(J221&gt;=setMedium,"Medium","Small"))</f>
        <v>Small</v>
      </c>
      <c r="V221" s="41" t="str">
        <f aca="false">IF(P221&gt;=setExc,"Excellent",IF(P221&gt;=setGood,"Good",IF(P221&gt;=setAvg,"Average","Poor")))</f>
        <v>Good</v>
      </c>
    </row>
    <row r="222" customFormat="false" ht="15" hidden="false" customHeight="false" outlineLevel="0" collapsed="false">
      <c r="A222" s="41" t="s">
        <v>400</v>
      </c>
      <c r="B222" s="41" t="s">
        <v>189</v>
      </c>
      <c r="C222" s="41" t="s">
        <v>86</v>
      </c>
      <c r="D222" s="41" t="s">
        <v>105</v>
      </c>
      <c r="E222" s="41" t="s">
        <v>103</v>
      </c>
      <c r="F222" s="41" t="s">
        <v>78</v>
      </c>
      <c r="G222" s="42" t="n">
        <v>45.35</v>
      </c>
      <c r="H222" s="41" t="n">
        <v>6</v>
      </c>
      <c r="I222" s="42" t="n">
        <v>13.605</v>
      </c>
      <c r="J222" s="42" t="n">
        <v>285.705</v>
      </c>
      <c r="K222" s="43" t="n">
        <v>43496</v>
      </c>
      <c r="L222" s="44" t="n">
        <v>0.572222222222222</v>
      </c>
      <c r="M222" s="41" t="s">
        <v>98</v>
      </c>
      <c r="N222" s="42" t="n">
        <v>272.1</v>
      </c>
      <c r="O222" s="42" t="n">
        <v>13.605</v>
      </c>
      <c r="P222" s="45" t="n">
        <v>6.1</v>
      </c>
      <c r="Q222" s="41" t="str">
        <f aca="false">CHOOSE(MONTH(K222),"Jan","Feb","Mar","Apr","May","Jun","Jul","Aug","Sep","Oct","Nov","Dec")</f>
        <v>Jan</v>
      </c>
      <c r="R222" s="41" t="n">
        <f aca="false">INT((K222-setMinDate)/7)+1</f>
        <v>5</v>
      </c>
      <c r="S222" s="41" t="n">
        <f aca="false">HOUR(L222)</f>
        <v>13</v>
      </c>
      <c r="T222" s="41" t="str">
        <f aca="false">IF(S222&lt;setMorningEnd,"Morning",IF(S222&lt;setAfternoonEnd,"Afternoon","Evening"))</f>
        <v>Afternoon</v>
      </c>
      <c r="U222" s="41" t="str">
        <f aca="false">IF(J222&gt;=setLarge,"Large",IF(J222&gt;=setMedium,"Medium","Small"))</f>
        <v>Medium</v>
      </c>
      <c r="V222" s="41" t="str">
        <f aca="false">IF(P222&gt;=setExc,"Excellent",IF(P222&gt;=setGood,"Good",IF(P222&gt;=setAvg,"Average","Poor")))</f>
        <v>Average</v>
      </c>
    </row>
    <row r="223" customFormat="false" ht="15" hidden="false" customHeight="false" outlineLevel="0" collapsed="false">
      <c r="A223" s="41" t="s">
        <v>401</v>
      </c>
      <c r="B223" s="41" t="s">
        <v>189</v>
      </c>
      <c r="C223" s="41" t="s">
        <v>86</v>
      </c>
      <c r="D223" s="41" t="s">
        <v>105</v>
      </c>
      <c r="E223" s="41" t="s">
        <v>103</v>
      </c>
      <c r="F223" s="41" t="s">
        <v>76</v>
      </c>
      <c r="G223" s="42" t="n">
        <v>62.08</v>
      </c>
      <c r="H223" s="41" t="n">
        <v>7</v>
      </c>
      <c r="I223" s="42" t="n">
        <v>21.728</v>
      </c>
      <c r="J223" s="42" t="n">
        <v>456.288</v>
      </c>
      <c r="K223" s="43" t="n">
        <v>43530</v>
      </c>
      <c r="L223" s="44" t="n">
        <v>0.573611111111111</v>
      </c>
      <c r="M223" s="41" t="s">
        <v>98</v>
      </c>
      <c r="N223" s="42" t="n">
        <v>434.56</v>
      </c>
      <c r="O223" s="42" t="n">
        <v>21.728</v>
      </c>
      <c r="P223" s="45" t="n">
        <v>5.4</v>
      </c>
      <c r="Q223" s="41" t="str">
        <f aca="false">CHOOSE(MONTH(K223),"Jan","Feb","Mar","Apr","May","Jun","Jul","Aug","Sep","Oct","Nov","Dec")</f>
        <v>Mar</v>
      </c>
      <c r="R223" s="41" t="n">
        <f aca="false">INT((K223-setMinDate)/7)+1</f>
        <v>10</v>
      </c>
      <c r="S223" s="41" t="n">
        <f aca="false">HOUR(L223)</f>
        <v>13</v>
      </c>
      <c r="T223" s="41" t="str">
        <f aca="false">IF(S223&lt;setMorningEnd,"Morning",IF(S223&lt;setAfternoonEnd,"Afternoon","Evening"))</f>
        <v>Afternoon</v>
      </c>
      <c r="U223" s="41" t="str">
        <f aca="false">IF(J223&gt;=setLarge,"Large",IF(J223&gt;=setMedium,"Medium","Small"))</f>
        <v>Medium</v>
      </c>
      <c r="V223" s="41" t="str">
        <f aca="false">IF(P223&gt;=setExc,"Excellent",IF(P223&gt;=setGood,"Good",IF(P223&gt;=setAvg,"Average","Poor")))</f>
        <v>Average</v>
      </c>
    </row>
    <row r="224" customFormat="false" ht="15" hidden="false" customHeight="false" outlineLevel="0" collapsed="false">
      <c r="A224" s="41" t="s">
        <v>402</v>
      </c>
      <c r="B224" s="41" t="s">
        <v>180</v>
      </c>
      <c r="C224" s="41" t="s">
        <v>87</v>
      </c>
      <c r="D224" s="41" t="s">
        <v>105</v>
      </c>
      <c r="E224" s="41" t="s">
        <v>103</v>
      </c>
      <c r="F224" s="41" t="s">
        <v>78</v>
      </c>
      <c r="G224" s="42" t="n">
        <v>11.81</v>
      </c>
      <c r="H224" s="41" t="n">
        <v>5</v>
      </c>
      <c r="I224" s="42" t="n">
        <v>2.9525</v>
      </c>
      <c r="J224" s="42" t="n">
        <v>62.0025</v>
      </c>
      <c r="K224" s="43" t="n">
        <v>43513</v>
      </c>
      <c r="L224" s="44" t="n">
        <v>0.754166666666667</v>
      </c>
      <c r="M224" s="41" t="s">
        <v>97</v>
      </c>
      <c r="N224" s="42" t="n">
        <v>59.05</v>
      </c>
      <c r="O224" s="42" t="n">
        <v>2.9525</v>
      </c>
      <c r="P224" s="45" t="n">
        <v>9.4</v>
      </c>
      <c r="Q224" s="41" t="str">
        <f aca="false">CHOOSE(MONTH(K224),"Jan","Feb","Mar","Apr","May","Jun","Jul","Aug","Sep","Oct","Nov","Dec")</f>
        <v>Feb</v>
      </c>
      <c r="R224" s="41" t="n">
        <f aca="false">INT((K224-setMinDate)/7)+1</f>
        <v>7</v>
      </c>
      <c r="S224" s="41" t="n">
        <f aca="false">HOUR(L224)</f>
        <v>18</v>
      </c>
      <c r="T224" s="41" t="str">
        <f aca="false">IF(S224&lt;setMorningEnd,"Morning",IF(S224&lt;setAfternoonEnd,"Afternoon","Evening"))</f>
        <v>Evening</v>
      </c>
      <c r="U224" s="41" t="str">
        <f aca="false">IF(J224&gt;=setLarge,"Large",IF(J224&gt;=setMedium,"Medium","Small"))</f>
        <v>Small</v>
      </c>
      <c r="V224" s="41" t="str">
        <f aca="false">IF(P224&gt;=setExc,"Excellent",IF(P224&gt;=setGood,"Good",IF(P224&gt;=setAvg,"Average","Poor")))</f>
        <v>Excellent</v>
      </c>
    </row>
    <row r="225" customFormat="false" ht="15" hidden="false" customHeight="false" outlineLevel="0" collapsed="false">
      <c r="A225" s="41" t="s">
        <v>403</v>
      </c>
      <c r="B225" s="41" t="s">
        <v>180</v>
      </c>
      <c r="C225" s="41" t="s">
        <v>87</v>
      </c>
      <c r="D225" s="41" t="s">
        <v>104</v>
      </c>
      <c r="E225" s="41" t="s">
        <v>102</v>
      </c>
      <c r="F225" s="41" t="s">
        <v>79</v>
      </c>
      <c r="G225" s="42" t="n">
        <v>12.54</v>
      </c>
      <c r="H225" s="41" t="n">
        <v>1</v>
      </c>
      <c r="I225" s="42" t="n">
        <v>0.627</v>
      </c>
      <c r="J225" s="42" t="n">
        <v>13.167</v>
      </c>
      <c r="K225" s="43" t="n">
        <v>43517</v>
      </c>
      <c r="L225" s="44" t="n">
        <v>0.526388888888889</v>
      </c>
      <c r="M225" s="41" t="s">
        <v>97</v>
      </c>
      <c r="N225" s="42" t="n">
        <v>12.54</v>
      </c>
      <c r="O225" s="42" t="n">
        <v>0.627</v>
      </c>
      <c r="P225" s="45" t="n">
        <v>8.2</v>
      </c>
      <c r="Q225" s="41" t="str">
        <f aca="false">CHOOSE(MONTH(K225),"Jan","Feb","Mar","Apr","May","Jun","Jul","Aug","Sep","Oct","Nov","Dec")</f>
        <v>Feb</v>
      </c>
      <c r="R225" s="41" t="n">
        <f aca="false">INT((K225-setMinDate)/7)+1</f>
        <v>8</v>
      </c>
      <c r="S225" s="41" t="n">
        <f aca="false">HOUR(L225)</f>
        <v>12</v>
      </c>
      <c r="T225" s="41" t="str">
        <f aca="false">IF(S225&lt;setMorningEnd,"Morning",IF(S225&lt;setAfternoonEnd,"Afternoon","Evening"))</f>
        <v>Afternoon</v>
      </c>
      <c r="U225" s="41" t="str">
        <f aca="false">IF(J225&gt;=setLarge,"Large",IF(J225&gt;=setMedium,"Medium","Small"))</f>
        <v>Small</v>
      </c>
      <c r="V225" s="41" t="str">
        <f aca="false">IF(P225&gt;=setExc,"Excellent",IF(P225&gt;=setGood,"Good",IF(P225&gt;=setAvg,"Average","Poor")))</f>
        <v>Good</v>
      </c>
    </row>
    <row r="226" customFormat="false" ht="15" hidden="false" customHeight="false" outlineLevel="0" collapsed="false">
      <c r="A226" s="41" t="s">
        <v>404</v>
      </c>
      <c r="B226" s="41" t="s">
        <v>178</v>
      </c>
      <c r="C226" s="41" t="s">
        <v>85</v>
      </c>
      <c r="D226" s="41" t="s">
        <v>105</v>
      </c>
      <c r="E226" s="41" t="s">
        <v>103</v>
      </c>
      <c r="F226" s="41" t="s">
        <v>76</v>
      </c>
      <c r="G226" s="42" t="n">
        <v>43.25</v>
      </c>
      <c r="H226" s="41" t="n">
        <v>2</v>
      </c>
      <c r="I226" s="42" t="n">
        <v>4.325</v>
      </c>
      <c r="J226" s="42" t="n">
        <v>90.825</v>
      </c>
      <c r="K226" s="43" t="n">
        <v>43544</v>
      </c>
      <c r="L226" s="44" t="n">
        <v>0.663888888888889</v>
      </c>
      <c r="M226" s="41" t="s">
        <v>97</v>
      </c>
      <c r="N226" s="42" t="n">
        <v>86.5</v>
      </c>
      <c r="O226" s="42" t="n">
        <v>4.325</v>
      </c>
      <c r="P226" s="45" t="n">
        <v>6.2</v>
      </c>
      <c r="Q226" s="41" t="str">
        <f aca="false">CHOOSE(MONTH(K226),"Jan","Feb","Mar","Apr","May","Jun","Jul","Aug","Sep","Oct","Nov","Dec")</f>
        <v>Mar</v>
      </c>
      <c r="R226" s="41" t="n">
        <f aca="false">INT((K226-setMinDate)/7)+1</f>
        <v>12</v>
      </c>
      <c r="S226" s="41" t="n">
        <f aca="false">HOUR(L226)</f>
        <v>15</v>
      </c>
      <c r="T226" s="41" t="str">
        <f aca="false">IF(S226&lt;setMorningEnd,"Morning",IF(S226&lt;setAfternoonEnd,"Afternoon","Evening"))</f>
        <v>Afternoon</v>
      </c>
      <c r="U226" s="41" t="str">
        <f aca="false">IF(J226&gt;=setLarge,"Large",IF(J226&gt;=setMedium,"Medium","Small"))</f>
        <v>Small</v>
      </c>
      <c r="V226" s="41" t="str">
        <f aca="false">IF(P226&gt;=setExc,"Excellent",IF(P226&gt;=setGood,"Good",IF(P226&gt;=setAvg,"Average","Poor")))</f>
        <v>Average</v>
      </c>
    </row>
    <row r="227" customFormat="false" ht="15" hidden="false" customHeight="false" outlineLevel="0" collapsed="false">
      <c r="A227" s="41" t="s">
        <v>405</v>
      </c>
      <c r="B227" s="41" t="s">
        <v>180</v>
      </c>
      <c r="C227" s="41" t="s">
        <v>87</v>
      </c>
      <c r="D227" s="41" t="s">
        <v>104</v>
      </c>
      <c r="E227" s="41" t="s">
        <v>102</v>
      </c>
      <c r="F227" s="41" t="s">
        <v>77</v>
      </c>
      <c r="G227" s="42" t="n">
        <v>87.16</v>
      </c>
      <c r="H227" s="41" t="n">
        <v>2</v>
      </c>
      <c r="I227" s="42" t="n">
        <v>8.716</v>
      </c>
      <c r="J227" s="42" t="n">
        <v>183.036</v>
      </c>
      <c r="K227" s="43" t="n">
        <v>43476</v>
      </c>
      <c r="L227" s="44" t="n">
        <v>0.603472222222222</v>
      </c>
      <c r="M227" s="41" t="s">
        <v>99</v>
      </c>
      <c r="N227" s="42" t="n">
        <v>174.32</v>
      </c>
      <c r="O227" s="42" t="n">
        <v>8.716</v>
      </c>
      <c r="P227" s="45" t="n">
        <v>9.7</v>
      </c>
      <c r="Q227" s="41" t="str">
        <f aca="false">CHOOSE(MONTH(K227),"Jan","Feb","Mar","Apr","May","Jun","Jul","Aug","Sep","Oct","Nov","Dec")</f>
        <v>Jan</v>
      </c>
      <c r="R227" s="41" t="n">
        <f aca="false">INT((K227-setMinDate)/7)+1</f>
        <v>2</v>
      </c>
      <c r="S227" s="41" t="n">
        <f aca="false">HOUR(L227)</f>
        <v>14</v>
      </c>
      <c r="T227" s="41" t="str">
        <f aca="false">IF(S227&lt;setMorningEnd,"Morning",IF(S227&lt;setAfternoonEnd,"Afternoon","Evening"))</f>
        <v>Afternoon</v>
      </c>
      <c r="U227" s="41" t="str">
        <f aca="false">IF(J227&gt;=setLarge,"Large",IF(J227&gt;=setMedium,"Medium","Small"))</f>
        <v>Small</v>
      </c>
      <c r="V227" s="41" t="str">
        <f aca="false">IF(P227&gt;=setExc,"Excellent",IF(P227&gt;=setGood,"Good",IF(P227&gt;=setAvg,"Average","Poor")))</f>
        <v>Excellent</v>
      </c>
    </row>
    <row r="228" customFormat="false" ht="15" hidden="false" customHeight="false" outlineLevel="0" collapsed="false">
      <c r="A228" s="41" t="s">
        <v>406</v>
      </c>
      <c r="B228" s="41" t="s">
        <v>189</v>
      </c>
      <c r="C228" s="41" t="s">
        <v>86</v>
      </c>
      <c r="D228" s="41" t="s">
        <v>104</v>
      </c>
      <c r="E228" s="41" t="s">
        <v>103</v>
      </c>
      <c r="F228" s="41" t="s">
        <v>81</v>
      </c>
      <c r="G228" s="42" t="n">
        <v>69.37</v>
      </c>
      <c r="H228" s="41" t="n">
        <v>9</v>
      </c>
      <c r="I228" s="42" t="n">
        <v>31.2165</v>
      </c>
      <c r="J228" s="42" t="n">
        <v>655.5465</v>
      </c>
      <c r="K228" s="43" t="n">
        <v>43491</v>
      </c>
      <c r="L228" s="44" t="n">
        <v>0.801388888888889</v>
      </c>
      <c r="M228" s="41" t="s">
        <v>98</v>
      </c>
      <c r="N228" s="42" t="n">
        <v>624.33</v>
      </c>
      <c r="O228" s="42" t="n">
        <v>31.2165</v>
      </c>
      <c r="P228" s="45" t="n">
        <v>4</v>
      </c>
      <c r="Q228" s="41" t="str">
        <f aca="false">CHOOSE(MONTH(K228),"Jan","Feb","Mar","Apr","May","Jun","Jul","Aug","Sep","Oct","Nov","Dec")</f>
        <v>Jan</v>
      </c>
      <c r="R228" s="41" t="n">
        <f aca="false">INT((K228-setMinDate)/7)+1</f>
        <v>4</v>
      </c>
      <c r="S228" s="41" t="n">
        <f aca="false">HOUR(L228)</f>
        <v>19</v>
      </c>
      <c r="T228" s="41" t="str">
        <f aca="false">IF(S228&lt;setMorningEnd,"Morning",IF(S228&lt;setAfternoonEnd,"Afternoon","Evening"))</f>
        <v>Evening</v>
      </c>
      <c r="U228" s="41" t="str">
        <f aca="false">IF(J228&gt;=setLarge,"Large",IF(J228&gt;=setMedium,"Medium","Small"))</f>
        <v>Large</v>
      </c>
      <c r="V228" s="41" t="str">
        <f aca="false">IF(P228&gt;=setExc,"Excellent",IF(P228&gt;=setGood,"Good",IF(P228&gt;=setAvg,"Average","Poor")))</f>
        <v>Poor</v>
      </c>
    </row>
    <row r="229" customFormat="false" ht="15" hidden="false" customHeight="false" outlineLevel="0" collapsed="false">
      <c r="A229" s="41" t="s">
        <v>407</v>
      </c>
      <c r="B229" s="41" t="s">
        <v>180</v>
      </c>
      <c r="C229" s="41" t="s">
        <v>87</v>
      </c>
      <c r="D229" s="41" t="s">
        <v>104</v>
      </c>
      <c r="E229" s="41" t="s">
        <v>103</v>
      </c>
      <c r="F229" s="41" t="s">
        <v>78</v>
      </c>
      <c r="G229" s="42" t="n">
        <v>37.06</v>
      </c>
      <c r="H229" s="41" t="n">
        <v>4</v>
      </c>
      <c r="I229" s="42" t="n">
        <v>7.412</v>
      </c>
      <c r="J229" s="42" t="n">
        <v>155.652</v>
      </c>
      <c r="K229" s="43" t="n">
        <v>43496</v>
      </c>
      <c r="L229" s="44" t="n">
        <v>0.683333333333333</v>
      </c>
      <c r="M229" s="41" t="s">
        <v>98</v>
      </c>
      <c r="N229" s="42" t="n">
        <v>148.24</v>
      </c>
      <c r="O229" s="42" t="n">
        <v>7.412</v>
      </c>
      <c r="P229" s="45" t="n">
        <v>9.7</v>
      </c>
      <c r="Q229" s="41" t="str">
        <f aca="false">CHOOSE(MONTH(K229),"Jan","Feb","Mar","Apr","May","Jun","Jul","Aug","Sep","Oct","Nov","Dec")</f>
        <v>Jan</v>
      </c>
      <c r="R229" s="41" t="n">
        <f aca="false">INT((K229-setMinDate)/7)+1</f>
        <v>5</v>
      </c>
      <c r="S229" s="41" t="n">
        <f aca="false">HOUR(L229)</f>
        <v>16</v>
      </c>
      <c r="T229" s="41" t="str">
        <f aca="false">IF(S229&lt;setMorningEnd,"Morning",IF(S229&lt;setAfternoonEnd,"Afternoon","Evening"))</f>
        <v>Afternoon</v>
      </c>
      <c r="U229" s="41" t="str">
        <f aca="false">IF(J229&gt;=setLarge,"Large",IF(J229&gt;=setMedium,"Medium","Small"))</f>
        <v>Small</v>
      </c>
      <c r="V229" s="41" t="str">
        <f aca="false">IF(P229&gt;=setExc,"Excellent",IF(P229&gt;=setGood,"Good",IF(P229&gt;=setAvg,"Average","Poor")))</f>
        <v>Excellent</v>
      </c>
    </row>
    <row r="230" customFormat="false" ht="15" hidden="false" customHeight="false" outlineLevel="0" collapsed="false">
      <c r="A230" s="41" t="s">
        <v>408</v>
      </c>
      <c r="B230" s="41" t="s">
        <v>189</v>
      </c>
      <c r="C230" s="41" t="s">
        <v>86</v>
      </c>
      <c r="D230" s="41" t="s">
        <v>104</v>
      </c>
      <c r="E230" s="41" t="s">
        <v>102</v>
      </c>
      <c r="F230" s="41" t="s">
        <v>78</v>
      </c>
      <c r="G230" s="42" t="n">
        <v>90.7</v>
      </c>
      <c r="H230" s="41" t="n">
        <v>6</v>
      </c>
      <c r="I230" s="42" t="n">
        <v>27.21</v>
      </c>
      <c r="J230" s="42" t="n">
        <v>571.41</v>
      </c>
      <c r="K230" s="43" t="n">
        <v>43522</v>
      </c>
      <c r="L230" s="44" t="n">
        <v>0.452777777777778</v>
      </c>
      <c r="M230" s="41" t="s">
        <v>97</v>
      </c>
      <c r="N230" s="42" t="n">
        <v>544.2</v>
      </c>
      <c r="O230" s="42" t="n">
        <v>27.21</v>
      </c>
      <c r="P230" s="45" t="n">
        <v>5.3</v>
      </c>
      <c r="Q230" s="41" t="str">
        <f aca="false">CHOOSE(MONTH(K230),"Jan","Feb","Mar","Apr","May","Jun","Jul","Aug","Sep","Oct","Nov","Dec")</f>
        <v>Feb</v>
      </c>
      <c r="R230" s="41" t="n">
        <f aca="false">INT((K230-setMinDate)/7)+1</f>
        <v>9</v>
      </c>
      <c r="S230" s="41" t="n">
        <f aca="false">HOUR(L230)</f>
        <v>10</v>
      </c>
      <c r="T230" s="41" t="str">
        <f aca="false">IF(S230&lt;setMorningEnd,"Morning",IF(S230&lt;setAfternoonEnd,"Afternoon","Evening"))</f>
        <v>Morning</v>
      </c>
      <c r="U230" s="41" t="str">
        <f aca="false">IF(J230&gt;=setLarge,"Large",IF(J230&gt;=setMedium,"Medium","Small"))</f>
        <v>Medium</v>
      </c>
      <c r="V230" s="41" t="str">
        <f aca="false">IF(P230&gt;=setExc,"Excellent",IF(P230&gt;=setGood,"Good",IF(P230&gt;=setAvg,"Average","Poor")))</f>
        <v>Average</v>
      </c>
    </row>
    <row r="231" customFormat="false" ht="15" hidden="false" customHeight="false" outlineLevel="0" collapsed="false">
      <c r="A231" s="41" t="s">
        <v>409</v>
      </c>
      <c r="B231" s="41" t="s">
        <v>178</v>
      </c>
      <c r="C231" s="41" t="s">
        <v>85</v>
      </c>
      <c r="D231" s="41" t="s">
        <v>105</v>
      </c>
      <c r="E231" s="41" t="s">
        <v>102</v>
      </c>
      <c r="F231" s="41" t="s">
        <v>80</v>
      </c>
      <c r="G231" s="42" t="n">
        <v>63.42</v>
      </c>
      <c r="H231" s="41" t="n">
        <v>8</v>
      </c>
      <c r="I231" s="42" t="n">
        <v>25.368</v>
      </c>
      <c r="J231" s="42" t="n">
        <v>532.728</v>
      </c>
      <c r="K231" s="43" t="n">
        <v>43535</v>
      </c>
      <c r="L231" s="44" t="n">
        <v>0.538194444444444</v>
      </c>
      <c r="M231" s="41" t="s">
        <v>98</v>
      </c>
      <c r="N231" s="42" t="n">
        <v>507.36</v>
      </c>
      <c r="O231" s="42" t="n">
        <v>25.368</v>
      </c>
      <c r="P231" s="45" t="n">
        <v>7.4</v>
      </c>
      <c r="Q231" s="41" t="str">
        <f aca="false">CHOOSE(MONTH(K231),"Jan","Feb","Mar","Apr","May","Jun","Jul","Aug","Sep","Oct","Nov","Dec")</f>
        <v>Mar</v>
      </c>
      <c r="R231" s="41" t="n">
        <f aca="false">INT((K231-setMinDate)/7)+1</f>
        <v>10</v>
      </c>
      <c r="S231" s="41" t="n">
        <f aca="false">HOUR(L231)</f>
        <v>12</v>
      </c>
      <c r="T231" s="41" t="str">
        <f aca="false">IF(S231&lt;setMorningEnd,"Morning",IF(S231&lt;setAfternoonEnd,"Afternoon","Evening"))</f>
        <v>Afternoon</v>
      </c>
      <c r="U231" s="41" t="str">
        <f aca="false">IF(J231&gt;=setLarge,"Large",IF(J231&gt;=setMedium,"Medium","Small"))</f>
        <v>Medium</v>
      </c>
      <c r="V231" s="41" t="str">
        <f aca="false">IF(P231&gt;=setExc,"Excellent",IF(P231&gt;=setGood,"Good",IF(P231&gt;=setAvg,"Average","Poor")))</f>
        <v>Good</v>
      </c>
    </row>
    <row r="232" customFormat="false" ht="15" hidden="false" customHeight="false" outlineLevel="0" collapsed="false">
      <c r="A232" s="41" t="s">
        <v>410</v>
      </c>
      <c r="B232" s="41" t="s">
        <v>189</v>
      </c>
      <c r="C232" s="41" t="s">
        <v>86</v>
      </c>
      <c r="D232" s="41" t="s">
        <v>105</v>
      </c>
      <c r="E232" s="41" t="s">
        <v>102</v>
      </c>
      <c r="F232" s="41" t="s">
        <v>79</v>
      </c>
      <c r="G232" s="42" t="n">
        <v>81.37</v>
      </c>
      <c r="H232" s="41" t="n">
        <v>2</v>
      </c>
      <c r="I232" s="42" t="n">
        <v>8.137</v>
      </c>
      <c r="J232" s="42" t="n">
        <v>170.877</v>
      </c>
      <c r="K232" s="43" t="n">
        <v>43491</v>
      </c>
      <c r="L232" s="44" t="n">
        <v>0.811111111111111</v>
      </c>
      <c r="M232" s="41" t="s">
        <v>97</v>
      </c>
      <c r="N232" s="42" t="n">
        <v>162.74</v>
      </c>
      <c r="O232" s="42" t="n">
        <v>8.137</v>
      </c>
      <c r="P232" s="45" t="n">
        <v>6.5</v>
      </c>
      <c r="Q232" s="41" t="str">
        <f aca="false">CHOOSE(MONTH(K232),"Jan","Feb","Mar","Apr","May","Jun","Jul","Aug","Sep","Oct","Nov","Dec")</f>
        <v>Jan</v>
      </c>
      <c r="R232" s="41" t="n">
        <f aca="false">INT((K232-setMinDate)/7)+1</f>
        <v>4</v>
      </c>
      <c r="S232" s="41" t="n">
        <f aca="false">HOUR(L232)</f>
        <v>19</v>
      </c>
      <c r="T232" s="41" t="str">
        <f aca="false">IF(S232&lt;setMorningEnd,"Morning",IF(S232&lt;setAfternoonEnd,"Afternoon","Evening"))</f>
        <v>Evening</v>
      </c>
      <c r="U232" s="41" t="str">
        <f aca="false">IF(J232&gt;=setLarge,"Large",IF(J232&gt;=setMedium,"Medium","Small"))</f>
        <v>Small</v>
      </c>
      <c r="V232" s="41" t="str">
        <f aca="false">IF(P232&gt;=setExc,"Excellent",IF(P232&gt;=setGood,"Good",IF(P232&gt;=setAvg,"Average","Poor")))</f>
        <v>Average</v>
      </c>
    </row>
    <row r="233" customFormat="false" ht="15" hidden="false" customHeight="false" outlineLevel="0" collapsed="false">
      <c r="A233" s="41" t="s">
        <v>411</v>
      </c>
      <c r="B233" s="41" t="s">
        <v>189</v>
      </c>
      <c r="C233" s="41" t="s">
        <v>86</v>
      </c>
      <c r="D233" s="41" t="s">
        <v>104</v>
      </c>
      <c r="E233" s="41" t="s">
        <v>102</v>
      </c>
      <c r="F233" s="41" t="s">
        <v>78</v>
      </c>
      <c r="G233" s="42" t="n">
        <v>10.59</v>
      </c>
      <c r="H233" s="41" t="n">
        <v>3</v>
      </c>
      <c r="I233" s="42" t="n">
        <v>1.5885</v>
      </c>
      <c r="J233" s="42" t="n">
        <v>33.3585</v>
      </c>
      <c r="K233" s="43" t="n">
        <v>43536</v>
      </c>
      <c r="L233" s="44" t="n">
        <v>0.577777777777778</v>
      </c>
      <c r="M233" s="41" t="s">
        <v>99</v>
      </c>
      <c r="N233" s="42" t="n">
        <v>31.77</v>
      </c>
      <c r="O233" s="42" t="n">
        <v>1.5885</v>
      </c>
      <c r="P233" s="45" t="n">
        <v>8.7</v>
      </c>
      <c r="Q233" s="41" t="str">
        <f aca="false">CHOOSE(MONTH(K233),"Jan","Feb","Mar","Apr","May","Jun","Jul","Aug","Sep","Oct","Nov","Dec")</f>
        <v>Mar</v>
      </c>
      <c r="R233" s="41" t="n">
        <f aca="false">INT((K233-setMinDate)/7)+1</f>
        <v>11</v>
      </c>
      <c r="S233" s="41" t="n">
        <f aca="false">HOUR(L233)</f>
        <v>13</v>
      </c>
      <c r="T233" s="41" t="str">
        <f aca="false">IF(S233&lt;setMorningEnd,"Morning",IF(S233&lt;setAfternoonEnd,"Afternoon","Evening"))</f>
        <v>Afternoon</v>
      </c>
      <c r="U233" s="41" t="str">
        <f aca="false">IF(J233&gt;=setLarge,"Large",IF(J233&gt;=setMedium,"Medium","Small"))</f>
        <v>Small</v>
      </c>
      <c r="V233" s="41" t="str">
        <f aca="false">IF(P233&gt;=setExc,"Excellent",IF(P233&gt;=setGood,"Good",IF(P233&gt;=setAvg,"Average","Poor")))</f>
        <v>Good</v>
      </c>
    </row>
    <row r="234" customFormat="false" ht="15" hidden="false" customHeight="false" outlineLevel="0" collapsed="false">
      <c r="A234" s="41" t="s">
        <v>412</v>
      </c>
      <c r="B234" s="41" t="s">
        <v>189</v>
      </c>
      <c r="C234" s="41" t="s">
        <v>86</v>
      </c>
      <c r="D234" s="41" t="s">
        <v>105</v>
      </c>
      <c r="E234" s="41" t="s">
        <v>102</v>
      </c>
      <c r="F234" s="41" t="s">
        <v>81</v>
      </c>
      <c r="G234" s="42" t="n">
        <v>84.09</v>
      </c>
      <c r="H234" s="41" t="n">
        <v>9</v>
      </c>
      <c r="I234" s="42" t="n">
        <v>37.8405</v>
      </c>
      <c r="J234" s="42" t="n">
        <v>794.6505</v>
      </c>
      <c r="K234" s="43" t="n">
        <v>43507</v>
      </c>
      <c r="L234" s="44" t="n">
        <v>0.454166666666667</v>
      </c>
      <c r="M234" s="41" t="s">
        <v>97</v>
      </c>
      <c r="N234" s="42" t="n">
        <v>756.81</v>
      </c>
      <c r="O234" s="42" t="n">
        <v>37.8405</v>
      </c>
      <c r="P234" s="45" t="n">
        <v>8</v>
      </c>
      <c r="Q234" s="41" t="str">
        <f aca="false">CHOOSE(MONTH(K234),"Jan","Feb","Mar","Apr","May","Jun","Jul","Aug","Sep","Oct","Nov","Dec")</f>
        <v>Feb</v>
      </c>
      <c r="R234" s="41" t="n">
        <f aca="false">INT((K234-setMinDate)/7)+1</f>
        <v>6</v>
      </c>
      <c r="S234" s="41" t="n">
        <f aca="false">HOUR(L234)</f>
        <v>10</v>
      </c>
      <c r="T234" s="41" t="str">
        <f aca="false">IF(S234&lt;setMorningEnd,"Morning",IF(S234&lt;setAfternoonEnd,"Afternoon","Evening"))</f>
        <v>Morning</v>
      </c>
      <c r="U234" s="41" t="str">
        <f aca="false">IF(J234&gt;=setLarge,"Large",IF(J234&gt;=setMedium,"Medium","Small"))</f>
        <v>Large</v>
      </c>
      <c r="V234" s="41" t="str">
        <f aca="false">IF(P234&gt;=setExc,"Excellent",IF(P234&gt;=setGood,"Good",IF(P234&gt;=setAvg,"Average","Poor")))</f>
        <v>Good</v>
      </c>
    </row>
    <row r="235" customFormat="false" ht="15" hidden="false" customHeight="false" outlineLevel="0" collapsed="false">
      <c r="A235" s="41" t="s">
        <v>413</v>
      </c>
      <c r="B235" s="41" t="s">
        <v>189</v>
      </c>
      <c r="C235" s="41" t="s">
        <v>86</v>
      </c>
      <c r="D235" s="41" t="s">
        <v>104</v>
      </c>
      <c r="E235" s="41" t="s">
        <v>103</v>
      </c>
      <c r="F235" s="41" t="s">
        <v>79</v>
      </c>
      <c r="G235" s="42" t="n">
        <v>73.82</v>
      </c>
      <c r="H235" s="41" t="n">
        <v>4</v>
      </c>
      <c r="I235" s="42" t="n">
        <v>14.764</v>
      </c>
      <c r="J235" s="42" t="n">
        <v>310.044</v>
      </c>
      <c r="K235" s="43" t="n">
        <v>43517</v>
      </c>
      <c r="L235" s="44" t="n">
        <v>0.771527777777778</v>
      </c>
      <c r="M235" s="41" t="s">
        <v>97</v>
      </c>
      <c r="N235" s="42" t="n">
        <v>295.28</v>
      </c>
      <c r="O235" s="42" t="n">
        <v>14.764</v>
      </c>
      <c r="P235" s="45" t="n">
        <v>6.7</v>
      </c>
      <c r="Q235" s="41" t="str">
        <f aca="false">CHOOSE(MONTH(K235),"Jan","Feb","Mar","Apr","May","Jun","Jul","Aug","Sep","Oct","Nov","Dec")</f>
        <v>Feb</v>
      </c>
      <c r="R235" s="41" t="n">
        <f aca="false">INT((K235-setMinDate)/7)+1</f>
        <v>8</v>
      </c>
      <c r="S235" s="41" t="n">
        <f aca="false">HOUR(L235)</f>
        <v>18</v>
      </c>
      <c r="T235" s="41" t="str">
        <f aca="false">IF(S235&lt;setMorningEnd,"Morning",IF(S235&lt;setAfternoonEnd,"Afternoon","Evening"))</f>
        <v>Evening</v>
      </c>
      <c r="U235" s="41" t="str">
        <f aca="false">IF(J235&gt;=setLarge,"Large",IF(J235&gt;=setMedium,"Medium","Small"))</f>
        <v>Medium</v>
      </c>
      <c r="V235" s="41" t="str">
        <f aca="false">IF(P235&gt;=setExc,"Excellent",IF(P235&gt;=setGood,"Good",IF(P235&gt;=setAvg,"Average","Poor")))</f>
        <v>Average</v>
      </c>
    </row>
    <row r="236" customFormat="false" ht="15" hidden="false" customHeight="false" outlineLevel="0" collapsed="false">
      <c r="A236" s="41" t="s">
        <v>414</v>
      </c>
      <c r="B236" s="41" t="s">
        <v>178</v>
      </c>
      <c r="C236" s="41" t="s">
        <v>85</v>
      </c>
      <c r="D236" s="41" t="s">
        <v>104</v>
      </c>
      <c r="E236" s="41" t="s">
        <v>103</v>
      </c>
      <c r="F236" s="41" t="s">
        <v>81</v>
      </c>
      <c r="G236" s="42" t="n">
        <v>51.94</v>
      </c>
      <c r="H236" s="41" t="n">
        <v>10</v>
      </c>
      <c r="I236" s="42" t="n">
        <v>25.97</v>
      </c>
      <c r="J236" s="42" t="n">
        <v>545.37</v>
      </c>
      <c r="K236" s="43" t="n">
        <v>43533</v>
      </c>
      <c r="L236" s="44" t="n">
        <v>0.766666666666667</v>
      </c>
      <c r="M236" s="41" t="s">
        <v>98</v>
      </c>
      <c r="N236" s="42" t="n">
        <v>519.4</v>
      </c>
      <c r="O236" s="42" t="n">
        <v>25.97</v>
      </c>
      <c r="P236" s="45" t="n">
        <v>6.5</v>
      </c>
      <c r="Q236" s="41" t="str">
        <f aca="false">CHOOSE(MONTH(K236),"Jan","Feb","Mar","Apr","May","Jun","Jul","Aug","Sep","Oct","Nov","Dec")</f>
        <v>Mar</v>
      </c>
      <c r="R236" s="41" t="n">
        <f aca="false">INT((K236-setMinDate)/7)+1</f>
        <v>10</v>
      </c>
      <c r="S236" s="41" t="n">
        <f aca="false">HOUR(L236)</f>
        <v>18</v>
      </c>
      <c r="T236" s="41" t="str">
        <f aca="false">IF(S236&lt;setMorningEnd,"Morning",IF(S236&lt;setAfternoonEnd,"Afternoon","Evening"))</f>
        <v>Evening</v>
      </c>
      <c r="U236" s="41" t="str">
        <f aca="false">IF(J236&gt;=setLarge,"Large",IF(J236&gt;=setMedium,"Medium","Small"))</f>
        <v>Medium</v>
      </c>
      <c r="V236" s="41" t="str">
        <f aca="false">IF(P236&gt;=setExc,"Excellent",IF(P236&gt;=setGood,"Good",IF(P236&gt;=setAvg,"Average","Poor")))</f>
        <v>Average</v>
      </c>
    </row>
    <row r="237" customFormat="false" ht="15" hidden="false" customHeight="false" outlineLevel="0" collapsed="false">
      <c r="A237" s="41" t="s">
        <v>415</v>
      </c>
      <c r="B237" s="41" t="s">
        <v>178</v>
      </c>
      <c r="C237" s="41" t="s">
        <v>85</v>
      </c>
      <c r="D237" s="41" t="s">
        <v>105</v>
      </c>
      <c r="E237" s="41" t="s">
        <v>102</v>
      </c>
      <c r="F237" s="41" t="s">
        <v>77</v>
      </c>
      <c r="G237" s="42" t="n">
        <v>93.14</v>
      </c>
      <c r="H237" s="41" t="n">
        <v>2</v>
      </c>
      <c r="I237" s="42" t="n">
        <v>9.314</v>
      </c>
      <c r="J237" s="42" t="n">
        <v>195.594</v>
      </c>
      <c r="K237" s="43" t="n">
        <v>43485</v>
      </c>
      <c r="L237" s="44" t="n">
        <v>0.75625</v>
      </c>
      <c r="M237" s="41" t="s">
        <v>98</v>
      </c>
      <c r="N237" s="42" t="n">
        <v>186.28</v>
      </c>
      <c r="O237" s="42" t="n">
        <v>9.314</v>
      </c>
      <c r="P237" s="45" t="n">
        <v>4.1</v>
      </c>
      <c r="Q237" s="41" t="str">
        <f aca="false">CHOOSE(MONTH(K237),"Jan","Feb","Mar","Apr","May","Jun","Jul","Aug","Sep","Oct","Nov","Dec")</f>
        <v>Jan</v>
      </c>
      <c r="R237" s="41" t="n">
        <f aca="false">INT((K237-setMinDate)/7)+1</f>
        <v>3</v>
      </c>
      <c r="S237" s="41" t="n">
        <f aca="false">HOUR(L237)</f>
        <v>18</v>
      </c>
      <c r="T237" s="41" t="str">
        <f aca="false">IF(S237&lt;setMorningEnd,"Morning",IF(S237&lt;setAfternoonEnd,"Afternoon","Evening"))</f>
        <v>Evening</v>
      </c>
      <c r="U237" s="41" t="str">
        <f aca="false">IF(J237&gt;=setLarge,"Large",IF(J237&gt;=setMedium,"Medium","Small"))</f>
        <v>Small</v>
      </c>
      <c r="V237" s="41" t="str">
        <f aca="false">IF(P237&gt;=setExc,"Excellent",IF(P237&gt;=setGood,"Good",IF(P237&gt;=setAvg,"Average","Poor")))</f>
        <v>Poor</v>
      </c>
    </row>
    <row r="238" customFormat="false" ht="15" hidden="false" customHeight="false" outlineLevel="0" collapsed="false">
      <c r="A238" s="41" t="s">
        <v>416</v>
      </c>
      <c r="B238" s="41" t="s">
        <v>180</v>
      </c>
      <c r="C238" s="41" t="s">
        <v>87</v>
      </c>
      <c r="D238" s="41" t="s">
        <v>105</v>
      </c>
      <c r="E238" s="41" t="s">
        <v>103</v>
      </c>
      <c r="F238" s="41" t="s">
        <v>81</v>
      </c>
      <c r="G238" s="42" t="n">
        <v>17.41</v>
      </c>
      <c r="H238" s="41" t="n">
        <v>5</v>
      </c>
      <c r="I238" s="42" t="n">
        <v>4.3525</v>
      </c>
      <c r="J238" s="42" t="n">
        <v>91.4025</v>
      </c>
      <c r="K238" s="43" t="n">
        <v>43493</v>
      </c>
      <c r="L238" s="44" t="n">
        <v>0.636111111111111</v>
      </c>
      <c r="M238" s="41" t="s">
        <v>99</v>
      </c>
      <c r="N238" s="42" t="n">
        <v>87.05</v>
      </c>
      <c r="O238" s="42" t="n">
        <v>4.3525</v>
      </c>
      <c r="P238" s="45" t="n">
        <v>4.9</v>
      </c>
      <c r="Q238" s="41" t="str">
        <f aca="false">CHOOSE(MONTH(K238),"Jan","Feb","Mar","Apr","May","Jun","Jul","Aug","Sep","Oct","Nov","Dec")</f>
        <v>Jan</v>
      </c>
      <c r="R238" s="41" t="n">
        <f aca="false">INT((K238-setMinDate)/7)+1</f>
        <v>4</v>
      </c>
      <c r="S238" s="41" t="n">
        <f aca="false">HOUR(L238)</f>
        <v>15</v>
      </c>
      <c r="T238" s="41" t="str">
        <f aca="false">IF(S238&lt;setMorningEnd,"Morning",IF(S238&lt;setAfternoonEnd,"Afternoon","Evening"))</f>
        <v>Afternoon</v>
      </c>
      <c r="U238" s="41" t="str">
        <f aca="false">IF(J238&gt;=setLarge,"Large",IF(J238&gt;=setMedium,"Medium","Small"))</f>
        <v>Small</v>
      </c>
      <c r="V238" s="41" t="str">
        <f aca="false">IF(P238&gt;=setExc,"Excellent",IF(P238&gt;=setGood,"Good",IF(P238&gt;=setAvg,"Average","Poor")))</f>
        <v>Poor</v>
      </c>
    </row>
    <row r="239" customFormat="false" ht="15" hidden="false" customHeight="false" outlineLevel="0" collapsed="false">
      <c r="A239" s="41" t="s">
        <v>417</v>
      </c>
      <c r="B239" s="41" t="s">
        <v>180</v>
      </c>
      <c r="C239" s="41" t="s">
        <v>87</v>
      </c>
      <c r="D239" s="41" t="s">
        <v>104</v>
      </c>
      <c r="E239" s="41" t="s">
        <v>102</v>
      </c>
      <c r="F239" s="41" t="s">
        <v>79</v>
      </c>
      <c r="G239" s="42" t="n">
        <v>44.22</v>
      </c>
      <c r="H239" s="41" t="n">
        <v>5</v>
      </c>
      <c r="I239" s="42" t="n">
        <v>11.055</v>
      </c>
      <c r="J239" s="42" t="n">
        <v>232.155</v>
      </c>
      <c r="K239" s="43" t="n">
        <v>43529</v>
      </c>
      <c r="L239" s="44" t="n">
        <v>0.713194444444445</v>
      </c>
      <c r="M239" s="41" t="s">
        <v>99</v>
      </c>
      <c r="N239" s="42" t="n">
        <v>221.1</v>
      </c>
      <c r="O239" s="42" t="n">
        <v>11.055</v>
      </c>
      <c r="P239" s="45" t="n">
        <v>8.6</v>
      </c>
      <c r="Q239" s="41" t="str">
        <f aca="false">CHOOSE(MONTH(K239),"Jan","Feb","Mar","Apr","May","Jun","Jul","Aug","Sep","Oct","Nov","Dec")</f>
        <v>Mar</v>
      </c>
      <c r="R239" s="41" t="n">
        <f aca="false">INT((K239-setMinDate)/7)+1</f>
        <v>10</v>
      </c>
      <c r="S239" s="41" t="n">
        <f aca="false">HOUR(L239)</f>
        <v>17</v>
      </c>
      <c r="T239" s="41" t="str">
        <f aca="false">IF(S239&lt;setMorningEnd,"Morning",IF(S239&lt;setAfternoonEnd,"Afternoon","Evening"))</f>
        <v>Evening</v>
      </c>
      <c r="U239" s="41" t="str">
        <f aca="false">IF(J239&gt;=setLarge,"Large",IF(J239&gt;=setMedium,"Medium","Small"))</f>
        <v>Small</v>
      </c>
      <c r="V239" s="41" t="str">
        <f aca="false">IF(P239&gt;=setExc,"Excellent",IF(P239&gt;=setGood,"Good",IF(P239&gt;=setAvg,"Average","Poor")))</f>
        <v>Good</v>
      </c>
    </row>
    <row r="240" customFormat="false" ht="15" hidden="false" customHeight="false" outlineLevel="0" collapsed="false">
      <c r="A240" s="41" t="s">
        <v>418</v>
      </c>
      <c r="B240" s="41" t="s">
        <v>189</v>
      </c>
      <c r="C240" s="41" t="s">
        <v>86</v>
      </c>
      <c r="D240" s="41" t="s">
        <v>104</v>
      </c>
      <c r="E240" s="41" t="s">
        <v>102</v>
      </c>
      <c r="F240" s="41" t="s">
        <v>78</v>
      </c>
      <c r="G240" s="42" t="n">
        <v>13.22</v>
      </c>
      <c r="H240" s="41" t="n">
        <v>5</v>
      </c>
      <c r="I240" s="42" t="n">
        <v>3.305</v>
      </c>
      <c r="J240" s="42" t="n">
        <v>69.405</v>
      </c>
      <c r="K240" s="43" t="n">
        <v>43526</v>
      </c>
      <c r="L240" s="44" t="n">
        <v>0.809722222222222</v>
      </c>
      <c r="M240" s="41" t="s">
        <v>97</v>
      </c>
      <c r="N240" s="42" t="n">
        <v>66.1</v>
      </c>
      <c r="O240" s="42" t="n">
        <v>3.305</v>
      </c>
      <c r="P240" s="45" t="n">
        <v>4.3</v>
      </c>
      <c r="Q240" s="41" t="str">
        <f aca="false">CHOOSE(MONTH(K240),"Jan","Feb","Mar","Apr","May","Jun","Jul","Aug","Sep","Oct","Nov","Dec")</f>
        <v>Mar</v>
      </c>
      <c r="R240" s="41" t="n">
        <f aca="false">INT((K240-setMinDate)/7)+1</f>
        <v>9</v>
      </c>
      <c r="S240" s="41" t="n">
        <f aca="false">HOUR(L240)</f>
        <v>19</v>
      </c>
      <c r="T240" s="41" t="str">
        <f aca="false">IF(S240&lt;setMorningEnd,"Morning",IF(S240&lt;setAfternoonEnd,"Afternoon","Evening"))</f>
        <v>Evening</v>
      </c>
      <c r="U240" s="41" t="str">
        <f aca="false">IF(J240&gt;=setLarge,"Large",IF(J240&gt;=setMedium,"Medium","Small"))</f>
        <v>Small</v>
      </c>
      <c r="V240" s="41" t="str">
        <f aca="false">IF(P240&gt;=setExc,"Excellent",IF(P240&gt;=setGood,"Good",IF(P240&gt;=setAvg,"Average","Poor")))</f>
        <v>Poor</v>
      </c>
    </row>
    <row r="241" customFormat="false" ht="15" hidden="false" customHeight="false" outlineLevel="0" collapsed="false">
      <c r="A241" s="41" t="s">
        <v>419</v>
      </c>
      <c r="B241" s="41" t="s">
        <v>178</v>
      </c>
      <c r="C241" s="41" t="s">
        <v>85</v>
      </c>
      <c r="D241" s="41" t="s">
        <v>105</v>
      </c>
      <c r="E241" s="41" t="s">
        <v>103</v>
      </c>
      <c r="F241" s="41" t="s">
        <v>79</v>
      </c>
      <c r="G241" s="42" t="n">
        <v>89.69</v>
      </c>
      <c r="H241" s="41" t="n">
        <v>1</v>
      </c>
      <c r="I241" s="42" t="n">
        <v>4.4845</v>
      </c>
      <c r="J241" s="42" t="n">
        <v>94.1745</v>
      </c>
      <c r="K241" s="43" t="n">
        <v>43476</v>
      </c>
      <c r="L241" s="44" t="n">
        <v>0.472222222222222</v>
      </c>
      <c r="M241" s="41" t="s">
        <v>98</v>
      </c>
      <c r="N241" s="42" t="n">
        <v>89.69</v>
      </c>
      <c r="O241" s="42" t="n">
        <v>4.4845</v>
      </c>
      <c r="P241" s="45" t="n">
        <v>4.9</v>
      </c>
      <c r="Q241" s="41" t="str">
        <f aca="false">CHOOSE(MONTH(K241),"Jan","Feb","Mar","Apr","May","Jun","Jul","Aug","Sep","Oct","Nov","Dec")</f>
        <v>Jan</v>
      </c>
      <c r="R241" s="41" t="n">
        <f aca="false">INT((K241-setMinDate)/7)+1</f>
        <v>2</v>
      </c>
      <c r="S241" s="41" t="n">
        <f aca="false">HOUR(L241)</f>
        <v>11</v>
      </c>
      <c r="T241" s="41" t="str">
        <f aca="false">IF(S241&lt;setMorningEnd,"Morning",IF(S241&lt;setAfternoonEnd,"Afternoon","Evening"))</f>
        <v>Morning</v>
      </c>
      <c r="U241" s="41" t="str">
        <f aca="false">IF(J241&gt;=setLarge,"Large",IF(J241&gt;=setMedium,"Medium","Small"))</f>
        <v>Small</v>
      </c>
      <c r="V241" s="41" t="str">
        <f aca="false">IF(P241&gt;=setExc,"Excellent",IF(P241&gt;=setGood,"Good",IF(P241&gt;=setAvg,"Average","Poor")))</f>
        <v>Poor</v>
      </c>
    </row>
    <row r="242" customFormat="false" ht="15" hidden="false" customHeight="false" outlineLevel="0" collapsed="false">
      <c r="A242" s="41" t="s">
        <v>420</v>
      </c>
      <c r="B242" s="41" t="s">
        <v>178</v>
      </c>
      <c r="C242" s="41" t="s">
        <v>85</v>
      </c>
      <c r="D242" s="41" t="s">
        <v>105</v>
      </c>
      <c r="E242" s="41" t="s">
        <v>103</v>
      </c>
      <c r="F242" s="41" t="s">
        <v>76</v>
      </c>
      <c r="G242" s="42" t="n">
        <v>24.94</v>
      </c>
      <c r="H242" s="41" t="n">
        <v>9</v>
      </c>
      <c r="I242" s="42" t="n">
        <v>11.223</v>
      </c>
      <c r="J242" s="42" t="n">
        <v>235.683</v>
      </c>
      <c r="K242" s="43" t="n">
        <v>43476</v>
      </c>
      <c r="L242" s="44" t="n">
        <v>0.700694444444444</v>
      </c>
      <c r="M242" s="41" t="s">
        <v>99</v>
      </c>
      <c r="N242" s="42" t="n">
        <v>224.46</v>
      </c>
      <c r="O242" s="42" t="n">
        <v>11.223</v>
      </c>
      <c r="P242" s="45" t="n">
        <v>5.6</v>
      </c>
      <c r="Q242" s="41" t="str">
        <f aca="false">CHOOSE(MONTH(K242),"Jan","Feb","Mar","Apr","May","Jun","Jul","Aug","Sep","Oct","Nov","Dec")</f>
        <v>Jan</v>
      </c>
      <c r="R242" s="41" t="n">
        <f aca="false">INT((K242-setMinDate)/7)+1</f>
        <v>2</v>
      </c>
      <c r="S242" s="41" t="n">
        <f aca="false">HOUR(L242)</f>
        <v>16</v>
      </c>
      <c r="T242" s="41" t="str">
        <f aca="false">IF(S242&lt;setMorningEnd,"Morning",IF(S242&lt;setAfternoonEnd,"Afternoon","Evening"))</f>
        <v>Afternoon</v>
      </c>
      <c r="U242" s="41" t="str">
        <f aca="false">IF(J242&gt;=setLarge,"Large",IF(J242&gt;=setMedium,"Medium","Small"))</f>
        <v>Small</v>
      </c>
      <c r="V242" s="41" t="str">
        <f aca="false">IF(P242&gt;=setExc,"Excellent",IF(P242&gt;=setGood,"Good",IF(P242&gt;=setAvg,"Average","Poor")))</f>
        <v>Average</v>
      </c>
    </row>
    <row r="243" customFormat="false" ht="15" hidden="false" customHeight="false" outlineLevel="0" collapsed="false">
      <c r="A243" s="41" t="s">
        <v>421</v>
      </c>
      <c r="B243" s="41" t="s">
        <v>178</v>
      </c>
      <c r="C243" s="41" t="s">
        <v>85</v>
      </c>
      <c r="D243" s="41" t="s">
        <v>105</v>
      </c>
      <c r="E243" s="41" t="s">
        <v>103</v>
      </c>
      <c r="F243" s="41" t="s">
        <v>81</v>
      </c>
      <c r="G243" s="42" t="n">
        <v>59.77</v>
      </c>
      <c r="H243" s="41" t="n">
        <v>2</v>
      </c>
      <c r="I243" s="42" t="n">
        <v>5.977</v>
      </c>
      <c r="J243" s="42" t="n">
        <v>125.517</v>
      </c>
      <c r="K243" s="43" t="n">
        <v>43535</v>
      </c>
      <c r="L243" s="44" t="n">
        <v>0.500694444444444</v>
      </c>
      <c r="M243" s="41" t="s">
        <v>99</v>
      </c>
      <c r="N243" s="42" t="n">
        <v>119.54</v>
      </c>
      <c r="O243" s="42" t="n">
        <v>5.977</v>
      </c>
      <c r="P243" s="45" t="n">
        <v>5.8</v>
      </c>
      <c r="Q243" s="41" t="str">
        <f aca="false">CHOOSE(MONTH(K243),"Jan","Feb","Mar","Apr","May","Jun","Jul","Aug","Sep","Oct","Nov","Dec")</f>
        <v>Mar</v>
      </c>
      <c r="R243" s="41" t="n">
        <f aca="false">INT((K243-setMinDate)/7)+1</f>
        <v>10</v>
      </c>
      <c r="S243" s="41" t="n">
        <f aca="false">HOUR(L243)</f>
        <v>12</v>
      </c>
      <c r="T243" s="41" t="str">
        <f aca="false">IF(S243&lt;setMorningEnd,"Morning",IF(S243&lt;setAfternoonEnd,"Afternoon","Evening"))</f>
        <v>Afternoon</v>
      </c>
      <c r="U243" s="41" t="str">
        <f aca="false">IF(J243&gt;=setLarge,"Large",IF(J243&gt;=setMedium,"Medium","Small"))</f>
        <v>Small</v>
      </c>
      <c r="V243" s="41" t="str">
        <f aca="false">IF(P243&gt;=setExc,"Excellent",IF(P243&gt;=setGood,"Good",IF(P243&gt;=setAvg,"Average","Poor")))</f>
        <v>Average</v>
      </c>
    </row>
    <row r="244" customFormat="false" ht="15" hidden="false" customHeight="false" outlineLevel="0" collapsed="false">
      <c r="A244" s="41" t="s">
        <v>422</v>
      </c>
      <c r="B244" s="41" t="s">
        <v>180</v>
      </c>
      <c r="C244" s="41" t="s">
        <v>87</v>
      </c>
      <c r="D244" s="41" t="s">
        <v>104</v>
      </c>
      <c r="E244" s="41" t="s">
        <v>103</v>
      </c>
      <c r="F244" s="41" t="s">
        <v>79</v>
      </c>
      <c r="G244" s="42" t="n">
        <v>93.2</v>
      </c>
      <c r="H244" s="41" t="n">
        <v>2</v>
      </c>
      <c r="I244" s="42" t="n">
        <v>9.32</v>
      </c>
      <c r="J244" s="42" t="n">
        <v>195.72</v>
      </c>
      <c r="K244" s="43" t="n">
        <v>43524</v>
      </c>
      <c r="L244" s="44" t="n">
        <v>0.775694444444445</v>
      </c>
      <c r="M244" s="41" t="s">
        <v>99</v>
      </c>
      <c r="N244" s="42" t="n">
        <v>186.4</v>
      </c>
      <c r="O244" s="42" t="n">
        <v>9.32</v>
      </c>
      <c r="P244" s="45" t="n">
        <v>6</v>
      </c>
      <c r="Q244" s="41" t="str">
        <f aca="false">CHOOSE(MONTH(K244),"Jan","Feb","Mar","Apr","May","Jun","Jul","Aug","Sep","Oct","Nov","Dec")</f>
        <v>Feb</v>
      </c>
      <c r="R244" s="41" t="n">
        <f aca="false">INT((K244-setMinDate)/7)+1</f>
        <v>9</v>
      </c>
      <c r="S244" s="41" t="n">
        <f aca="false">HOUR(L244)</f>
        <v>18</v>
      </c>
      <c r="T244" s="41" t="str">
        <f aca="false">IF(S244&lt;setMorningEnd,"Morning",IF(S244&lt;setAfternoonEnd,"Afternoon","Evening"))</f>
        <v>Evening</v>
      </c>
      <c r="U244" s="41" t="str">
        <f aca="false">IF(J244&gt;=setLarge,"Large",IF(J244&gt;=setMedium,"Medium","Small"))</f>
        <v>Small</v>
      </c>
      <c r="V244" s="41" t="str">
        <f aca="false">IF(P244&gt;=setExc,"Excellent",IF(P244&gt;=setGood,"Good",IF(P244&gt;=setAvg,"Average","Poor")))</f>
        <v>Average</v>
      </c>
    </row>
    <row r="245" customFormat="false" ht="15" hidden="false" customHeight="false" outlineLevel="0" collapsed="false">
      <c r="A245" s="41" t="s">
        <v>423</v>
      </c>
      <c r="B245" s="41" t="s">
        <v>178</v>
      </c>
      <c r="C245" s="41" t="s">
        <v>85</v>
      </c>
      <c r="D245" s="41" t="s">
        <v>104</v>
      </c>
      <c r="E245" s="41" t="s">
        <v>103</v>
      </c>
      <c r="F245" s="41" t="s">
        <v>80</v>
      </c>
      <c r="G245" s="42" t="n">
        <v>62.65</v>
      </c>
      <c r="H245" s="41" t="n">
        <v>4</v>
      </c>
      <c r="I245" s="42" t="n">
        <v>12.53</v>
      </c>
      <c r="J245" s="42" t="n">
        <v>263.13</v>
      </c>
      <c r="K245" s="43" t="n">
        <v>43470</v>
      </c>
      <c r="L245" s="44" t="n">
        <v>0.475694444444444</v>
      </c>
      <c r="M245" s="41" t="s">
        <v>97</v>
      </c>
      <c r="N245" s="42" t="n">
        <v>250.6</v>
      </c>
      <c r="O245" s="42" t="n">
        <v>12.53</v>
      </c>
      <c r="P245" s="45" t="n">
        <v>4.2</v>
      </c>
      <c r="Q245" s="41" t="str">
        <f aca="false">CHOOSE(MONTH(K245),"Jan","Feb","Mar","Apr","May","Jun","Jul","Aug","Sep","Oct","Nov","Dec")</f>
        <v>Jan</v>
      </c>
      <c r="R245" s="41" t="n">
        <f aca="false">INT((K245-setMinDate)/7)+1</f>
        <v>1</v>
      </c>
      <c r="S245" s="41" t="n">
        <f aca="false">HOUR(L245)</f>
        <v>11</v>
      </c>
      <c r="T245" s="41" t="str">
        <f aca="false">IF(S245&lt;setMorningEnd,"Morning",IF(S245&lt;setAfternoonEnd,"Afternoon","Evening"))</f>
        <v>Morning</v>
      </c>
      <c r="U245" s="41" t="str">
        <f aca="false">IF(J245&gt;=setLarge,"Large",IF(J245&gt;=setMedium,"Medium","Small"))</f>
        <v>Medium</v>
      </c>
      <c r="V245" s="41" t="str">
        <f aca="false">IF(P245&gt;=setExc,"Excellent",IF(P245&gt;=setGood,"Good",IF(P245&gt;=setAvg,"Average","Poor")))</f>
        <v>Poor</v>
      </c>
    </row>
    <row r="246" customFormat="false" ht="15" hidden="false" customHeight="false" outlineLevel="0" collapsed="false">
      <c r="A246" s="41" t="s">
        <v>424</v>
      </c>
      <c r="B246" s="41" t="s">
        <v>189</v>
      </c>
      <c r="C246" s="41" t="s">
        <v>86</v>
      </c>
      <c r="D246" s="41" t="s">
        <v>105</v>
      </c>
      <c r="E246" s="41" t="s">
        <v>103</v>
      </c>
      <c r="F246" s="41" t="s">
        <v>80</v>
      </c>
      <c r="G246" s="42" t="n">
        <v>93.87</v>
      </c>
      <c r="H246" s="41" t="n">
        <v>8</v>
      </c>
      <c r="I246" s="42" t="n">
        <v>37.548</v>
      </c>
      <c r="J246" s="42" t="n">
        <v>788.508</v>
      </c>
      <c r="K246" s="43" t="n">
        <v>43498</v>
      </c>
      <c r="L246" s="44" t="n">
        <v>0.779166666666667</v>
      </c>
      <c r="M246" s="41" t="s">
        <v>99</v>
      </c>
      <c r="N246" s="42" t="n">
        <v>750.96</v>
      </c>
      <c r="O246" s="42" t="n">
        <v>37.548</v>
      </c>
      <c r="P246" s="45" t="n">
        <v>8.3</v>
      </c>
      <c r="Q246" s="41" t="str">
        <f aca="false">CHOOSE(MONTH(K246),"Jan","Feb","Mar","Apr","May","Jun","Jul","Aug","Sep","Oct","Nov","Dec")</f>
        <v>Feb</v>
      </c>
      <c r="R246" s="41" t="n">
        <f aca="false">INT((K246-setMinDate)/7)+1</f>
        <v>5</v>
      </c>
      <c r="S246" s="41" t="n">
        <f aca="false">HOUR(L246)</f>
        <v>18</v>
      </c>
      <c r="T246" s="41" t="str">
        <f aca="false">IF(S246&lt;setMorningEnd,"Morning",IF(S246&lt;setAfternoonEnd,"Afternoon","Evening"))</f>
        <v>Evening</v>
      </c>
      <c r="U246" s="41" t="str">
        <f aca="false">IF(J246&gt;=setLarge,"Large",IF(J246&gt;=setMedium,"Medium","Small"))</f>
        <v>Large</v>
      </c>
      <c r="V246" s="41" t="str">
        <f aca="false">IF(P246&gt;=setExc,"Excellent",IF(P246&gt;=setGood,"Good",IF(P246&gt;=setAvg,"Average","Poor")))</f>
        <v>Good</v>
      </c>
    </row>
    <row r="247" customFormat="false" ht="15" hidden="false" customHeight="false" outlineLevel="0" collapsed="false">
      <c r="A247" s="41" t="s">
        <v>425</v>
      </c>
      <c r="B247" s="41" t="s">
        <v>178</v>
      </c>
      <c r="C247" s="41" t="s">
        <v>85</v>
      </c>
      <c r="D247" s="41" t="s">
        <v>104</v>
      </c>
      <c r="E247" s="41" t="s">
        <v>103</v>
      </c>
      <c r="F247" s="41" t="s">
        <v>80</v>
      </c>
      <c r="G247" s="42" t="n">
        <v>47.59</v>
      </c>
      <c r="H247" s="41" t="n">
        <v>8</v>
      </c>
      <c r="I247" s="42" t="n">
        <v>19.036</v>
      </c>
      <c r="J247" s="42" t="n">
        <v>399.756</v>
      </c>
      <c r="K247" s="43" t="n">
        <v>43466</v>
      </c>
      <c r="L247" s="44" t="n">
        <v>0.615972222222222</v>
      </c>
      <c r="M247" s="41" t="s">
        <v>97</v>
      </c>
      <c r="N247" s="42" t="n">
        <v>380.72</v>
      </c>
      <c r="O247" s="42" t="n">
        <v>19.036</v>
      </c>
      <c r="P247" s="45" t="n">
        <v>5.7</v>
      </c>
      <c r="Q247" s="41" t="str">
        <f aca="false">CHOOSE(MONTH(K247),"Jan","Feb","Mar","Apr","May","Jun","Jul","Aug","Sep","Oct","Nov","Dec")</f>
        <v>Jan</v>
      </c>
      <c r="R247" s="41" t="n">
        <f aca="false">INT((K247-setMinDate)/7)+1</f>
        <v>1</v>
      </c>
      <c r="S247" s="41" t="n">
        <f aca="false">HOUR(L247)</f>
        <v>14</v>
      </c>
      <c r="T247" s="41" t="str">
        <f aca="false">IF(S247&lt;setMorningEnd,"Morning",IF(S247&lt;setAfternoonEnd,"Afternoon","Evening"))</f>
        <v>Afternoon</v>
      </c>
      <c r="U247" s="41" t="str">
        <f aca="false">IF(J247&gt;=setLarge,"Large",IF(J247&gt;=setMedium,"Medium","Small"))</f>
        <v>Medium</v>
      </c>
      <c r="V247" s="41" t="str">
        <f aca="false">IF(P247&gt;=setExc,"Excellent",IF(P247&gt;=setGood,"Good",IF(P247&gt;=setAvg,"Average","Poor")))</f>
        <v>Average</v>
      </c>
    </row>
    <row r="248" customFormat="false" ht="15" hidden="false" customHeight="false" outlineLevel="0" collapsed="false">
      <c r="A248" s="41" t="s">
        <v>426</v>
      </c>
      <c r="B248" s="41" t="s">
        <v>189</v>
      </c>
      <c r="C248" s="41" t="s">
        <v>86</v>
      </c>
      <c r="D248" s="41" t="s">
        <v>104</v>
      </c>
      <c r="E248" s="41" t="s">
        <v>102</v>
      </c>
      <c r="F248" s="41" t="s">
        <v>78</v>
      </c>
      <c r="G248" s="42" t="n">
        <v>81.4</v>
      </c>
      <c r="H248" s="41" t="n">
        <v>3</v>
      </c>
      <c r="I248" s="42" t="n">
        <v>12.21</v>
      </c>
      <c r="J248" s="42" t="n">
        <v>256.41</v>
      </c>
      <c r="K248" s="43" t="n">
        <v>43505</v>
      </c>
      <c r="L248" s="44" t="n">
        <v>0.821527777777778</v>
      </c>
      <c r="M248" s="41" t="s">
        <v>97</v>
      </c>
      <c r="N248" s="42" t="n">
        <v>244.2</v>
      </c>
      <c r="O248" s="42" t="n">
        <v>12.21</v>
      </c>
      <c r="P248" s="45" t="n">
        <v>4.8</v>
      </c>
      <c r="Q248" s="41" t="str">
        <f aca="false">CHOOSE(MONTH(K248),"Jan","Feb","Mar","Apr","May","Jun","Jul","Aug","Sep","Oct","Nov","Dec")</f>
        <v>Feb</v>
      </c>
      <c r="R248" s="41" t="n">
        <f aca="false">INT((K248-setMinDate)/7)+1</f>
        <v>6</v>
      </c>
      <c r="S248" s="41" t="n">
        <f aca="false">HOUR(L248)</f>
        <v>19</v>
      </c>
      <c r="T248" s="41" t="str">
        <f aca="false">IF(S248&lt;setMorningEnd,"Morning",IF(S248&lt;setAfternoonEnd,"Afternoon","Evening"))</f>
        <v>Evening</v>
      </c>
      <c r="U248" s="41" t="str">
        <f aca="false">IF(J248&gt;=setLarge,"Large",IF(J248&gt;=setMedium,"Medium","Small"))</f>
        <v>Medium</v>
      </c>
      <c r="V248" s="41" t="str">
        <f aca="false">IF(P248&gt;=setExc,"Excellent",IF(P248&gt;=setGood,"Good",IF(P248&gt;=setAvg,"Average","Poor")))</f>
        <v>Poor</v>
      </c>
    </row>
    <row r="249" customFormat="false" ht="15" hidden="false" customHeight="false" outlineLevel="0" collapsed="false">
      <c r="A249" s="41" t="s">
        <v>427</v>
      </c>
      <c r="B249" s="41" t="s">
        <v>178</v>
      </c>
      <c r="C249" s="41" t="s">
        <v>85</v>
      </c>
      <c r="D249" s="41" t="s">
        <v>104</v>
      </c>
      <c r="E249" s="41" t="s">
        <v>103</v>
      </c>
      <c r="F249" s="41" t="s">
        <v>79</v>
      </c>
      <c r="G249" s="42" t="n">
        <v>17.94</v>
      </c>
      <c r="H249" s="41" t="n">
        <v>5</v>
      </c>
      <c r="I249" s="42" t="n">
        <v>4.485</v>
      </c>
      <c r="J249" s="42" t="n">
        <v>94.185</v>
      </c>
      <c r="K249" s="43" t="n">
        <v>43488</v>
      </c>
      <c r="L249" s="44" t="n">
        <v>0.586111111111111</v>
      </c>
      <c r="M249" s="41" t="s">
        <v>98</v>
      </c>
      <c r="N249" s="42" t="n">
        <v>89.7</v>
      </c>
      <c r="O249" s="42" t="n">
        <v>4.485</v>
      </c>
      <c r="P249" s="45" t="n">
        <v>6.8</v>
      </c>
      <c r="Q249" s="41" t="str">
        <f aca="false">CHOOSE(MONTH(K249),"Jan","Feb","Mar","Apr","May","Jun","Jul","Aug","Sep","Oct","Nov","Dec")</f>
        <v>Jan</v>
      </c>
      <c r="R249" s="41" t="n">
        <f aca="false">INT((K249-setMinDate)/7)+1</f>
        <v>4</v>
      </c>
      <c r="S249" s="41" t="n">
        <f aca="false">HOUR(L249)</f>
        <v>14</v>
      </c>
      <c r="T249" s="41" t="str">
        <f aca="false">IF(S249&lt;setMorningEnd,"Morning",IF(S249&lt;setAfternoonEnd,"Afternoon","Evening"))</f>
        <v>Afternoon</v>
      </c>
      <c r="U249" s="41" t="str">
        <f aca="false">IF(J249&gt;=setLarge,"Large",IF(J249&gt;=setMedium,"Medium","Small"))</f>
        <v>Small</v>
      </c>
      <c r="V249" s="41" t="str">
        <f aca="false">IF(P249&gt;=setExc,"Excellent",IF(P249&gt;=setGood,"Good",IF(P249&gt;=setAvg,"Average","Poor")))</f>
        <v>Average</v>
      </c>
    </row>
    <row r="250" customFormat="false" ht="15" hidden="false" customHeight="false" outlineLevel="0" collapsed="false">
      <c r="A250" s="41" t="s">
        <v>428</v>
      </c>
      <c r="B250" s="41" t="s">
        <v>178</v>
      </c>
      <c r="C250" s="41" t="s">
        <v>85</v>
      </c>
      <c r="D250" s="41" t="s">
        <v>104</v>
      </c>
      <c r="E250" s="41" t="s">
        <v>103</v>
      </c>
      <c r="F250" s="41" t="s">
        <v>78</v>
      </c>
      <c r="G250" s="42" t="n">
        <v>77.72</v>
      </c>
      <c r="H250" s="41" t="n">
        <v>4</v>
      </c>
      <c r="I250" s="42" t="n">
        <v>15.544</v>
      </c>
      <c r="J250" s="42" t="n">
        <v>326.424</v>
      </c>
      <c r="K250" s="43" t="n">
        <v>43472</v>
      </c>
      <c r="L250" s="44" t="n">
        <v>0.674305555555556</v>
      </c>
      <c r="M250" s="41" t="s">
        <v>99</v>
      </c>
      <c r="N250" s="42" t="n">
        <v>310.88</v>
      </c>
      <c r="O250" s="42" t="n">
        <v>15.544</v>
      </c>
      <c r="P250" s="45" t="n">
        <v>8.8</v>
      </c>
      <c r="Q250" s="41" t="str">
        <f aca="false">CHOOSE(MONTH(K250),"Jan","Feb","Mar","Apr","May","Jun","Jul","Aug","Sep","Oct","Nov","Dec")</f>
        <v>Jan</v>
      </c>
      <c r="R250" s="41" t="n">
        <f aca="false">INT((K250-setMinDate)/7)+1</f>
        <v>1</v>
      </c>
      <c r="S250" s="41" t="n">
        <f aca="false">HOUR(L250)</f>
        <v>16</v>
      </c>
      <c r="T250" s="41" t="str">
        <f aca="false">IF(S250&lt;setMorningEnd,"Morning",IF(S250&lt;setAfternoonEnd,"Afternoon","Evening"))</f>
        <v>Afternoon</v>
      </c>
      <c r="U250" s="41" t="str">
        <f aca="false">IF(J250&gt;=setLarge,"Large",IF(J250&gt;=setMedium,"Medium","Small"))</f>
        <v>Medium</v>
      </c>
      <c r="V250" s="41" t="str">
        <f aca="false">IF(P250&gt;=setExc,"Excellent",IF(P250&gt;=setGood,"Good",IF(P250&gt;=setAvg,"Average","Poor")))</f>
        <v>Good</v>
      </c>
    </row>
    <row r="251" customFormat="false" ht="15" hidden="false" customHeight="false" outlineLevel="0" collapsed="false">
      <c r="A251" s="41" t="s">
        <v>429</v>
      </c>
      <c r="B251" s="41" t="s">
        <v>189</v>
      </c>
      <c r="C251" s="41" t="s">
        <v>86</v>
      </c>
      <c r="D251" s="41" t="s">
        <v>105</v>
      </c>
      <c r="E251" s="41" t="s">
        <v>103</v>
      </c>
      <c r="F251" s="41" t="s">
        <v>76</v>
      </c>
      <c r="G251" s="42" t="n">
        <v>73.06</v>
      </c>
      <c r="H251" s="41" t="n">
        <v>7</v>
      </c>
      <c r="I251" s="42" t="n">
        <v>25.571</v>
      </c>
      <c r="J251" s="42" t="n">
        <v>536.991</v>
      </c>
      <c r="K251" s="43" t="n">
        <v>43479</v>
      </c>
      <c r="L251" s="44" t="n">
        <v>0.795833333333333</v>
      </c>
      <c r="M251" s="41" t="s">
        <v>99</v>
      </c>
      <c r="N251" s="42" t="n">
        <v>511.42</v>
      </c>
      <c r="O251" s="42" t="n">
        <v>25.571</v>
      </c>
      <c r="P251" s="45" t="n">
        <v>4.2</v>
      </c>
      <c r="Q251" s="41" t="str">
        <f aca="false">CHOOSE(MONTH(K251),"Jan","Feb","Mar","Apr","May","Jun","Jul","Aug","Sep","Oct","Nov","Dec")</f>
        <v>Jan</v>
      </c>
      <c r="R251" s="41" t="n">
        <f aca="false">INT((K251-setMinDate)/7)+1</f>
        <v>2</v>
      </c>
      <c r="S251" s="41" t="n">
        <f aca="false">HOUR(L251)</f>
        <v>19</v>
      </c>
      <c r="T251" s="41" t="str">
        <f aca="false">IF(S251&lt;setMorningEnd,"Morning",IF(S251&lt;setAfternoonEnd,"Afternoon","Evening"))</f>
        <v>Evening</v>
      </c>
      <c r="U251" s="41" t="str">
        <f aca="false">IF(J251&gt;=setLarge,"Large",IF(J251&gt;=setMedium,"Medium","Small"))</f>
        <v>Medium</v>
      </c>
      <c r="V251" s="41" t="str">
        <f aca="false">IF(P251&gt;=setExc,"Excellent",IF(P251&gt;=setGood,"Good",IF(P251&gt;=setAvg,"Average","Poor")))</f>
        <v>Poor</v>
      </c>
    </row>
    <row r="252" customFormat="false" ht="15" hidden="false" customHeight="false" outlineLevel="0" collapsed="false">
      <c r="A252" s="41" t="s">
        <v>430</v>
      </c>
      <c r="B252" s="41" t="s">
        <v>189</v>
      </c>
      <c r="C252" s="41" t="s">
        <v>86</v>
      </c>
      <c r="D252" s="41" t="s">
        <v>104</v>
      </c>
      <c r="E252" s="41" t="s">
        <v>103</v>
      </c>
      <c r="F252" s="41" t="s">
        <v>76</v>
      </c>
      <c r="G252" s="42" t="n">
        <v>46.55</v>
      </c>
      <c r="H252" s="41" t="n">
        <v>9</v>
      </c>
      <c r="I252" s="42" t="n">
        <v>20.9475</v>
      </c>
      <c r="J252" s="42" t="n">
        <v>439.8975</v>
      </c>
      <c r="K252" s="43" t="n">
        <v>43498</v>
      </c>
      <c r="L252" s="44" t="n">
        <v>0.648611111111111</v>
      </c>
      <c r="M252" s="41" t="s">
        <v>98</v>
      </c>
      <c r="N252" s="42" t="n">
        <v>418.95</v>
      </c>
      <c r="O252" s="42" t="n">
        <v>20.9475</v>
      </c>
      <c r="P252" s="45" t="n">
        <v>6.4</v>
      </c>
      <c r="Q252" s="41" t="str">
        <f aca="false">CHOOSE(MONTH(K252),"Jan","Feb","Mar","Apr","May","Jun","Jul","Aug","Sep","Oct","Nov","Dec")</f>
        <v>Feb</v>
      </c>
      <c r="R252" s="41" t="n">
        <f aca="false">INT((K252-setMinDate)/7)+1</f>
        <v>5</v>
      </c>
      <c r="S252" s="41" t="n">
        <f aca="false">HOUR(L252)</f>
        <v>15</v>
      </c>
      <c r="T252" s="41" t="str">
        <f aca="false">IF(S252&lt;setMorningEnd,"Morning",IF(S252&lt;setAfternoonEnd,"Afternoon","Evening"))</f>
        <v>Afternoon</v>
      </c>
      <c r="U252" s="41" t="str">
        <f aca="false">IF(J252&gt;=setLarge,"Large",IF(J252&gt;=setMedium,"Medium","Small"))</f>
        <v>Medium</v>
      </c>
      <c r="V252" s="41" t="str">
        <f aca="false">IF(P252&gt;=setExc,"Excellent",IF(P252&gt;=setGood,"Good",IF(P252&gt;=setAvg,"Average","Poor")))</f>
        <v>Average</v>
      </c>
    </row>
    <row r="253" customFormat="false" ht="15" hidden="false" customHeight="false" outlineLevel="0" collapsed="false">
      <c r="A253" s="41" t="s">
        <v>431</v>
      </c>
      <c r="B253" s="41" t="s">
        <v>180</v>
      </c>
      <c r="C253" s="41" t="s">
        <v>87</v>
      </c>
      <c r="D253" s="41" t="s">
        <v>104</v>
      </c>
      <c r="E253" s="41" t="s">
        <v>103</v>
      </c>
      <c r="F253" s="41" t="s">
        <v>79</v>
      </c>
      <c r="G253" s="42" t="n">
        <v>35.19</v>
      </c>
      <c r="H253" s="41" t="n">
        <v>10</v>
      </c>
      <c r="I253" s="42" t="n">
        <v>17.595</v>
      </c>
      <c r="J253" s="42" t="n">
        <v>369.495</v>
      </c>
      <c r="K253" s="43" t="n">
        <v>43541</v>
      </c>
      <c r="L253" s="44" t="n">
        <v>0.795833333333333</v>
      </c>
      <c r="M253" s="41" t="s">
        <v>99</v>
      </c>
      <c r="N253" s="42" t="n">
        <v>351.9</v>
      </c>
      <c r="O253" s="42" t="n">
        <v>17.595</v>
      </c>
      <c r="P253" s="45" t="n">
        <v>8.4</v>
      </c>
      <c r="Q253" s="41" t="str">
        <f aca="false">CHOOSE(MONTH(K253),"Jan","Feb","Mar","Apr","May","Jun","Jul","Aug","Sep","Oct","Nov","Dec")</f>
        <v>Mar</v>
      </c>
      <c r="R253" s="41" t="n">
        <f aca="false">INT((K253-setMinDate)/7)+1</f>
        <v>11</v>
      </c>
      <c r="S253" s="41" t="n">
        <f aca="false">HOUR(L253)</f>
        <v>19</v>
      </c>
      <c r="T253" s="41" t="str">
        <f aca="false">IF(S253&lt;setMorningEnd,"Morning",IF(S253&lt;setAfternoonEnd,"Afternoon","Evening"))</f>
        <v>Evening</v>
      </c>
      <c r="U253" s="41" t="str">
        <f aca="false">IF(J253&gt;=setLarge,"Large",IF(J253&gt;=setMedium,"Medium","Small"))</f>
        <v>Medium</v>
      </c>
      <c r="V253" s="41" t="str">
        <f aca="false">IF(P253&gt;=setExc,"Excellent",IF(P253&gt;=setGood,"Good",IF(P253&gt;=setAvg,"Average","Poor")))</f>
        <v>Good</v>
      </c>
    </row>
    <row r="254" customFormat="false" ht="15" hidden="false" customHeight="false" outlineLevel="0" collapsed="false">
      <c r="A254" s="41" t="s">
        <v>432</v>
      </c>
      <c r="B254" s="41" t="s">
        <v>180</v>
      </c>
      <c r="C254" s="41" t="s">
        <v>87</v>
      </c>
      <c r="D254" s="41" t="s">
        <v>105</v>
      </c>
      <c r="E254" s="41" t="s">
        <v>102</v>
      </c>
      <c r="F254" s="41" t="s">
        <v>77</v>
      </c>
      <c r="G254" s="42" t="n">
        <v>14.39</v>
      </c>
      <c r="H254" s="41" t="n">
        <v>2</v>
      </c>
      <c r="I254" s="42" t="n">
        <v>1.439</v>
      </c>
      <c r="J254" s="42" t="n">
        <v>30.219</v>
      </c>
      <c r="K254" s="43" t="n">
        <v>43526</v>
      </c>
      <c r="L254" s="44" t="n">
        <v>0.822222222222222</v>
      </c>
      <c r="M254" s="41" t="s">
        <v>99</v>
      </c>
      <c r="N254" s="42" t="n">
        <v>28.78</v>
      </c>
      <c r="O254" s="42" t="n">
        <v>1.439</v>
      </c>
      <c r="P254" s="45" t="n">
        <v>7.2</v>
      </c>
      <c r="Q254" s="41" t="str">
        <f aca="false">CHOOSE(MONTH(K254),"Jan","Feb","Mar","Apr","May","Jun","Jul","Aug","Sep","Oct","Nov","Dec")</f>
        <v>Mar</v>
      </c>
      <c r="R254" s="41" t="n">
        <f aca="false">INT((K254-setMinDate)/7)+1</f>
        <v>9</v>
      </c>
      <c r="S254" s="41" t="n">
        <f aca="false">HOUR(L254)</f>
        <v>19</v>
      </c>
      <c r="T254" s="41" t="str">
        <f aca="false">IF(S254&lt;setMorningEnd,"Morning",IF(S254&lt;setAfternoonEnd,"Afternoon","Evening"))</f>
        <v>Evening</v>
      </c>
      <c r="U254" s="41" t="str">
        <f aca="false">IF(J254&gt;=setLarge,"Large",IF(J254&gt;=setMedium,"Medium","Small"))</f>
        <v>Small</v>
      </c>
      <c r="V254" s="41" t="str">
        <f aca="false">IF(P254&gt;=setExc,"Excellent",IF(P254&gt;=setGood,"Good",IF(P254&gt;=setAvg,"Average","Poor")))</f>
        <v>Good</v>
      </c>
    </row>
    <row r="255" customFormat="false" ht="15" hidden="false" customHeight="false" outlineLevel="0" collapsed="false">
      <c r="A255" s="41" t="s">
        <v>433</v>
      </c>
      <c r="B255" s="41" t="s">
        <v>178</v>
      </c>
      <c r="C255" s="41" t="s">
        <v>85</v>
      </c>
      <c r="D255" s="41" t="s">
        <v>105</v>
      </c>
      <c r="E255" s="41" t="s">
        <v>103</v>
      </c>
      <c r="F255" s="41" t="s">
        <v>80</v>
      </c>
      <c r="G255" s="42" t="n">
        <v>23.75</v>
      </c>
      <c r="H255" s="41" t="n">
        <v>4</v>
      </c>
      <c r="I255" s="42" t="n">
        <v>4.75</v>
      </c>
      <c r="J255" s="42" t="n">
        <v>99.75</v>
      </c>
      <c r="K255" s="43" t="n">
        <v>43540</v>
      </c>
      <c r="L255" s="44" t="n">
        <v>0.473611111111111</v>
      </c>
      <c r="M255" s="41" t="s">
        <v>97</v>
      </c>
      <c r="N255" s="42" t="n">
        <v>95</v>
      </c>
      <c r="O255" s="42" t="n">
        <v>4.75</v>
      </c>
      <c r="P255" s="45" t="n">
        <v>5.2</v>
      </c>
      <c r="Q255" s="41" t="str">
        <f aca="false">CHOOSE(MONTH(K255),"Jan","Feb","Mar","Apr","May","Jun","Jul","Aug","Sep","Oct","Nov","Dec")</f>
        <v>Mar</v>
      </c>
      <c r="R255" s="41" t="n">
        <f aca="false">INT((K255-setMinDate)/7)+1</f>
        <v>11</v>
      </c>
      <c r="S255" s="41" t="n">
        <f aca="false">HOUR(L255)</f>
        <v>11</v>
      </c>
      <c r="T255" s="41" t="str">
        <f aca="false">IF(S255&lt;setMorningEnd,"Morning",IF(S255&lt;setAfternoonEnd,"Afternoon","Evening"))</f>
        <v>Morning</v>
      </c>
      <c r="U255" s="41" t="str">
        <f aca="false">IF(J255&gt;=setLarge,"Large",IF(J255&gt;=setMedium,"Medium","Small"))</f>
        <v>Small</v>
      </c>
      <c r="V255" s="41" t="str">
        <f aca="false">IF(P255&gt;=setExc,"Excellent",IF(P255&gt;=setGood,"Good",IF(P255&gt;=setAvg,"Average","Poor")))</f>
        <v>Average</v>
      </c>
    </row>
    <row r="256" customFormat="false" ht="15" hidden="false" customHeight="false" outlineLevel="0" collapsed="false">
      <c r="A256" s="41" t="s">
        <v>434</v>
      </c>
      <c r="B256" s="41" t="s">
        <v>178</v>
      </c>
      <c r="C256" s="41" t="s">
        <v>85</v>
      </c>
      <c r="D256" s="41" t="s">
        <v>104</v>
      </c>
      <c r="E256" s="41" t="s">
        <v>103</v>
      </c>
      <c r="F256" s="41" t="s">
        <v>80</v>
      </c>
      <c r="G256" s="42" t="n">
        <v>58.9</v>
      </c>
      <c r="H256" s="41" t="n">
        <v>8</v>
      </c>
      <c r="I256" s="42" t="n">
        <v>23.56</v>
      </c>
      <c r="J256" s="42" t="n">
        <v>494.76</v>
      </c>
      <c r="K256" s="43" t="n">
        <v>43471</v>
      </c>
      <c r="L256" s="44" t="n">
        <v>0.474305555555556</v>
      </c>
      <c r="M256" s="41" t="s">
        <v>97</v>
      </c>
      <c r="N256" s="42" t="n">
        <v>471.2</v>
      </c>
      <c r="O256" s="42" t="n">
        <v>23.56</v>
      </c>
      <c r="P256" s="45" t="n">
        <v>8.9</v>
      </c>
      <c r="Q256" s="41" t="str">
        <f aca="false">CHOOSE(MONTH(K256),"Jan","Feb","Mar","Apr","May","Jun","Jul","Aug","Sep","Oct","Nov","Dec")</f>
        <v>Jan</v>
      </c>
      <c r="R256" s="41" t="n">
        <f aca="false">INT((K256-setMinDate)/7)+1</f>
        <v>1</v>
      </c>
      <c r="S256" s="41" t="n">
        <f aca="false">HOUR(L256)</f>
        <v>11</v>
      </c>
      <c r="T256" s="41" t="str">
        <f aca="false">IF(S256&lt;setMorningEnd,"Morning",IF(S256&lt;setAfternoonEnd,"Afternoon","Evening"))</f>
        <v>Morning</v>
      </c>
      <c r="U256" s="41" t="str">
        <f aca="false">IF(J256&gt;=setLarge,"Large",IF(J256&gt;=setMedium,"Medium","Small"))</f>
        <v>Medium</v>
      </c>
      <c r="V256" s="41" t="str">
        <f aca="false">IF(P256&gt;=setExc,"Excellent",IF(P256&gt;=setGood,"Good",IF(P256&gt;=setAvg,"Average","Poor")))</f>
        <v>Good</v>
      </c>
    </row>
    <row r="257" customFormat="false" ht="15" hidden="false" customHeight="false" outlineLevel="0" collapsed="false">
      <c r="A257" s="41" t="s">
        <v>435</v>
      </c>
      <c r="B257" s="41" t="s">
        <v>189</v>
      </c>
      <c r="C257" s="41" t="s">
        <v>86</v>
      </c>
      <c r="D257" s="41" t="s">
        <v>104</v>
      </c>
      <c r="E257" s="41" t="s">
        <v>103</v>
      </c>
      <c r="F257" s="41" t="s">
        <v>79</v>
      </c>
      <c r="G257" s="42" t="n">
        <v>32.62</v>
      </c>
      <c r="H257" s="41" t="n">
        <v>4</v>
      </c>
      <c r="I257" s="42" t="n">
        <v>6.524</v>
      </c>
      <c r="J257" s="42" t="n">
        <v>137.004</v>
      </c>
      <c r="K257" s="43" t="n">
        <v>43494</v>
      </c>
      <c r="L257" s="44" t="n">
        <v>0.591666666666667</v>
      </c>
      <c r="M257" s="41" t="s">
        <v>97</v>
      </c>
      <c r="N257" s="42" t="n">
        <v>130.48</v>
      </c>
      <c r="O257" s="42" t="n">
        <v>6.524</v>
      </c>
      <c r="P257" s="45" t="n">
        <v>9</v>
      </c>
      <c r="Q257" s="41" t="str">
        <f aca="false">CHOOSE(MONTH(K257),"Jan","Feb","Mar","Apr","May","Jun","Jul","Aug","Sep","Oct","Nov","Dec")</f>
        <v>Jan</v>
      </c>
      <c r="R257" s="41" t="n">
        <f aca="false">INT((K257-setMinDate)/7)+1</f>
        <v>5</v>
      </c>
      <c r="S257" s="41" t="n">
        <f aca="false">HOUR(L257)</f>
        <v>14</v>
      </c>
      <c r="T257" s="41" t="str">
        <f aca="false">IF(S257&lt;setMorningEnd,"Morning",IF(S257&lt;setAfternoonEnd,"Afternoon","Evening"))</f>
        <v>Afternoon</v>
      </c>
      <c r="U257" s="41" t="str">
        <f aca="false">IF(J257&gt;=setLarge,"Large",IF(J257&gt;=setMedium,"Medium","Small"))</f>
        <v>Small</v>
      </c>
      <c r="V257" s="41" t="str">
        <f aca="false">IF(P257&gt;=setExc,"Excellent",IF(P257&gt;=setGood,"Good",IF(P257&gt;=setAvg,"Average","Poor")))</f>
        <v>Excellent</v>
      </c>
    </row>
    <row r="258" customFormat="false" ht="15" hidden="false" customHeight="false" outlineLevel="0" collapsed="false">
      <c r="A258" s="41" t="s">
        <v>436</v>
      </c>
      <c r="B258" s="41" t="s">
        <v>178</v>
      </c>
      <c r="C258" s="41" t="s">
        <v>85</v>
      </c>
      <c r="D258" s="41" t="s">
        <v>104</v>
      </c>
      <c r="E258" s="41" t="s">
        <v>103</v>
      </c>
      <c r="F258" s="41" t="s">
        <v>78</v>
      </c>
      <c r="G258" s="42" t="n">
        <v>66.35</v>
      </c>
      <c r="H258" s="41" t="n">
        <v>1</v>
      </c>
      <c r="I258" s="42" t="n">
        <v>3.3175</v>
      </c>
      <c r="J258" s="42" t="n">
        <v>69.6675</v>
      </c>
      <c r="K258" s="43" t="n">
        <v>43496</v>
      </c>
      <c r="L258" s="44" t="n">
        <v>0.448611111111111</v>
      </c>
      <c r="M258" s="41" t="s">
        <v>99</v>
      </c>
      <c r="N258" s="42" t="n">
        <v>66.35</v>
      </c>
      <c r="O258" s="42" t="n">
        <v>3.3175</v>
      </c>
      <c r="P258" s="45" t="n">
        <v>9.7</v>
      </c>
      <c r="Q258" s="41" t="str">
        <f aca="false">CHOOSE(MONTH(K258),"Jan","Feb","Mar","Apr","May","Jun","Jul","Aug","Sep","Oct","Nov","Dec")</f>
        <v>Jan</v>
      </c>
      <c r="R258" s="41" t="n">
        <f aca="false">INT((K258-setMinDate)/7)+1</f>
        <v>5</v>
      </c>
      <c r="S258" s="41" t="n">
        <f aca="false">HOUR(L258)</f>
        <v>10</v>
      </c>
      <c r="T258" s="41" t="str">
        <f aca="false">IF(S258&lt;setMorningEnd,"Morning",IF(S258&lt;setAfternoonEnd,"Afternoon","Evening"))</f>
        <v>Morning</v>
      </c>
      <c r="U258" s="41" t="str">
        <f aca="false">IF(J258&gt;=setLarge,"Large",IF(J258&gt;=setMedium,"Medium","Small"))</f>
        <v>Small</v>
      </c>
      <c r="V258" s="41" t="str">
        <f aca="false">IF(P258&gt;=setExc,"Excellent",IF(P258&gt;=setGood,"Good",IF(P258&gt;=setAvg,"Average","Poor")))</f>
        <v>Excellent</v>
      </c>
    </row>
    <row r="259" customFormat="false" ht="15" hidden="false" customHeight="false" outlineLevel="0" collapsed="false">
      <c r="A259" s="41" t="s">
        <v>437</v>
      </c>
      <c r="B259" s="41" t="s">
        <v>178</v>
      </c>
      <c r="C259" s="41" t="s">
        <v>85</v>
      </c>
      <c r="D259" s="41" t="s">
        <v>104</v>
      </c>
      <c r="E259" s="41" t="s">
        <v>103</v>
      </c>
      <c r="F259" s="41" t="s">
        <v>80</v>
      </c>
      <c r="G259" s="42" t="n">
        <v>25.91</v>
      </c>
      <c r="H259" s="41" t="n">
        <v>6</v>
      </c>
      <c r="I259" s="42" t="n">
        <v>7.773</v>
      </c>
      <c r="J259" s="42" t="n">
        <v>163.233</v>
      </c>
      <c r="K259" s="43" t="n">
        <v>43501</v>
      </c>
      <c r="L259" s="44" t="n">
        <v>0.427777777777778</v>
      </c>
      <c r="M259" s="41" t="s">
        <v>98</v>
      </c>
      <c r="N259" s="42" t="n">
        <v>155.46</v>
      </c>
      <c r="O259" s="42" t="n">
        <v>7.773</v>
      </c>
      <c r="P259" s="45" t="n">
        <v>8.7</v>
      </c>
      <c r="Q259" s="41" t="str">
        <f aca="false">CHOOSE(MONTH(K259),"Jan","Feb","Mar","Apr","May","Jun","Jul","Aug","Sep","Oct","Nov","Dec")</f>
        <v>Feb</v>
      </c>
      <c r="R259" s="41" t="n">
        <f aca="false">INT((K259-setMinDate)/7)+1</f>
        <v>6</v>
      </c>
      <c r="S259" s="41" t="n">
        <f aca="false">HOUR(L259)</f>
        <v>10</v>
      </c>
      <c r="T259" s="41" t="str">
        <f aca="false">IF(S259&lt;setMorningEnd,"Morning",IF(S259&lt;setAfternoonEnd,"Afternoon","Evening"))</f>
        <v>Morning</v>
      </c>
      <c r="U259" s="41" t="str">
        <f aca="false">IF(J259&gt;=setLarge,"Large",IF(J259&gt;=setMedium,"Medium","Small"))</f>
        <v>Small</v>
      </c>
      <c r="V259" s="41" t="str">
        <f aca="false">IF(P259&gt;=setExc,"Excellent",IF(P259&gt;=setGood,"Good",IF(P259&gt;=setAvg,"Average","Poor")))</f>
        <v>Good</v>
      </c>
    </row>
    <row r="260" customFormat="false" ht="15" hidden="false" customHeight="false" outlineLevel="0" collapsed="false">
      <c r="A260" s="41" t="s">
        <v>438</v>
      </c>
      <c r="B260" s="41" t="s">
        <v>178</v>
      </c>
      <c r="C260" s="41" t="s">
        <v>85</v>
      </c>
      <c r="D260" s="41" t="s">
        <v>104</v>
      </c>
      <c r="E260" s="41" t="s">
        <v>103</v>
      </c>
      <c r="F260" s="41" t="s">
        <v>78</v>
      </c>
      <c r="G260" s="42" t="n">
        <v>32.25</v>
      </c>
      <c r="H260" s="41" t="n">
        <v>4</v>
      </c>
      <c r="I260" s="42" t="n">
        <v>6.45</v>
      </c>
      <c r="J260" s="42" t="n">
        <v>135.45</v>
      </c>
      <c r="K260" s="43" t="n">
        <v>43509</v>
      </c>
      <c r="L260" s="44" t="n">
        <v>0.526388888888889</v>
      </c>
      <c r="M260" s="41" t="s">
        <v>98</v>
      </c>
      <c r="N260" s="42" t="n">
        <v>129</v>
      </c>
      <c r="O260" s="42" t="n">
        <v>6.45</v>
      </c>
      <c r="P260" s="45" t="n">
        <v>6.5</v>
      </c>
      <c r="Q260" s="41" t="str">
        <f aca="false">CHOOSE(MONTH(K260),"Jan","Feb","Mar","Apr","May","Jun","Jul","Aug","Sep","Oct","Nov","Dec")</f>
        <v>Feb</v>
      </c>
      <c r="R260" s="41" t="n">
        <f aca="false">INT((K260-setMinDate)/7)+1</f>
        <v>7</v>
      </c>
      <c r="S260" s="41" t="n">
        <f aca="false">HOUR(L260)</f>
        <v>12</v>
      </c>
      <c r="T260" s="41" t="str">
        <f aca="false">IF(S260&lt;setMorningEnd,"Morning",IF(S260&lt;setAfternoonEnd,"Afternoon","Evening"))</f>
        <v>Afternoon</v>
      </c>
      <c r="U260" s="41" t="str">
        <f aca="false">IF(J260&gt;=setLarge,"Large",IF(J260&gt;=setMedium,"Medium","Small"))</f>
        <v>Small</v>
      </c>
      <c r="V260" s="41" t="str">
        <f aca="false">IF(P260&gt;=setExc,"Excellent",IF(P260&gt;=setGood,"Good",IF(P260&gt;=setAvg,"Average","Poor")))</f>
        <v>Average</v>
      </c>
    </row>
    <row r="261" customFormat="false" ht="15" hidden="false" customHeight="false" outlineLevel="0" collapsed="false">
      <c r="A261" s="41" t="s">
        <v>439</v>
      </c>
      <c r="B261" s="41" t="s">
        <v>180</v>
      </c>
      <c r="C261" s="41" t="s">
        <v>87</v>
      </c>
      <c r="D261" s="41" t="s">
        <v>104</v>
      </c>
      <c r="E261" s="41" t="s">
        <v>103</v>
      </c>
      <c r="F261" s="41" t="s">
        <v>78</v>
      </c>
      <c r="G261" s="42" t="n">
        <v>65.94</v>
      </c>
      <c r="H261" s="41" t="n">
        <v>4</v>
      </c>
      <c r="I261" s="42" t="n">
        <v>13.188</v>
      </c>
      <c r="J261" s="42" t="n">
        <v>276.948</v>
      </c>
      <c r="K261" s="43" t="n">
        <v>43503</v>
      </c>
      <c r="L261" s="44" t="n">
        <v>0.545138888888889</v>
      </c>
      <c r="M261" s="41" t="s">
        <v>99</v>
      </c>
      <c r="N261" s="42" t="n">
        <v>263.76</v>
      </c>
      <c r="O261" s="42" t="n">
        <v>13.188</v>
      </c>
      <c r="P261" s="45" t="n">
        <v>6.9</v>
      </c>
      <c r="Q261" s="41" t="str">
        <f aca="false">CHOOSE(MONTH(K261),"Jan","Feb","Mar","Apr","May","Jun","Jul","Aug","Sep","Oct","Nov","Dec")</f>
        <v>Feb</v>
      </c>
      <c r="R261" s="41" t="n">
        <f aca="false">INT((K261-setMinDate)/7)+1</f>
        <v>6</v>
      </c>
      <c r="S261" s="41" t="n">
        <f aca="false">HOUR(L261)</f>
        <v>13</v>
      </c>
      <c r="T261" s="41" t="str">
        <f aca="false">IF(S261&lt;setMorningEnd,"Morning",IF(S261&lt;setAfternoonEnd,"Afternoon","Evening"))</f>
        <v>Afternoon</v>
      </c>
      <c r="U261" s="41" t="str">
        <f aca="false">IF(J261&gt;=setLarge,"Large",IF(J261&gt;=setMedium,"Medium","Small"))</f>
        <v>Medium</v>
      </c>
      <c r="V261" s="41" t="str">
        <f aca="false">IF(P261&gt;=setExc,"Excellent",IF(P261&gt;=setGood,"Good",IF(P261&gt;=setAvg,"Average","Poor")))</f>
        <v>Average</v>
      </c>
    </row>
    <row r="262" customFormat="false" ht="15" hidden="false" customHeight="false" outlineLevel="0" collapsed="false">
      <c r="A262" s="41" t="s">
        <v>440</v>
      </c>
      <c r="B262" s="41" t="s">
        <v>178</v>
      </c>
      <c r="C262" s="41" t="s">
        <v>85</v>
      </c>
      <c r="D262" s="41" t="s">
        <v>105</v>
      </c>
      <c r="E262" s="41" t="s">
        <v>102</v>
      </c>
      <c r="F262" s="41" t="s">
        <v>78</v>
      </c>
      <c r="G262" s="42" t="n">
        <v>75.06</v>
      </c>
      <c r="H262" s="41" t="n">
        <v>9</v>
      </c>
      <c r="I262" s="42" t="n">
        <v>33.777</v>
      </c>
      <c r="J262" s="42" t="n">
        <v>709.317</v>
      </c>
      <c r="K262" s="43" t="n">
        <v>43543</v>
      </c>
      <c r="L262" s="44" t="n">
        <v>0.559027777777778</v>
      </c>
      <c r="M262" s="41" t="s">
        <v>98</v>
      </c>
      <c r="N262" s="42" t="n">
        <v>675.54</v>
      </c>
      <c r="O262" s="42" t="n">
        <v>33.777</v>
      </c>
      <c r="P262" s="45" t="n">
        <v>6.2</v>
      </c>
      <c r="Q262" s="41" t="str">
        <f aca="false">CHOOSE(MONTH(K262),"Jan","Feb","Mar","Apr","May","Jun","Jul","Aug","Sep","Oct","Nov","Dec")</f>
        <v>Mar</v>
      </c>
      <c r="R262" s="41" t="n">
        <f aca="false">INT((K262-setMinDate)/7)+1</f>
        <v>12</v>
      </c>
      <c r="S262" s="41" t="n">
        <f aca="false">HOUR(L262)</f>
        <v>13</v>
      </c>
      <c r="T262" s="41" t="str">
        <f aca="false">IF(S262&lt;setMorningEnd,"Morning",IF(S262&lt;setAfternoonEnd,"Afternoon","Evening"))</f>
        <v>Afternoon</v>
      </c>
      <c r="U262" s="41" t="str">
        <f aca="false">IF(J262&gt;=setLarge,"Large",IF(J262&gt;=setMedium,"Medium","Small"))</f>
        <v>Large</v>
      </c>
      <c r="V262" s="41" t="str">
        <f aca="false">IF(P262&gt;=setExc,"Excellent",IF(P262&gt;=setGood,"Good",IF(P262&gt;=setAvg,"Average","Poor")))</f>
        <v>Average</v>
      </c>
    </row>
    <row r="263" customFormat="false" ht="15" hidden="false" customHeight="false" outlineLevel="0" collapsed="false">
      <c r="A263" s="41" t="s">
        <v>441</v>
      </c>
      <c r="B263" s="41" t="s">
        <v>180</v>
      </c>
      <c r="C263" s="41" t="s">
        <v>87</v>
      </c>
      <c r="D263" s="41" t="s">
        <v>105</v>
      </c>
      <c r="E263" s="41" t="s">
        <v>102</v>
      </c>
      <c r="F263" s="41" t="s">
        <v>79</v>
      </c>
      <c r="G263" s="42" t="n">
        <v>16.45</v>
      </c>
      <c r="H263" s="41" t="n">
        <v>4</v>
      </c>
      <c r="I263" s="42" t="n">
        <v>3.29</v>
      </c>
      <c r="J263" s="42" t="n">
        <v>69.09</v>
      </c>
      <c r="K263" s="43" t="n">
        <v>43531</v>
      </c>
      <c r="L263" s="44" t="n">
        <v>0.620138888888889</v>
      </c>
      <c r="M263" s="41" t="s">
        <v>98</v>
      </c>
      <c r="N263" s="42" t="n">
        <v>65.8</v>
      </c>
      <c r="O263" s="42" t="n">
        <v>3.29</v>
      </c>
      <c r="P263" s="45" t="n">
        <v>5.6</v>
      </c>
      <c r="Q263" s="41" t="str">
        <f aca="false">CHOOSE(MONTH(K263),"Jan","Feb","Mar","Apr","May","Jun","Jul","Aug","Sep","Oct","Nov","Dec")</f>
        <v>Mar</v>
      </c>
      <c r="R263" s="41" t="n">
        <f aca="false">INT((K263-setMinDate)/7)+1</f>
        <v>10</v>
      </c>
      <c r="S263" s="41" t="n">
        <f aca="false">HOUR(L263)</f>
        <v>14</v>
      </c>
      <c r="T263" s="41" t="str">
        <f aca="false">IF(S263&lt;setMorningEnd,"Morning",IF(S263&lt;setAfternoonEnd,"Afternoon","Evening"))</f>
        <v>Afternoon</v>
      </c>
      <c r="U263" s="41" t="str">
        <f aca="false">IF(J263&gt;=setLarge,"Large",IF(J263&gt;=setMedium,"Medium","Small"))</f>
        <v>Small</v>
      </c>
      <c r="V263" s="41" t="str">
        <f aca="false">IF(P263&gt;=setExc,"Excellent",IF(P263&gt;=setGood,"Good",IF(P263&gt;=setAvg,"Average","Poor")))</f>
        <v>Average</v>
      </c>
    </row>
    <row r="264" customFormat="false" ht="15" hidden="false" customHeight="false" outlineLevel="0" collapsed="false">
      <c r="A264" s="41" t="s">
        <v>442</v>
      </c>
      <c r="B264" s="41" t="s">
        <v>189</v>
      </c>
      <c r="C264" s="41" t="s">
        <v>86</v>
      </c>
      <c r="D264" s="41" t="s">
        <v>104</v>
      </c>
      <c r="E264" s="41" t="s">
        <v>102</v>
      </c>
      <c r="F264" s="41" t="s">
        <v>79</v>
      </c>
      <c r="G264" s="42" t="n">
        <v>38.3</v>
      </c>
      <c r="H264" s="41" t="n">
        <v>4</v>
      </c>
      <c r="I264" s="42" t="n">
        <v>7.66</v>
      </c>
      <c r="J264" s="42" t="n">
        <v>160.86</v>
      </c>
      <c r="K264" s="43" t="n">
        <v>43537</v>
      </c>
      <c r="L264" s="44" t="n">
        <v>0.806944444444445</v>
      </c>
      <c r="M264" s="41" t="s">
        <v>97</v>
      </c>
      <c r="N264" s="42" t="n">
        <v>153.2</v>
      </c>
      <c r="O264" s="42" t="n">
        <v>7.66</v>
      </c>
      <c r="P264" s="45" t="n">
        <v>5.7</v>
      </c>
      <c r="Q264" s="41" t="str">
        <f aca="false">CHOOSE(MONTH(K264),"Jan","Feb","Mar","Apr","May","Jun","Jul","Aug","Sep","Oct","Nov","Dec")</f>
        <v>Mar</v>
      </c>
      <c r="R264" s="41" t="n">
        <f aca="false">INT((K264-setMinDate)/7)+1</f>
        <v>11</v>
      </c>
      <c r="S264" s="41" t="n">
        <f aca="false">HOUR(L264)</f>
        <v>19</v>
      </c>
      <c r="T264" s="41" t="str">
        <f aca="false">IF(S264&lt;setMorningEnd,"Morning",IF(S264&lt;setAfternoonEnd,"Afternoon","Evening"))</f>
        <v>Evening</v>
      </c>
      <c r="U264" s="41" t="str">
        <f aca="false">IF(J264&gt;=setLarge,"Large",IF(J264&gt;=setMedium,"Medium","Small"))</f>
        <v>Small</v>
      </c>
      <c r="V264" s="41" t="str">
        <f aca="false">IF(P264&gt;=setExc,"Excellent",IF(P264&gt;=setGood,"Good",IF(P264&gt;=setAvg,"Average","Poor")))</f>
        <v>Average</v>
      </c>
    </row>
    <row r="265" customFormat="false" ht="15" hidden="false" customHeight="false" outlineLevel="0" collapsed="false">
      <c r="A265" s="41" t="s">
        <v>443</v>
      </c>
      <c r="B265" s="41" t="s">
        <v>178</v>
      </c>
      <c r="C265" s="41" t="s">
        <v>85</v>
      </c>
      <c r="D265" s="41" t="s">
        <v>104</v>
      </c>
      <c r="E265" s="41" t="s">
        <v>102</v>
      </c>
      <c r="F265" s="41" t="s">
        <v>77</v>
      </c>
      <c r="G265" s="42" t="n">
        <v>22.24</v>
      </c>
      <c r="H265" s="41" t="n">
        <v>10</v>
      </c>
      <c r="I265" s="42" t="n">
        <v>11.12</v>
      </c>
      <c r="J265" s="42" t="n">
        <v>233.52</v>
      </c>
      <c r="K265" s="43" t="n">
        <v>43505</v>
      </c>
      <c r="L265" s="44" t="n">
        <v>0.458333333333333</v>
      </c>
      <c r="M265" s="41" t="s">
        <v>97</v>
      </c>
      <c r="N265" s="42" t="n">
        <v>222.4</v>
      </c>
      <c r="O265" s="42" t="n">
        <v>11.12</v>
      </c>
      <c r="P265" s="45" t="n">
        <v>4.2</v>
      </c>
      <c r="Q265" s="41" t="str">
        <f aca="false">CHOOSE(MONTH(K265),"Jan","Feb","Mar","Apr","May","Jun","Jul","Aug","Sep","Oct","Nov","Dec")</f>
        <v>Feb</v>
      </c>
      <c r="R265" s="41" t="n">
        <f aca="false">INT((K265-setMinDate)/7)+1</f>
        <v>6</v>
      </c>
      <c r="S265" s="41" t="n">
        <f aca="false">HOUR(L265)</f>
        <v>11</v>
      </c>
      <c r="T265" s="41" t="str">
        <f aca="false">IF(S265&lt;setMorningEnd,"Morning",IF(S265&lt;setAfternoonEnd,"Afternoon","Evening"))</f>
        <v>Morning</v>
      </c>
      <c r="U265" s="41" t="str">
        <f aca="false">IF(J265&gt;=setLarge,"Large",IF(J265&gt;=setMedium,"Medium","Small"))</f>
        <v>Small</v>
      </c>
      <c r="V265" s="41" t="str">
        <f aca="false">IF(P265&gt;=setExc,"Excellent",IF(P265&gt;=setGood,"Good",IF(P265&gt;=setAvg,"Average","Poor")))</f>
        <v>Poor</v>
      </c>
    </row>
    <row r="266" customFormat="false" ht="15" hidden="false" customHeight="false" outlineLevel="0" collapsed="false">
      <c r="A266" s="41" t="s">
        <v>444</v>
      </c>
      <c r="B266" s="41" t="s">
        <v>189</v>
      </c>
      <c r="C266" s="41" t="s">
        <v>86</v>
      </c>
      <c r="D266" s="41" t="s">
        <v>105</v>
      </c>
      <c r="E266" s="41" t="s">
        <v>103</v>
      </c>
      <c r="F266" s="41" t="s">
        <v>77</v>
      </c>
      <c r="G266" s="42" t="n">
        <v>54.45</v>
      </c>
      <c r="H266" s="41" t="n">
        <v>1</v>
      </c>
      <c r="I266" s="42" t="n">
        <v>2.7225</v>
      </c>
      <c r="J266" s="42" t="n">
        <v>57.1725</v>
      </c>
      <c r="K266" s="43" t="n">
        <v>43522</v>
      </c>
      <c r="L266" s="44" t="n">
        <v>0.808333333333333</v>
      </c>
      <c r="M266" s="41" t="s">
        <v>98</v>
      </c>
      <c r="N266" s="42" t="n">
        <v>54.45</v>
      </c>
      <c r="O266" s="42" t="n">
        <v>2.7225</v>
      </c>
      <c r="P266" s="45" t="n">
        <v>7.9</v>
      </c>
      <c r="Q266" s="41" t="str">
        <f aca="false">CHOOSE(MONTH(K266),"Jan","Feb","Mar","Apr","May","Jun","Jul","Aug","Sep","Oct","Nov","Dec")</f>
        <v>Feb</v>
      </c>
      <c r="R266" s="41" t="n">
        <f aca="false">INT((K266-setMinDate)/7)+1</f>
        <v>9</v>
      </c>
      <c r="S266" s="41" t="n">
        <f aca="false">HOUR(L266)</f>
        <v>19</v>
      </c>
      <c r="T266" s="41" t="str">
        <f aca="false">IF(S266&lt;setMorningEnd,"Morning",IF(S266&lt;setAfternoonEnd,"Afternoon","Evening"))</f>
        <v>Evening</v>
      </c>
      <c r="U266" s="41" t="str">
        <f aca="false">IF(J266&gt;=setLarge,"Large",IF(J266&gt;=setMedium,"Medium","Small"))</f>
        <v>Small</v>
      </c>
      <c r="V266" s="41" t="str">
        <f aca="false">IF(P266&gt;=setExc,"Excellent",IF(P266&gt;=setGood,"Good",IF(P266&gt;=setAvg,"Average","Poor")))</f>
        <v>Good</v>
      </c>
    </row>
    <row r="267" customFormat="false" ht="15" hidden="false" customHeight="false" outlineLevel="0" collapsed="false">
      <c r="A267" s="41" t="s">
        <v>445</v>
      </c>
      <c r="B267" s="41" t="s">
        <v>178</v>
      </c>
      <c r="C267" s="41" t="s">
        <v>85</v>
      </c>
      <c r="D267" s="41" t="s">
        <v>104</v>
      </c>
      <c r="E267" s="41" t="s">
        <v>102</v>
      </c>
      <c r="F267" s="41" t="s">
        <v>77</v>
      </c>
      <c r="G267" s="42" t="n">
        <v>98.4</v>
      </c>
      <c r="H267" s="41" t="n">
        <v>7</v>
      </c>
      <c r="I267" s="42" t="n">
        <v>34.44</v>
      </c>
      <c r="J267" s="42" t="n">
        <v>723.24</v>
      </c>
      <c r="K267" s="43" t="n">
        <v>43536</v>
      </c>
      <c r="L267" s="44" t="n">
        <v>0.529861111111111</v>
      </c>
      <c r="M267" s="41" t="s">
        <v>99</v>
      </c>
      <c r="N267" s="42" t="n">
        <v>688.8</v>
      </c>
      <c r="O267" s="42" t="n">
        <v>34.44</v>
      </c>
      <c r="P267" s="45" t="n">
        <v>8.7</v>
      </c>
      <c r="Q267" s="41" t="str">
        <f aca="false">CHOOSE(MONTH(K267),"Jan","Feb","Mar","Apr","May","Jun","Jul","Aug","Sep","Oct","Nov","Dec")</f>
        <v>Mar</v>
      </c>
      <c r="R267" s="41" t="n">
        <f aca="false">INT((K267-setMinDate)/7)+1</f>
        <v>11</v>
      </c>
      <c r="S267" s="41" t="n">
        <f aca="false">HOUR(L267)</f>
        <v>12</v>
      </c>
      <c r="T267" s="41" t="str">
        <f aca="false">IF(S267&lt;setMorningEnd,"Morning",IF(S267&lt;setAfternoonEnd,"Afternoon","Evening"))</f>
        <v>Afternoon</v>
      </c>
      <c r="U267" s="41" t="str">
        <f aca="false">IF(J267&gt;=setLarge,"Large",IF(J267&gt;=setMedium,"Medium","Small"))</f>
        <v>Large</v>
      </c>
      <c r="V267" s="41" t="str">
        <f aca="false">IF(P267&gt;=setExc,"Excellent",IF(P267&gt;=setGood,"Good",IF(P267&gt;=setAvg,"Average","Poor")))</f>
        <v>Good</v>
      </c>
    </row>
    <row r="268" customFormat="false" ht="15" hidden="false" customHeight="false" outlineLevel="0" collapsed="false">
      <c r="A268" s="41" t="s">
        <v>446</v>
      </c>
      <c r="B268" s="41" t="s">
        <v>180</v>
      </c>
      <c r="C268" s="41" t="s">
        <v>87</v>
      </c>
      <c r="D268" s="41" t="s">
        <v>105</v>
      </c>
      <c r="E268" s="41" t="s">
        <v>103</v>
      </c>
      <c r="F268" s="41" t="s">
        <v>80</v>
      </c>
      <c r="G268" s="42" t="n">
        <v>35.47</v>
      </c>
      <c r="H268" s="41" t="n">
        <v>4</v>
      </c>
      <c r="I268" s="42" t="n">
        <v>7.094</v>
      </c>
      <c r="J268" s="42" t="n">
        <v>148.974</v>
      </c>
      <c r="K268" s="43" t="n">
        <v>43538</v>
      </c>
      <c r="L268" s="44" t="n">
        <v>0.723611111111111</v>
      </c>
      <c r="M268" s="41" t="s">
        <v>99</v>
      </c>
      <c r="N268" s="42" t="n">
        <v>141.88</v>
      </c>
      <c r="O268" s="42" t="n">
        <v>7.094</v>
      </c>
      <c r="P268" s="45" t="n">
        <v>6.9</v>
      </c>
      <c r="Q268" s="41" t="str">
        <f aca="false">CHOOSE(MONTH(K268),"Jan","Feb","Mar","Apr","May","Jun","Jul","Aug","Sep","Oct","Nov","Dec")</f>
        <v>Mar</v>
      </c>
      <c r="R268" s="41" t="n">
        <f aca="false">INT((K268-setMinDate)/7)+1</f>
        <v>11</v>
      </c>
      <c r="S268" s="41" t="n">
        <f aca="false">HOUR(L268)</f>
        <v>17</v>
      </c>
      <c r="T268" s="41" t="str">
        <f aca="false">IF(S268&lt;setMorningEnd,"Morning",IF(S268&lt;setAfternoonEnd,"Afternoon","Evening"))</f>
        <v>Evening</v>
      </c>
      <c r="U268" s="41" t="str">
        <f aca="false">IF(J268&gt;=setLarge,"Large",IF(J268&gt;=setMedium,"Medium","Small"))</f>
        <v>Small</v>
      </c>
      <c r="V268" s="41" t="str">
        <f aca="false">IF(P268&gt;=setExc,"Excellent",IF(P268&gt;=setGood,"Good",IF(P268&gt;=setAvg,"Average","Poor")))</f>
        <v>Average</v>
      </c>
    </row>
    <row r="269" customFormat="false" ht="15" hidden="false" customHeight="false" outlineLevel="0" collapsed="false">
      <c r="A269" s="41" t="s">
        <v>447</v>
      </c>
      <c r="B269" s="41" t="s">
        <v>189</v>
      </c>
      <c r="C269" s="41" t="s">
        <v>86</v>
      </c>
      <c r="D269" s="41" t="s">
        <v>104</v>
      </c>
      <c r="E269" s="41" t="s">
        <v>102</v>
      </c>
      <c r="F269" s="41" t="s">
        <v>76</v>
      </c>
      <c r="G269" s="42" t="n">
        <v>74.6</v>
      </c>
      <c r="H269" s="41" t="n">
        <v>10</v>
      </c>
      <c r="I269" s="42" t="n">
        <v>37.3</v>
      </c>
      <c r="J269" s="42" t="n">
        <v>783.3</v>
      </c>
      <c r="K269" s="43" t="n">
        <v>43473</v>
      </c>
      <c r="L269" s="44" t="n">
        <v>0.871527777777778</v>
      </c>
      <c r="M269" s="41" t="s">
        <v>97</v>
      </c>
      <c r="N269" s="42" t="n">
        <v>746</v>
      </c>
      <c r="O269" s="42" t="n">
        <v>37.3</v>
      </c>
      <c r="P269" s="45" t="n">
        <v>9.5</v>
      </c>
      <c r="Q269" s="41" t="str">
        <f aca="false">CHOOSE(MONTH(K269),"Jan","Feb","Mar","Apr","May","Jun","Jul","Aug","Sep","Oct","Nov","Dec")</f>
        <v>Jan</v>
      </c>
      <c r="R269" s="41" t="n">
        <f aca="false">INT((K269-setMinDate)/7)+1</f>
        <v>2</v>
      </c>
      <c r="S269" s="41" t="n">
        <f aca="false">HOUR(L269)</f>
        <v>20</v>
      </c>
      <c r="T269" s="41" t="str">
        <f aca="false">IF(S269&lt;setMorningEnd,"Morning",IF(S269&lt;setAfternoonEnd,"Afternoon","Evening"))</f>
        <v>Evening</v>
      </c>
      <c r="U269" s="41" t="str">
        <f aca="false">IF(J269&gt;=setLarge,"Large",IF(J269&gt;=setMedium,"Medium","Small"))</f>
        <v>Large</v>
      </c>
      <c r="V269" s="41" t="str">
        <f aca="false">IF(P269&gt;=setExc,"Excellent",IF(P269&gt;=setGood,"Good",IF(P269&gt;=setAvg,"Average","Poor")))</f>
        <v>Excellent</v>
      </c>
    </row>
    <row r="270" customFormat="false" ht="15" hidden="false" customHeight="false" outlineLevel="0" collapsed="false">
      <c r="A270" s="41" t="s">
        <v>448</v>
      </c>
      <c r="B270" s="41" t="s">
        <v>178</v>
      </c>
      <c r="C270" s="41" t="s">
        <v>85</v>
      </c>
      <c r="D270" s="41" t="s">
        <v>104</v>
      </c>
      <c r="E270" s="41" t="s">
        <v>103</v>
      </c>
      <c r="F270" s="41" t="s">
        <v>80</v>
      </c>
      <c r="G270" s="42" t="n">
        <v>70.74</v>
      </c>
      <c r="H270" s="41" t="n">
        <v>4</v>
      </c>
      <c r="I270" s="42" t="n">
        <v>14.148</v>
      </c>
      <c r="J270" s="42" t="n">
        <v>297.108</v>
      </c>
      <c r="K270" s="43" t="n">
        <v>43470</v>
      </c>
      <c r="L270" s="44" t="n">
        <v>0.670138888888889</v>
      </c>
      <c r="M270" s="41" t="s">
        <v>99</v>
      </c>
      <c r="N270" s="42" t="n">
        <v>282.96</v>
      </c>
      <c r="O270" s="42" t="n">
        <v>14.148</v>
      </c>
      <c r="P270" s="45" t="n">
        <v>4.4</v>
      </c>
      <c r="Q270" s="41" t="str">
        <f aca="false">CHOOSE(MONTH(K270),"Jan","Feb","Mar","Apr","May","Jun","Jul","Aug","Sep","Oct","Nov","Dec")</f>
        <v>Jan</v>
      </c>
      <c r="R270" s="41" t="n">
        <f aca="false">INT((K270-setMinDate)/7)+1</f>
        <v>1</v>
      </c>
      <c r="S270" s="41" t="n">
        <f aca="false">HOUR(L270)</f>
        <v>16</v>
      </c>
      <c r="T270" s="41" t="str">
        <f aca="false">IF(S270&lt;setMorningEnd,"Morning",IF(S270&lt;setAfternoonEnd,"Afternoon","Evening"))</f>
        <v>Afternoon</v>
      </c>
      <c r="U270" s="41" t="str">
        <f aca="false">IF(J270&gt;=setLarge,"Large",IF(J270&gt;=setMedium,"Medium","Small"))</f>
        <v>Medium</v>
      </c>
      <c r="V270" s="41" t="str">
        <f aca="false">IF(P270&gt;=setExc,"Excellent",IF(P270&gt;=setGood,"Good",IF(P270&gt;=setAvg,"Average","Poor")))</f>
        <v>Poor</v>
      </c>
    </row>
    <row r="271" customFormat="false" ht="15" hidden="false" customHeight="false" outlineLevel="0" collapsed="false">
      <c r="A271" s="41" t="s">
        <v>449</v>
      </c>
      <c r="B271" s="41" t="s">
        <v>178</v>
      </c>
      <c r="C271" s="41" t="s">
        <v>85</v>
      </c>
      <c r="D271" s="41" t="s">
        <v>104</v>
      </c>
      <c r="E271" s="41" t="s">
        <v>102</v>
      </c>
      <c r="F271" s="41" t="s">
        <v>80</v>
      </c>
      <c r="G271" s="42" t="n">
        <v>35.54</v>
      </c>
      <c r="H271" s="41" t="n">
        <v>10</v>
      </c>
      <c r="I271" s="42" t="n">
        <v>17.77</v>
      </c>
      <c r="J271" s="42" t="n">
        <v>373.17</v>
      </c>
      <c r="K271" s="43" t="n">
        <v>43469</v>
      </c>
      <c r="L271" s="44" t="n">
        <v>0.565277777777778</v>
      </c>
      <c r="M271" s="41" t="s">
        <v>98</v>
      </c>
      <c r="N271" s="42" t="n">
        <v>355.4</v>
      </c>
      <c r="O271" s="42" t="n">
        <v>17.77</v>
      </c>
      <c r="P271" s="45" t="n">
        <v>7</v>
      </c>
      <c r="Q271" s="41" t="str">
        <f aca="false">CHOOSE(MONTH(K271),"Jan","Feb","Mar","Apr","May","Jun","Jul","Aug","Sep","Oct","Nov","Dec")</f>
        <v>Jan</v>
      </c>
      <c r="R271" s="41" t="n">
        <f aca="false">INT((K271-setMinDate)/7)+1</f>
        <v>1</v>
      </c>
      <c r="S271" s="41" t="n">
        <f aca="false">HOUR(L271)</f>
        <v>13</v>
      </c>
      <c r="T271" s="41" t="str">
        <f aca="false">IF(S271&lt;setMorningEnd,"Morning",IF(S271&lt;setAfternoonEnd,"Afternoon","Evening"))</f>
        <v>Afternoon</v>
      </c>
      <c r="U271" s="41" t="str">
        <f aca="false">IF(J271&gt;=setLarge,"Large",IF(J271&gt;=setMedium,"Medium","Small"))</f>
        <v>Medium</v>
      </c>
      <c r="V271" s="41" t="str">
        <f aca="false">IF(P271&gt;=setExc,"Excellent",IF(P271&gt;=setGood,"Good",IF(P271&gt;=setAvg,"Average","Poor")))</f>
        <v>Good</v>
      </c>
    </row>
    <row r="272" customFormat="false" ht="15" hidden="false" customHeight="false" outlineLevel="0" collapsed="false">
      <c r="A272" s="41" t="s">
        <v>450</v>
      </c>
      <c r="B272" s="41" t="s">
        <v>189</v>
      </c>
      <c r="C272" s="41" t="s">
        <v>86</v>
      </c>
      <c r="D272" s="41" t="s">
        <v>105</v>
      </c>
      <c r="E272" s="41" t="s">
        <v>102</v>
      </c>
      <c r="F272" s="41" t="s">
        <v>77</v>
      </c>
      <c r="G272" s="42" t="n">
        <v>67.43</v>
      </c>
      <c r="H272" s="41" t="n">
        <v>5</v>
      </c>
      <c r="I272" s="42" t="n">
        <v>16.8575</v>
      </c>
      <c r="J272" s="42" t="n">
        <v>354.0075</v>
      </c>
      <c r="K272" s="43" t="n">
        <v>43530</v>
      </c>
      <c r="L272" s="44" t="n">
        <v>0.759027777777778</v>
      </c>
      <c r="M272" s="41" t="s">
        <v>98</v>
      </c>
      <c r="N272" s="42" t="n">
        <v>337.15</v>
      </c>
      <c r="O272" s="42" t="n">
        <v>16.8575</v>
      </c>
      <c r="P272" s="45" t="n">
        <v>6.3</v>
      </c>
      <c r="Q272" s="41" t="str">
        <f aca="false">CHOOSE(MONTH(K272),"Jan","Feb","Mar","Apr","May","Jun","Jul","Aug","Sep","Oct","Nov","Dec")</f>
        <v>Mar</v>
      </c>
      <c r="R272" s="41" t="n">
        <f aca="false">INT((K272-setMinDate)/7)+1</f>
        <v>10</v>
      </c>
      <c r="S272" s="41" t="n">
        <f aca="false">HOUR(L272)</f>
        <v>18</v>
      </c>
      <c r="T272" s="41" t="str">
        <f aca="false">IF(S272&lt;setMorningEnd,"Morning",IF(S272&lt;setAfternoonEnd,"Afternoon","Evening"))</f>
        <v>Evening</v>
      </c>
      <c r="U272" s="41" t="str">
        <f aca="false">IF(J272&gt;=setLarge,"Large",IF(J272&gt;=setMedium,"Medium","Small"))</f>
        <v>Medium</v>
      </c>
      <c r="V272" s="41" t="str">
        <f aca="false">IF(P272&gt;=setExc,"Excellent",IF(P272&gt;=setGood,"Good",IF(P272&gt;=setAvg,"Average","Poor")))</f>
        <v>Average</v>
      </c>
    </row>
    <row r="273" customFormat="false" ht="15" hidden="false" customHeight="false" outlineLevel="0" collapsed="false">
      <c r="A273" s="41" t="s">
        <v>451</v>
      </c>
      <c r="B273" s="41" t="s">
        <v>180</v>
      </c>
      <c r="C273" s="41" t="s">
        <v>87</v>
      </c>
      <c r="D273" s="41" t="s">
        <v>104</v>
      </c>
      <c r="E273" s="41" t="s">
        <v>102</v>
      </c>
      <c r="F273" s="41" t="s">
        <v>81</v>
      </c>
      <c r="G273" s="42" t="n">
        <v>21.12</v>
      </c>
      <c r="H273" s="41" t="n">
        <v>2</v>
      </c>
      <c r="I273" s="42" t="n">
        <v>2.112</v>
      </c>
      <c r="J273" s="42" t="n">
        <v>44.352</v>
      </c>
      <c r="K273" s="43" t="n">
        <v>43468</v>
      </c>
      <c r="L273" s="44" t="n">
        <v>0.803472222222222</v>
      </c>
      <c r="M273" s="41" t="s">
        <v>97</v>
      </c>
      <c r="N273" s="42" t="n">
        <v>42.24</v>
      </c>
      <c r="O273" s="42" t="n">
        <v>2.112</v>
      </c>
      <c r="P273" s="45" t="n">
        <v>9.7</v>
      </c>
      <c r="Q273" s="41" t="str">
        <f aca="false">CHOOSE(MONTH(K273),"Jan","Feb","Mar","Apr","May","Jun","Jul","Aug","Sep","Oct","Nov","Dec")</f>
        <v>Jan</v>
      </c>
      <c r="R273" s="41" t="n">
        <f aca="false">INT((K273-setMinDate)/7)+1</f>
        <v>1</v>
      </c>
      <c r="S273" s="41" t="n">
        <f aca="false">HOUR(L273)</f>
        <v>19</v>
      </c>
      <c r="T273" s="41" t="str">
        <f aca="false">IF(S273&lt;setMorningEnd,"Morning",IF(S273&lt;setAfternoonEnd,"Afternoon","Evening"))</f>
        <v>Evening</v>
      </c>
      <c r="U273" s="41" t="str">
        <f aca="false">IF(J273&gt;=setLarge,"Large",IF(J273&gt;=setMedium,"Medium","Small"))</f>
        <v>Small</v>
      </c>
      <c r="V273" s="41" t="str">
        <f aca="false">IF(P273&gt;=setExc,"Excellent",IF(P273&gt;=setGood,"Good",IF(P273&gt;=setAvg,"Average","Poor")))</f>
        <v>Excellent</v>
      </c>
    </row>
    <row r="274" customFormat="false" ht="15" hidden="false" customHeight="false" outlineLevel="0" collapsed="false">
      <c r="A274" s="41" t="s">
        <v>452</v>
      </c>
      <c r="B274" s="41" t="s">
        <v>178</v>
      </c>
      <c r="C274" s="41" t="s">
        <v>85</v>
      </c>
      <c r="D274" s="41" t="s">
        <v>104</v>
      </c>
      <c r="E274" s="41" t="s">
        <v>102</v>
      </c>
      <c r="F274" s="41" t="s">
        <v>80</v>
      </c>
      <c r="G274" s="42" t="n">
        <v>21.54</v>
      </c>
      <c r="H274" s="41" t="n">
        <v>9</v>
      </c>
      <c r="I274" s="42" t="n">
        <v>9.693</v>
      </c>
      <c r="J274" s="42" t="n">
        <v>203.553</v>
      </c>
      <c r="K274" s="43" t="n">
        <v>43472</v>
      </c>
      <c r="L274" s="44" t="n">
        <v>0.488888888888889</v>
      </c>
      <c r="M274" s="41" t="s">
        <v>99</v>
      </c>
      <c r="N274" s="42" t="n">
        <v>193.86</v>
      </c>
      <c r="O274" s="42" t="n">
        <v>9.693</v>
      </c>
      <c r="P274" s="45" t="n">
        <v>8.8</v>
      </c>
      <c r="Q274" s="41" t="str">
        <f aca="false">CHOOSE(MONTH(K274),"Jan","Feb","Mar","Apr","May","Jun","Jul","Aug","Sep","Oct","Nov","Dec")</f>
        <v>Jan</v>
      </c>
      <c r="R274" s="41" t="n">
        <f aca="false">INT((K274-setMinDate)/7)+1</f>
        <v>1</v>
      </c>
      <c r="S274" s="41" t="n">
        <f aca="false">HOUR(L274)</f>
        <v>11</v>
      </c>
      <c r="T274" s="41" t="str">
        <f aca="false">IF(S274&lt;setMorningEnd,"Morning",IF(S274&lt;setAfternoonEnd,"Afternoon","Evening"))</f>
        <v>Morning</v>
      </c>
      <c r="U274" s="41" t="str">
        <f aca="false">IF(J274&gt;=setLarge,"Large",IF(J274&gt;=setMedium,"Medium","Small"))</f>
        <v>Small</v>
      </c>
      <c r="V274" s="41" t="str">
        <f aca="false">IF(P274&gt;=setExc,"Excellent",IF(P274&gt;=setGood,"Good",IF(P274&gt;=setAvg,"Average","Poor")))</f>
        <v>Good</v>
      </c>
    </row>
    <row r="275" customFormat="false" ht="15" hidden="false" customHeight="false" outlineLevel="0" collapsed="false">
      <c r="A275" s="41" t="s">
        <v>453</v>
      </c>
      <c r="B275" s="41" t="s">
        <v>178</v>
      </c>
      <c r="C275" s="41" t="s">
        <v>85</v>
      </c>
      <c r="D275" s="41" t="s">
        <v>105</v>
      </c>
      <c r="E275" s="41" t="s">
        <v>102</v>
      </c>
      <c r="F275" s="41" t="s">
        <v>80</v>
      </c>
      <c r="G275" s="42" t="n">
        <v>12.03</v>
      </c>
      <c r="H275" s="41" t="n">
        <v>2</v>
      </c>
      <c r="I275" s="42" t="n">
        <v>1.203</v>
      </c>
      <c r="J275" s="42" t="n">
        <v>25.263</v>
      </c>
      <c r="K275" s="43" t="n">
        <v>43492</v>
      </c>
      <c r="L275" s="44" t="n">
        <v>0.660416666666667</v>
      </c>
      <c r="M275" s="41" t="s">
        <v>97</v>
      </c>
      <c r="N275" s="42" t="n">
        <v>24.06</v>
      </c>
      <c r="O275" s="42" t="n">
        <v>1.203</v>
      </c>
      <c r="P275" s="45" t="n">
        <v>5.1</v>
      </c>
      <c r="Q275" s="41" t="str">
        <f aca="false">CHOOSE(MONTH(K275),"Jan","Feb","Mar","Apr","May","Jun","Jul","Aug","Sep","Oct","Nov","Dec")</f>
        <v>Jan</v>
      </c>
      <c r="R275" s="41" t="n">
        <f aca="false">INT((K275-setMinDate)/7)+1</f>
        <v>4</v>
      </c>
      <c r="S275" s="41" t="n">
        <f aca="false">HOUR(L275)</f>
        <v>15</v>
      </c>
      <c r="T275" s="41" t="str">
        <f aca="false">IF(S275&lt;setMorningEnd,"Morning",IF(S275&lt;setAfternoonEnd,"Afternoon","Evening"))</f>
        <v>Afternoon</v>
      </c>
      <c r="U275" s="41" t="str">
        <f aca="false">IF(J275&gt;=setLarge,"Large",IF(J275&gt;=setMedium,"Medium","Small"))</f>
        <v>Small</v>
      </c>
      <c r="V275" s="41" t="str">
        <f aca="false">IF(P275&gt;=setExc,"Excellent",IF(P275&gt;=setGood,"Good",IF(P275&gt;=setAvg,"Average","Poor")))</f>
        <v>Average</v>
      </c>
    </row>
    <row r="276" customFormat="false" ht="15" hidden="false" customHeight="false" outlineLevel="0" collapsed="false">
      <c r="A276" s="41" t="s">
        <v>454</v>
      </c>
      <c r="B276" s="41" t="s">
        <v>189</v>
      </c>
      <c r="C276" s="41" t="s">
        <v>86</v>
      </c>
      <c r="D276" s="41" t="s">
        <v>105</v>
      </c>
      <c r="E276" s="41" t="s">
        <v>102</v>
      </c>
      <c r="F276" s="41" t="s">
        <v>81</v>
      </c>
      <c r="G276" s="42" t="n">
        <v>99.71</v>
      </c>
      <c r="H276" s="41" t="n">
        <v>6</v>
      </c>
      <c r="I276" s="42" t="n">
        <v>29.913</v>
      </c>
      <c r="J276" s="42" t="n">
        <v>628.173</v>
      </c>
      <c r="K276" s="43" t="n">
        <v>43522</v>
      </c>
      <c r="L276" s="44" t="n">
        <v>0.702777777777778</v>
      </c>
      <c r="M276" s="41" t="s">
        <v>98</v>
      </c>
      <c r="N276" s="42" t="n">
        <v>598.26</v>
      </c>
      <c r="O276" s="42" t="n">
        <v>29.913</v>
      </c>
      <c r="P276" s="45" t="n">
        <v>7.9</v>
      </c>
      <c r="Q276" s="41" t="str">
        <f aca="false">CHOOSE(MONTH(K276),"Jan","Feb","Mar","Apr","May","Jun","Jul","Aug","Sep","Oct","Nov","Dec")</f>
        <v>Feb</v>
      </c>
      <c r="R276" s="41" t="n">
        <f aca="false">INT((K276-setMinDate)/7)+1</f>
        <v>9</v>
      </c>
      <c r="S276" s="41" t="n">
        <f aca="false">HOUR(L276)</f>
        <v>16</v>
      </c>
      <c r="T276" s="41" t="str">
        <f aca="false">IF(S276&lt;setMorningEnd,"Morning",IF(S276&lt;setAfternoonEnd,"Afternoon","Evening"))</f>
        <v>Afternoon</v>
      </c>
      <c r="U276" s="41" t="str">
        <f aca="false">IF(J276&gt;=setLarge,"Large",IF(J276&gt;=setMedium,"Medium","Small"))</f>
        <v>Large</v>
      </c>
      <c r="V276" s="41" t="str">
        <f aca="false">IF(P276&gt;=setExc,"Excellent",IF(P276&gt;=setGood,"Good",IF(P276&gt;=setAvg,"Average","Poor")))</f>
        <v>Good</v>
      </c>
    </row>
    <row r="277" customFormat="false" ht="15" hidden="false" customHeight="false" outlineLevel="0" collapsed="false">
      <c r="A277" s="41" t="s">
        <v>455</v>
      </c>
      <c r="B277" s="41" t="s">
        <v>189</v>
      </c>
      <c r="C277" s="41" t="s">
        <v>86</v>
      </c>
      <c r="D277" s="41" t="s">
        <v>105</v>
      </c>
      <c r="E277" s="41" t="s">
        <v>103</v>
      </c>
      <c r="F277" s="41" t="s">
        <v>79</v>
      </c>
      <c r="G277" s="42" t="n">
        <v>47.97</v>
      </c>
      <c r="H277" s="41" t="n">
        <v>7</v>
      </c>
      <c r="I277" s="42" t="n">
        <v>16.7895</v>
      </c>
      <c r="J277" s="42" t="n">
        <v>352.5795</v>
      </c>
      <c r="K277" s="43" t="n">
        <v>43472</v>
      </c>
      <c r="L277" s="44" t="n">
        <v>0.869444444444445</v>
      </c>
      <c r="M277" s="41" t="s">
        <v>97</v>
      </c>
      <c r="N277" s="42" t="n">
        <v>335.79</v>
      </c>
      <c r="O277" s="42" t="n">
        <v>16.7895</v>
      </c>
      <c r="P277" s="45" t="n">
        <v>6.2</v>
      </c>
      <c r="Q277" s="41" t="str">
        <f aca="false">CHOOSE(MONTH(K277),"Jan","Feb","Mar","Apr","May","Jun","Jul","Aug","Sep","Oct","Nov","Dec")</f>
        <v>Jan</v>
      </c>
      <c r="R277" s="41" t="n">
        <f aca="false">INT((K277-setMinDate)/7)+1</f>
        <v>1</v>
      </c>
      <c r="S277" s="41" t="n">
        <f aca="false">HOUR(L277)</f>
        <v>20</v>
      </c>
      <c r="T277" s="41" t="str">
        <f aca="false">IF(S277&lt;setMorningEnd,"Morning",IF(S277&lt;setAfternoonEnd,"Afternoon","Evening"))</f>
        <v>Evening</v>
      </c>
      <c r="U277" s="41" t="str">
        <f aca="false">IF(J277&gt;=setLarge,"Large",IF(J277&gt;=setMedium,"Medium","Small"))</f>
        <v>Medium</v>
      </c>
      <c r="V277" s="41" t="str">
        <f aca="false">IF(P277&gt;=setExc,"Excellent",IF(P277&gt;=setGood,"Good",IF(P277&gt;=setAvg,"Average","Poor")))</f>
        <v>Average</v>
      </c>
    </row>
    <row r="278" customFormat="false" ht="15" hidden="false" customHeight="false" outlineLevel="0" collapsed="false">
      <c r="A278" s="41" t="s">
        <v>456</v>
      </c>
      <c r="B278" s="41" t="s">
        <v>180</v>
      </c>
      <c r="C278" s="41" t="s">
        <v>87</v>
      </c>
      <c r="D278" s="41" t="s">
        <v>104</v>
      </c>
      <c r="E278" s="41" t="s">
        <v>102</v>
      </c>
      <c r="F278" s="41" t="s">
        <v>80</v>
      </c>
      <c r="G278" s="42" t="n">
        <v>21.82</v>
      </c>
      <c r="H278" s="41" t="n">
        <v>10</v>
      </c>
      <c r="I278" s="42" t="n">
        <v>10.91</v>
      </c>
      <c r="J278" s="42" t="n">
        <v>229.11</v>
      </c>
      <c r="K278" s="43" t="n">
        <v>43472</v>
      </c>
      <c r="L278" s="44" t="n">
        <v>0.733333333333333</v>
      </c>
      <c r="M278" s="41" t="s">
        <v>97</v>
      </c>
      <c r="N278" s="42" t="n">
        <v>218.2</v>
      </c>
      <c r="O278" s="42" t="n">
        <v>10.91</v>
      </c>
      <c r="P278" s="45" t="n">
        <v>7.1</v>
      </c>
      <c r="Q278" s="41" t="str">
        <f aca="false">CHOOSE(MONTH(K278),"Jan","Feb","Mar","Apr","May","Jun","Jul","Aug","Sep","Oct","Nov","Dec")</f>
        <v>Jan</v>
      </c>
      <c r="R278" s="41" t="n">
        <f aca="false">INT((K278-setMinDate)/7)+1</f>
        <v>1</v>
      </c>
      <c r="S278" s="41" t="n">
        <f aca="false">HOUR(L278)</f>
        <v>17</v>
      </c>
      <c r="T278" s="41" t="str">
        <f aca="false">IF(S278&lt;setMorningEnd,"Morning",IF(S278&lt;setAfternoonEnd,"Afternoon","Evening"))</f>
        <v>Evening</v>
      </c>
      <c r="U278" s="41" t="str">
        <f aca="false">IF(J278&gt;=setLarge,"Large",IF(J278&gt;=setMedium,"Medium","Small"))</f>
        <v>Small</v>
      </c>
      <c r="V278" s="41" t="str">
        <f aca="false">IF(P278&gt;=setExc,"Excellent",IF(P278&gt;=setGood,"Good",IF(P278&gt;=setAvg,"Average","Poor")))</f>
        <v>Good</v>
      </c>
    </row>
    <row r="279" customFormat="false" ht="15" hidden="false" customHeight="false" outlineLevel="0" collapsed="false">
      <c r="A279" s="41" t="s">
        <v>457</v>
      </c>
      <c r="B279" s="41" t="s">
        <v>180</v>
      </c>
      <c r="C279" s="41" t="s">
        <v>87</v>
      </c>
      <c r="D279" s="41" t="s">
        <v>105</v>
      </c>
      <c r="E279" s="41" t="s">
        <v>102</v>
      </c>
      <c r="F279" s="41" t="s">
        <v>79</v>
      </c>
      <c r="G279" s="42" t="n">
        <v>95.42</v>
      </c>
      <c r="H279" s="41" t="n">
        <v>4</v>
      </c>
      <c r="I279" s="42" t="n">
        <v>19.084</v>
      </c>
      <c r="J279" s="42" t="n">
        <v>400.764</v>
      </c>
      <c r="K279" s="43" t="n">
        <v>43498</v>
      </c>
      <c r="L279" s="44" t="n">
        <v>0.557638888888889</v>
      </c>
      <c r="M279" s="41" t="s">
        <v>98</v>
      </c>
      <c r="N279" s="42" t="n">
        <v>381.68</v>
      </c>
      <c r="O279" s="42" t="n">
        <v>19.084</v>
      </c>
      <c r="P279" s="45" t="n">
        <v>6.4</v>
      </c>
      <c r="Q279" s="41" t="str">
        <f aca="false">CHOOSE(MONTH(K279),"Jan","Feb","Mar","Apr","May","Jun","Jul","Aug","Sep","Oct","Nov","Dec")</f>
        <v>Feb</v>
      </c>
      <c r="R279" s="41" t="n">
        <f aca="false">INT((K279-setMinDate)/7)+1</f>
        <v>5</v>
      </c>
      <c r="S279" s="41" t="n">
        <f aca="false">HOUR(L279)</f>
        <v>13</v>
      </c>
      <c r="T279" s="41" t="str">
        <f aca="false">IF(S279&lt;setMorningEnd,"Morning",IF(S279&lt;setAfternoonEnd,"Afternoon","Evening"))</f>
        <v>Afternoon</v>
      </c>
      <c r="U279" s="41" t="str">
        <f aca="false">IF(J279&gt;=setLarge,"Large",IF(J279&gt;=setMedium,"Medium","Small"))</f>
        <v>Medium</v>
      </c>
      <c r="V279" s="41" t="str">
        <f aca="false">IF(P279&gt;=setExc,"Excellent",IF(P279&gt;=setGood,"Good",IF(P279&gt;=setAvg,"Average","Poor")))</f>
        <v>Average</v>
      </c>
    </row>
    <row r="280" customFormat="false" ht="15" hidden="false" customHeight="false" outlineLevel="0" collapsed="false">
      <c r="A280" s="41" t="s">
        <v>458</v>
      </c>
      <c r="B280" s="41" t="s">
        <v>180</v>
      </c>
      <c r="C280" s="41" t="s">
        <v>87</v>
      </c>
      <c r="D280" s="41" t="s">
        <v>104</v>
      </c>
      <c r="E280" s="41" t="s">
        <v>103</v>
      </c>
      <c r="F280" s="41" t="s">
        <v>79</v>
      </c>
      <c r="G280" s="42" t="n">
        <v>70.99</v>
      </c>
      <c r="H280" s="41" t="n">
        <v>10</v>
      </c>
      <c r="I280" s="42" t="n">
        <v>35.495</v>
      </c>
      <c r="J280" s="42" t="n">
        <v>745.395</v>
      </c>
      <c r="K280" s="43" t="n">
        <v>43544</v>
      </c>
      <c r="L280" s="44" t="n">
        <v>0.686111111111111</v>
      </c>
      <c r="M280" s="41" t="s">
        <v>97</v>
      </c>
      <c r="N280" s="42" t="n">
        <v>709.9</v>
      </c>
      <c r="O280" s="42" t="n">
        <v>35.495</v>
      </c>
      <c r="P280" s="45" t="n">
        <v>5.7</v>
      </c>
      <c r="Q280" s="41" t="str">
        <f aca="false">CHOOSE(MONTH(K280),"Jan","Feb","Mar","Apr","May","Jun","Jul","Aug","Sep","Oct","Nov","Dec")</f>
        <v>Mar</v>
      </c>
      <c r="R280" s="41" t="n">
        <f aca="false">INT((K280-setMinDate)/7)+1</f>
        <v>12</v>
      </c>
      <c r="S280" s="41" t="n">
        <f aca="false">HOUR(L280)</f>
        <v>16</v>
      </c>
      <c r="T280" s="41" t="str">
        <f aca="false">IF(S280&lt;setMorningEnd,"Morning",IF(S280&lt;setAfternoonEnd,"Afternoon","Evening"))</f>
        <v>Afternoon</v>
      </c>
      <c r="U280" s="41" t="str">
        <f aca="false">IF(J280&gt;=setLarge,"Large",IF(J280&gt;=setMedium,"Medium","Small"))</f>
        <v>Large</v>
      </c>
      <c r="V280" s="41" t="str">
        <f aca="false">IF(P280&gt;=setExc,"Excellent",IF(P280&gt;=setGood,"Good",IF(P280&gt;=setAvg,"Average","Poor")))</f>
        <v>Average</v>
      </c>
    </row>
    <row r="281" customFormat="false" ht="15" hidden="false" customHeight="false" outlineLevel="0" collapsed="false">
      <c r="A281" s="41" t="s">
        <v>459</v>
      </c>
      <c r="B281" s="41" t="s">
        <v>178</v>
      </c>
      <c r="C281" s="41" t="s">
        <v>85</v>
      </c>
      <c r="D281" s="41" t="s">
        <v>104</v>
      </c>
      <c r="E281" s="41" t="s">
        <v>103</v>
      </c>
      <c r="F281" s="41" t="s">
        <v>77</v>
      </c>
      <c r="G281" s="42" t="n">
        <v>44.02</v>
      </c>
      <c r="H281" s="41" t="n">
        <v>10</v>
      </c>
      <c r="I281" s="42" t="n">
        <v>22.01</v>
      </c>
      <c r="J281" s="42" t="n">
        <v>462.21</v>
      </c>
      <c r="K281" s="43" t="n">
        <v>43544</v>
      </c>
      <c r="L281" s="44" t="n">
        <v>0.83125</v>
      </c>
      <c r="M281" s="41" t="s">
        <v>99</v>
      </c>
      <c r="N281" s="42" t="n">
        <v>440.2</v>
      </c>
      <c r="O281" s="42" t="n">
        <v>22.01</v>
      </c>
      <c r="P281" s="45" t="n">
        <v>9.6</v>
      </c>
      <c r="Q281" s="41" t="str">
        <f aca="false">CHOOSE(MONTH(K281),"Jan","Feb","Mar","Apr","May","Jun","Jul","Aug","Sep","Oct","Nov","Dec")</f>
        <v>Mar</v>
      </c>
      <c r="R281" s="41" t="n">
        <f aca="false">INT((K281-setMinDate)/7)+1</f>
        <v>12</v>
      </c>
      <c r="S281" s="41" t="n">
        <f aca="false">HOUR(L281)</f>
        <v>19</v>
      </c>
      <c r="T281" s="41" t="str">
        <f aca="false">IF(S281&lt;setMorningEnd,"Morning",IF(S281&lt;setAfternoonEnd,"Afternoon","Evening"))</f>
        <v>Evening</v>
      </c>
      <c r="U281" s="41" t="str">
        <f aca="false">IF(J281&gt;=setLarge,"Large",IF(J281&gt;=setMedium,"Medium","Small"))</f>
        <v>Medium</v>
      </c>
      <c r="V281" s="41" t="str">
        <f aca="false">IF(P281&gt;=setExc,"Excellent",IF(P281&gt;=setGood,"Good",IF(P281&gt;=setAvg,"Average","Poor")))</f>
        <v>Excellent</v>
      </c>
    </row>
    <row r="282" customFormat="false" ht="15" hidden="false" customHeight="false" outlineLevel="0" collapsed="false">
      <c r="A282" s="41" t="s">
        <v>460</v>
      </c>
      <c r="B282" s="41" t="s">
        <v>178</v>
      </c>
      <c r="C282" s="41" t="s">
        <v>85</v>
      </c>
      <c r="D282" s="41" t="s">
        <v>105</v>
      </c>
      <c r="E282" s="41" t="s">
        <v>102</v>
      </c>
      <c r="F282" s="41" t="s">
        <v>80</v>
      </c>
      <c r="G282" s="42" t="n">
        <v>69.96</v>
      </c>
      <c r="H282" s="41" t="n">
        <v>8</v>
      </c>
      <c r="I282" s="42" t="n">
        <v>27.984</v>
      </c>
      <c r="J282" s="42" t="n">
        <v>587.664</v>
      </c>
      <c r="K282" s="43" t="n">
        <v>43511</v>
      </c>
      <c r="L282" s="44" t="n">
        <v>0.709027777777778</v>
      </c>
      <c r="M282" s="41" t="s">
        <v>99</v>
      </c>
      <c r="N282" s="42" t="n">
        <v>559.68</v>
      </c>
      <c r="O282" s="42" t="n">
        <v>27.984</v>
      </c>
      <c r="P282" s="45" t="n">
        <v>6.4</v>
      </c>
      <c r="Q282" s="41" t="str">
        <f aca="false">CHOOSE(MONTH(K282),"Jan","Feb","Mar","Apr","May","Jun","Jul","Aug","Sep","Oct","Nov","Dec")</f>
        <v>Feb</v>
      </c>
      <c r="R282" s="41" t="n">
        <f aca="false">INT((K282-setMinDate)/7)+1</f>
        <v>7</v>
      </c>
      <c r="S282" s="41" t="n">
        <f aca="false">HOUR(L282)</f>
        <v>17</v>
      </c>
      <c r="T282" s="41" t="str">
        <f aca="false">IF(S282&lt;setMorningEnd,"Morning",IF(S282&lt;setAfternoonEnd,"Afternoon","Evening"))</f>
        <v>Evening</v>
      </c>
      <c r="U282" s="41" t="str">
        <f aca="false">IF(J282&gt;=setLarge,"Large",IF(J282&gt;=setMedium,"Medium","Small"))</f>
        <v>Medium</v>
      </c>
      <c r="V282" s="41" t="str">
        <f aca="false">IF(P282&gt;=setExc,"Excellent",IF(P282&gt;=setGood,"Good",IF(P282&gt;=setAvg,"Average","Poor")))</f>
        <v>Average</v>
      </c>
    </row>
    <row r="283" customFormat="false" ht="15" hidden="false" customHeight="false" outlineLevel="0" collapsed="false">
      <c r="A283" s="41" t="s">
        <v>461</v>
      </c>
      <c r="B283" s="41" t="s">
        <v>180</v>
      </c>
      <c r="C283" s="41" t="s">
        <v>87</v>
      </c>
      <c r="D283" s="41" t="s">
        <v>105</v>
      </c>
      <c r="E283" s="41" t="s">
        <v>103</v>
      </c>
      <c r="F283" s="41" t="s">
        <v>80</v>
      </c>
      <c r="G283" s="42" t="n">
        <v>37</v>
      </c>
      <c r="H283" s="41" t="n">
        <v>1</v>
      </c>
      <c r="I283" s="42" t="n">
        <v>1.85</v>
      </c>
      <c r="J283" s="42" t="n">
        <v>38.85</v>
      </c>
      <c r="K283" s="43" t="n">
        <v>43530</v>
      </c>
      <c r="L283" s="44" t="n">
        <v>0.561805555555556</v>
      </c>
      <c r="M283" s="41" t="s">
        <v>99</v>
      </c>
      <c r="N283" s="42" t="n">
        <v>37</v>
      </c>
      <c r="O283" s="42" t="n">
        <v>1.85</v>
      </c>
      <c r="P283" s="45" t="n">
        <v>7.9</v>
      </c>
      <c r="Q283" s="41" t="str">
        <f aca="false">CHOOSE(MONTH(K283),"Jan","Feb","Mar","Apr","May","Jun","Jul","Aug","Sep","Oct","Nov","Dec")</f>
        <v>Mar</v>
      </c>
      <c r="R283" s="41" t="n">
        <f aca="false">INT((K283-setMinDate)/7)+1</f>
        <v>10</v>
      </c>
      <c r="S283" s="41" t="n">
        <f aca="false">HOUR(L283)</f>
        <v>13</v>
      </c>
      <c r="T283" s="41" t="str">
        <f aca="false">IF(S283&lt;setMorningEnd,"Morning",IF(S283&lt;setAfternoonEnd,"Afternoon","Evening"))</f>
        <v>Afternoon</v>
      </c>
      <c r="U283" s="41" t="str">
        <f aca="false">IF(J283&gt;=setLarge,"Large",IF(J283&gt;=setMedium,"Medium","Small"))</f>
        <v>Small</v>
      </c>
      <c r="V283" s="41" t="str">
        <f aca="false">IF(P283&gt;=setExc,"Excellent",IF(P283&gt;=setGood,"Good",IF(P283&gt;=setAvg,"Average","Poor")))</f>
        <v>Good</v>
      </c>
    </row>
    <row r="284" customFormat="false" ht="15" hidden="false" customHeight="false" outlineLevel="0" collapsed="false">
      <c r="A284" s="41" t="s">
        <v>462</v>
      </c>
      <c r="B284" s="41" t="s">
        <v>178</v>
      </c>
      <c r="C284" s="41" t="s">
        <v>85</v>
      </c>
      <c r="D284" s="41" t="s">
        <v>105</v>
      </c>
      <c r="E284" s="41" t="s">
        <v>102</v>
      </c>
      <c r="F284" s="41" t="s">
        <v>77</v>
      </c>
      <c r="G284" s="42" t="n">
        <v>15.34</v>
      </c>
      <c r="H284" s="41" t="n">
        <v>1</v>
      </c>
      <c r="I284" s="42" t="n">
        <v>0.767</v>
      </c>
      <c r="J284" s="42" t="n">
        <v>16.107</v>
      </c>
      <c r="K284" s="43" t="n">
        <v>43471</v>
      </c>
      <c r="L284" s="44" t="n">
        <v>0.464583333333333</v>
      </c>
      <c r="M284" s="41" t="s">
        <v>97</v>
      </c>
      <c r="N284" s="42" t="n">
        <v>15.34</v>
      </c>
      <c r="O284" s="42" t="n">
        <v>0.767</v>
      </c>
      <c r="P284" s="45" t="n">
        <v>6.5</v>
      </c>
      <c r="Q284" s="41" t="str">
        <f aca="false">CHOOSE(MONTH(K284),"Jan","Feb","Mar","Apr","May","Jun","Jul","Aug","Sep","Oct","Nov","Dec")</f>
        <v>Jan</v>
      </c>
      <c r="R284" s="41" t="n">
        <f aca="false">INT((K284-setMinDate)/7)+1</f>
        <v>1</v>
      </c>
      <c r="S284" s="41" t="n">
        <f aca="false">HOUR(L284)</f>
        <v>11</v>
      </c>
      <c r="T284" s="41" t="str">
        <f aca="false">IF(S284&lt;setMorningEnd,"Morning",IF(S284&lt;setAfternoonEnd,"Afternoon","Evening"))</f>
        <v>Morning</v>
      </c>
      <c r="U284" s="41" t="str">
        <f aca="false">IF(J284&gt;=setLarge,"Large",IF(J284&gt;=setMedium,"Medium","Small"))</f>
        <v>Small</v>
      </c>
      <c r="V284" s="41" t="str">
        <f aca="false">IF(P284&gt;=setExc,"Excellent",IF(P284&gt;=setGood,"Good",IF(P284&gt;=setAvg,"Average","Poor")))</f>
        <v>Average</v>
      </c>
    </row>
    <row r="285" customFormat="false" ht="15" hidden="false" customHeight="false" outlineLevel="0" collapsed="false">
      <c r="A285" s="41" t="s">
        <v>463</v>
      </c>
      <c r="B285" s="41" t="s">
        <v>178</v>
      </c>
      <c r="C285" s="41" t="s">
        <v>85</v>
      </c>
      <c r="D285" s="41" t="s">
        <v>104</v>
      </c>
      <c r="E285" s="41" t="s">
        <v>103</v>
      </c>
      <c r="F285" s="41" t="s">
        <v>81</v>
      </c>
      <c r="G285" s="42" t="n">
        <v>99.83</v>
      </c>
      <c r="H285" s="41" t="n">
        <v>6</v>
      </c>
      <c r="I285" s="42" t="n">
        <v>29.949</v>
      </c>
      <c r="J285" s="42" t="n">
        <v>628.929</v>
      </c>
      <c r="K285" s="43" t="n">
        <v>43528</v>
      </c>
      <c r="L285" s="44" t="n">
        <v>0.626388888888889</v>
      </c>
      <c r="M285" s="41" t="s">
        <v>98</v>
      </c>
      <c r="N285" s="42" t="n">
        <v>598.98</v>
      </c>
      <c r="O285" s="42" t="n">
        <v>29.949</v>
      </c>
      <c r="P285" s="45" t="n">
        <v>8.5</v>
      </c>
      <c r="Q285" s="41" t="str">
        <f aca="false">CHOOSE(MONTH(K285),"Jan","Feb","Mar","Apr","May","Jun","Jul","Aug","Sep","Oct","Nov","Dec")</f>
        <v>Mar</v>
      </c>
      <c r="R285" s="41" t="n">
        <f aca="false">INT((K285-setMinDate)/7)+1</f>
        <v>9</v>
      </c>
      <c r="S285" s="41" t="n">
        <f aca="false">HOUR(L285)</f>
        <v>15</v>
      </c>
      <c r="T285" s="41" t="str">
        <f aca="false">IF(S285&lt;setMorningEnd,"Morning",IF(S285&lt;setAfternoonEnd,"Afternoon","Evening"))</f>
        <v>Afternoon</v>
      </c>
      <c r="U285" s="41" t="str">
        <f aca="false">IF(J285&gt;=setLarge,"Large",IF(J285&gt;=setMedium,"Medium","Small"))</f>
        <v>Large</v>
      </c>
      <c r="V285" s="41" t="str">
        <f aca="false">IF(P285&gt;=setExc,"Excellent",IF(P285&gt;=setGood,"Good",IF(P285&gt;=setAvg,"Average","Poor")))</f>
        <v>Good</v>
      </c>
    </row>
    <row r="286" customFormat="false" ht="15" hidden="false" customHeight="false" outlineLevel="0" collapsed="false">
      <c r="A286" s="41" t="s">
        <v>464</v>
      </c>
      <c r="B286" s="41" t="s">
        <v>178</v>
      </c>
      <c r="C286" s="41" t="s">
        <v>85</v>
      </c>
      <c r="D286" s="41" t="s">
        <v>104</v>
      </c>
      <c r="E286" s="41" t="s">
        <v>102</v>
      </c>
      <c r="F286" s="41" t="s">
        <v>81</v>
      </c>
      <c r="G286" s="42" t="n">
        <v>47.67</v>
      </c>
      <c r="H286" s="41" t="n">
        <v>4</v>
      </c>
      <c r="I286" s="42" t="n">
        <v>9.534</v>
      </c>
      <c r="J286" s="42" t="n">
        <v>200.214</v>
      </c>
      <c r="K286" s="43" t="n">
        <v>43536</v>
      </c>
      <c r="L286" s="44" t="n">
        <v>0.597916666666667</v>
      </c>
      <c r="M286" s="41" t="s">
        <v>97</v>
      </c>
      <c r="N286" s="42" t="n">
        <v>190.68</v>
      </c>
      <c r="O286" s="42" t="n">
        <v>9.534</v>
      </c>
      <c r="P286" s="45" t="n">
        <v>9.1</v>
      </c>
      <c r="Q286" s="41" t="str">
        <f aca="false">CHOOSE(MONTH(K286),"Jan","Feb","Mar","Apr","May","Jun","Jul","Aug","Sep","Oct","Nov","Dec")</f>
        <v>Mar</v>
      </c>
      <c r="R286" s="41" t="n">
        <f aca="false">INT((K286-setMinDate)/7)+1</f>
        <v>11</v>
      </c>
      <c r="S286" s="41" t="n">
        <f aca="false">HOUR(L286)</f>
        <v>14</v>
      </c>
      <c r="T286" s="41" t="str">
        <f aca="false">IF(S286&lt;setMorningEnd,"Morning",IF(S286&lt;setAfternoonEnd,"Afternoon","Evening"))</f>
        <v>Afternoon</v>
      </c>
      <c r="U286" s="41" t="str">
        <f aca="false">IF(J286&gt;=setLarge,"Large",IF(J286&gt;=setMedium,"Medium","Small"))</f>
        <v>Small</v>
      </c>
      <c r="V286" s="41" t="str">
        <f aca="false">IF(P286&gt;=setExc,"Excellent",IF(P286&gt;=setGood,"Good",IF(P286&gt;=setAvg,"Average","Poor")))</f>
        <v>Excellent</v>
      </c>
    </row>
    <row r="287" customFormat="false" ht="15" hidden="false" customHeight="false" outlineLevel="0" collapsed="false">
      <c r="A287" s="41" t="s">
        <v>465</v>
      </c>
      <c r="B287" s="41" t="s">
        <v>189</v>
      </c>
      <c r="C287" s="41" t="s">
        <v>86</v>
      </c>
      <c r="D287" s="41" t="s">
        <v>105</v>
      </c>
      <c r="E287" s="41" t="s">
        <v>103</v>
      </c>
      <c r="F287" s="41" t="s">
        <v>81</v>
      </c>
      <c r="G287" s="42" t="n">
        <v>66.68</v>
      </c>
      <c r="H287" s="41" t="n">
        <v>5</v>
      </c>
      <c r="I287" s="42" t="n">
        <v>16.67</v>
      </c>
      <c r="J287" s="42" t="n">
        <v>350.07</v>
      </c>
      <c r="K287" s="43" t="n">
        <v>43516</v>
      </c>
      <c r="L287" s="44" t="n">
        <v>0.750694444444444</v>
      </c>
      <c r="M287" s="41" t="s">
        <v>97</v>
      </c>
      <c r="N287" s="42" t="n">
        <v>333.4</v>
      </c>
      <c r="O287" s="42" t="n">
        <v>16.67</v>
      </c>
      <c r="P287" s="45" t="n">
        <v>7.6</v>
      </c>
      <c r="Q287" s="41" t="str">
        <f aca="false">CHOOSE(MONTH(K287),"Jan","Feb","Mar","Apr","May","Jun","Jul","Aug","Sep","Oct","Nov","Dec")</f>
        <v>Feb</v>
      </c>
      <c r="R287" s="41" t="n">
        <f aca="false">INT((K287-setMinDate)/7)+1</f>
        <v>8</v>
      </c>
      <c r="S287" s="41" t="n">
        <f aca="false">HOUR(L287)</f>
        <v>18</v>
      </c>
      <c r="T287" s="41" t="str">
        <f aca="false">IF(S287&lt;setMorningEnd,"Morning",IF(S287&lt;setAfternoonEnd,"Afternoon","Evening"))</f>
        <v>Evening</v>
      </c>
      <c r="U287" s="41" t="str">
        <f aca="false">IF(J287&gt;=setLarge,"Large",IF(J287&gt;=setMedium,"Medium","Small"))</f>
        <v>Medium</v>
      </c>
      <c r="V287" s="41" t="str">
        <f aca="false">IF(P287&gt;=setExc,"Excellent",IF(P287&gt;=setGood,"Good",IF(P287&gt;=setAvg,"Average","Poor")))</f>
        <v>Good</v>
      </c>
    </row>
    <row r="288" customFormat="false" ht="15" hidden="false" customHeight="false" outlineLevel="0" collapsed="false">
      <c r="A288" s="41" t="s">
        <v>466</v>
      </c>
      <c r="B288" s="41" t="s">
        <v>180</v>
      </c>
      <c r="C288" s="41" t="s">
        <v>87</v>
      </c>
      <c r="D288" s="41" t="s">
        <v>104</v>
      </c>
      <c r="E288" s="41" t="s">
        <v>103</v>
      </c>
      <c r="F288" s="41" t="s">
        <v>80</v>
      </c>
      <c r="G288" s="42" t="n">
        <v>74.86</v>
      </c>
      <c r="H288" s="41" t="n">
        <v>1</v>
      </c>
      <c r="I288" s="42" t="n">
        <v>3.743</v>
      </c>
      <c r="J288" s="42" t="n">
        <v>78.603</v>
      </c>
      <c r="K288" s="43" t="n">
        <v>43548</v>
      </c>
      <c r="L288" s="44" t="n">
        <v>0.617361111111111</v>
      </c>
      <c r="M288" s="41" t="s">
        <v>97</v>
      </c>
      <c r="N288" s="42" t="n">
        <v>74.86</v>
      </c>
      <c r="O288" s="42" t="n">
        <v>3.743</v>
      </c>
      <c r="P288" s="45" t="n">
        <v>6.9</v>
      </c>
      <c r="Q288" s="41" t="str">
        <f aca="false">CHOOSE(MONTH(K288),"Jan","Feb","Mar","Apr","May","Jun","Jul","Aug","Sep","Oct","Nov","Dec")</f>
        <v>Mar</v>
      </c>
      <c r="R288" s="41" t="n">
        <f aca="false">INT((K288-setMinDate)/7)+1</f>
        <v>12</v>
      </c>
      <c r="S288" s="41" t="n">
        <f aca="false">HOUR(L288)</f>
        <v>14</v>
      </c>
      <c r="T288" s="41" t="str">
        <f aca="false">IF(S288&lt;setMorningEnd,"Morning",IF(S288&lt;setAfternoonEnd,"Afternoon","Evening"))</f>
        <v>Afternoon</v>
      </c>
      <c r="U288" s="41" t="str">
        <f aca="false">IF(J288&gt;=setLarge,"Large",IF(J288&gt;=setMedium,"Medium","Small"))</f>
        <v>Small</v>
      </c>
      <c r="V288" s="41" t="str">
        <f aca="false">IF(P288&gt;=setExc,"Excellent",IF(P288&gt;=setGood,"Good",IF(P288&gt;=setAvg,"Average","Poor")))</f>
        <v>Average</v>
      </c>
    </row>
    <row r="289" customFormat="false" ht="15" hidden="false" customHeight="false" outlineLevel="0" collapsed="false">
      <c r="A289" s="41" t="s">
        <v>467</v>
      </c>
      <c r="B289" s="41" t="s">
        <v>180</v>
      </c>
      <c r="C289" s="41" t="s">
        <v>87</v>
      </c>
      <c r="D289" s="41" t="s">
        <v>105</v>
      </c>
      <c r="E289" s="41" t="s">
        <v>102</v>
      </c>
      <c r="F289" s="41" t="s">
        <v>77</v>
      </c>
      <c r="G289" s="42" t="n">
        <v>23.75</v>
      </c>
      <c r="H289" s="41" t="n">
        <v>9</v>
      </c>
      <c r="I289" s="42" t="n">
        <v>10.6875</v>
      </c>
      <c r="J289" s="42" t="n">
        <v>224.4375</v>
      </c>
      <c r="K289" s="43" t="n">
        <v>43496</v>
      </c>
      <c r="L289" s="44" t="n">
        <v>0.501388888888889</v>
      </c>
      <c r="M289" s="41" t="s">
        <v>97</v>
      </c>
      <c r="N289" s="42" t="n">
        <v>213.75</v>
      </c>
      <c r="O289" s="42" t="n">
        <v>10.6875</v>
      </c>
      <c r="P289" s="45" t="n">
        <v>9.5</v>
      </c>
      <c r="Q289" s="41" t="str">
        <f aca="false">CHOOSE(MONTH(K289),"Jan","Feb","Mar","Apr","May","Jun","Jul","Aug","Sep","Oct","Nov","Dec")</f>
        <v>Jan</v>
      </c>
      <c r="R289" s="41" t="n">
        <f aca="false">INT((K289-setMinDate)/7)+1</f>
        <v>5</v>
      </c>
      <c r="S289" s="41" t="n">
        <f aca="false">HOUR(L289)</f>
        <v>12</v>
      </c>
      <c r="T289" s="41" t="str">
        <f aca="false">IF(S289&lt;setMorningEnd,"Morning",IF(S289&lt;setAfternoonEnd,"Afternoon","Evening"))</f>
        <v>Afternoon</v>
      </c>
      <c r="U289" s="41" t="str">
        <f aca="false">IF(J289&gt;=setLarge,"Large",IF(J289&gt;=setMedium,"Medium","Small"))</f>
        <v>Small</v>
      </c>
      <c r="V289" s="41" t="str">
        <f aca="false">IF(P289&gt;=setExc,"Excellent",IF(P289&gt;=setGood,"Good",IF(P289&gt;=setAvg,"Average","Poor")))</f>
        <v>Excellent</v>
      </c>
    </row>
    <row r="290" customFormat="false" ht="15" hidden="false" customHeight="false" outlineLevel="0" collapsed="false">
      <c r="A290" s="41" t="s">
        <v>468</v>
      </c>
      <c r="B290" s="41" t="s">
        <v>189</v>
      </c>
      <c r="C290" s="41" t="s">
        <v>86</v>
      </c>
      <c r="D290" s="41" t="s">
        <v>105</v>
      </c>
      <c r="E290" s="41" t="s">
        <v>102</v>
      </c>
      <c r="F290" s="41" t="s">
        <v>76</v>
      </c>
      <c r="G290" s="42" t="n">
        <v>48.51</v>
      </c>
      <c r="H290" s="41" t="n">
        <v>7</v>
      </c>
      <c r="I290" s="42" t="n">
        <v>16.9785</v>
      </c>
      <c r="J290" s="42" t="n">
        <v>356.5485</v>
      </c>
      <c r="K290" s="43" t="n">
        <v>43490</v>
      </c>
      <c r="L290" s="44" t="n">
        <v>0.5625</v>
      </c>
      <c r="M290" s="41" t="s">
        <v>99</v>
      </c>
      <c r="N290" s="42" t="n">
        <v>339.57</v>
      </c>
      <c r="O290" s="42" t="n">
        <v>16.9785</v>
      </c>
      <c r="P290" s="45" t="n">
        <v>5.2</v>
      </c>
      <c r="Q290" s="41" t="str">
        <f aca="false">CHOOSE(MONTH(K290),"Jan","Feb","Mar","Apr","May","Jun","Jul","Aug","Sep","Oct","Nov","Dec")</f>
        <v>Jan</v>
      </c>
      <c r="R290" s="41" t="n">
        <f aca="false">INT((K290-setMinDate)/7)+1</f>
        <v>4</v>
      </c>
      <c r="S290" s="41" t="n">
        <f aca="false">HOUR(L290)</f>
        <v>13</v>
      </c>
      <c r="T290" s="41" t="str">
        <f aca="false">IF(S290&lt;setMorningEnd,"Morning",IF(S290&lt;setAfternoonEnd,"Afternoon","Evening"))</f>
        <v>Afternoon</v>
      </c>
      <c r="U290" s="41" t="str">
        <f aca="false">IF(J290&gt;=setLarge,"Large",IF(J290&gt;=setMedium,"Medium","Small"))</f>
        <v>Medium</v>
      </c>
      <c r="V290" s="41" t="str">
        <f aca="false">IF(P290&gt;=setExc,"Excellent",IF(P290&gt;=setGood,"Good",IF(P290&gt;=setAvg,"Average","Poor")))</f>
        <v>Average</v>
      </c>
    </row>
    <row r="291" customFormat="false" ht="15" hidden="false" customHeight="false" outlineLevel="0" collapsed="false">
      <c r="A291" s="41" t="s">
        <v>469</v>
      </c>
      <c r="B291" s="41" t="s">
        <v>178</v>
      </c>
      <c r="C291" s="41" t="s">
        <v>85</v>
      </c>
      <c r="D291" s="41" t="s">
        <v>104</v>
      </c>
      <c r="E291" s="41" t="s">
        <v>102</v>
      </c>
      <c r="F291" s="41" t="s">
        <v>80</v>
      </c>
      <c r="G291" s="42" t="n">
        <v>94.88</v>
      </c>
      <c r="H291" s="41" t="n">
        <v>7</v>
      </c>
      <c r="I291" s="42" t="n">
        <v>33.208</v>
      </c>
      <c r="J291" s="42" t="n">
        <v>697.368</v>
      </c>
      <c r="K291" s="43" t="n">
        <v>43499</v>
      </c>
      <c r="L291" s="44" t="n">
        <v>0.609722222222222</v>
      </c>
      <c r="M291" s="41" t="s">
        <v>97</v>
      </c>
      <c r="N291" s="42" t="n">
        <v>664.16</v>
      </c>
      <c r="O291" s="42" t="n">
        <v>33.208</v>
      </c>
      <c r="P291" s="45" t="n">
        <v>4.2</v>
      </c>
      <c r="Q291" s="41" t="str">
        <f aca="false">CHOOSE(MONTH(K291),"Jan","Feb","Mar","Apr","May","Jun","Jul","Aug","Sep","Oct","Nov","Dec")</f>
        <v>Feb</v>
      </c>
      <c r="R291" s="41" t="n">
        <f aca="false">INT((K291-setMinDate)/7)+1</f>
        <v>5</v>
      </c>
      <c r="S291" s="41" t="n">
        <f aca="false">HOUR(L291)</f>
        <v>14</v>
      </c>
      <c r="T291" s="41" t="str">
        <f aca="false">IF(S291&lt;setMorningEnd,"Morning",IF(S291&lt;setAfternoonEnd,"Afternoon","Evening"))</f>
        <v>Afternoon</v>
      </c>
      <c r="U291" s="41" t="str">
        <f aca="false">IF(J291&gt;=setLarge,"Large",IF(J291&gt;=setMedium,"Medium","Small"))</f>
        <v>Large</v>
      </c>
      <c r="V291" s="41" t="str">
        <f aca="false">IF(P291&gt;=setExc,"Excellent",IF(P291&gt;=setGood,"Good",IF(P291&gt;=setAvg,"Average","Poor")))</f>
        <v>Poor</v>
      </c>
    </row>
    <row r="292" customFormat="false" ht="15" hidden="false" customHeight="false" outlineLevel="0" collapsed="false">
      <c r="A292" s="41" t="s">
        <v>470</v>
      </c>
      <c r="B292" s="41" t="s">
        <v>189</v>
      </c>
      <c r="C292" s="41" t="s">
        <v>86</v>
      </c>
      <c r="D292" s="41" t="s">
        <v>104</v>
      </c>
      <c r="E292" s="41" t="s">
        <v>103</v>
      </c>
      <c r="F292" s="41" t="s">
        <v>78</v>
      </c>
      <c r="G292" s="42" t="n">
        <v>40.3</v>
      </c>
      <c r="H292" s="41" t="n">
        <v>10</v>
      </c>
      <c r="I292" s="42" t="n">
        <v>20.15</v>
      </c>
      <c r="J292" s="42" t="n">
        <v>423.15</v>
      </c>
      <c r="K292" s="43" t="n">
        <v>43489</v>
      </c>
      <c r="L292" s="44" t="n">
        <v>0.734027777777778</v>
      </c>
      <c r="M292" s="41" t="s">
        <v>99</v>
      </c>
      <c r="N292" s="42" t="n">
        <v>403</v>
      </c>
      <c r="O292" s="42" t="n">
        <v>20.15</v>
      </c>
      <c r="P292" s="45" t="n">
        <v>7</v>
      </c>
      <c r="Q292" s="41" t="str">
        <f aca="false">CHOOSE(MONTH(K292),"Jan","Feb","Mar","Apr","May","Jun","Jul","Aug","Sep","Oct","Nov","Dec")</f>
        <v>Jan</v>
      </c>
      <c r="R292" s="41" t="n">
        <f aca="false">INT((K292-setMinDate)/7)+1</f>
        <v>4</v>
      </c>
      <c r="S292" s="41" t="n">
        <f aca="false">HOUR(L292)</f>
        <v>17</v>
      </c>
      <c r="T292" s="41" t="str">
        <f aca="false">IF(S292&lt;setMorningEnd,"Morning",IF(S292&lt;setAfternoonEnd,"Afternoon","Evening"))</f>
        <v>Evening</v>
      </c>
      <c r="U292" s="41" t="str">
        <f aca="false">IF(J292&gt;=setLarge,"Large",IF(J292&gt;=setMedium,"Medium","Small"))</f>
        <v>Medium</v>
      </c>
      <c r="V292" s="41" t="str">
        <f aca="false">IF(P292&gt;=setExc,"Excellent",IF(P292&gt;=setGood,"Good",IF(P292&gt;=setAvg,"Average","Poor")))</f>
        <v>Good</v>
      </c>
    </row>
    <row r="293" customFormat="false" ht="15" hidden="false" customHeight="false" outlineLevel="0" collapsed="false">
      <c r="A293" s="41" t="s">
        <v>471</v>
      </c>
      <c r="B293" s="41" t="s">
        <v>180</v>
      </c>
      <c r="C293" s="41" t="s">
        <v>87</v>
      </c>
      <c r="D293" s="41" t="s">
        <v>105</v>
      </c>
      <c r="E293" s="41" t="s">
        <v>103</v>
      </c>
      <c r="F293" s="41" t="s">
        <v>78</v>
      </c>
      <c r="G293" s="42" t="n">
        <v>27.85</v>
      </c>
      <c r="H293" s="41" t="n">
        <v>7</v>
      </c>
      <c r="I293" s="42" t="n">
        <v>9.7475</v>
      </c>
      <c r="J293" s="42" t="n">
        <v>204.6975</v>
      </c>
      <c r="K293" s="43" t="n">
        <v>43538</v>
      </c>
      <c r="L293" s="44" t="n">
        <v>0.722222222222222</v>
      </c>
      <c r="M293" s="41" t="s">
        <v>98</v>
      </c>
      <c r="N293" s="42" t="n">
        <v>194.95</v>
      </c>
      <c r="O293" s="42" t="n">
        <v>9.7475</v>
      </c>
      <c r="P293" s="45" t="n">
        <v>6</v>
      </c>
      <c r="Q293" s="41" t="str">
        <f aca="false">CHOOSE(MONTH(K293),"Jan","Feb","Mar","Apr","May","Jun","Jul","Aug","Sep","Oct","Nov","Dec")</f>
        <v>Mar</v>
      </c>
      <c r="R293" s="41" t="n">
        <f aca="false">INT((K293-setMinDate)/7)+1</f>
        <v>11</v>
      </c>
      <c r="S293" s="41" t="n">
        <f aca="false">HOUR(L293)</f>
        <v>17</v>
      </c>
      <c r="T293" s="41" t="str">
        <f aca="false">IF(S293&lt;setMorningEnd,"Morning",IF(S293&lt;setAfternoonEnd,"Afternoon","Evening"))</f>
        <v>Evening</v>
      </c>
      <c r="U293" s="41" t="str">
        <f aca="false">IF(J293&gt;=setLarge,"Large",IF(J293&gt;=setMedium,"Medium","Small"))</f>
        <v>Small</v>
      </c>
      <c r="V293" s="41" t="str">
        <f aca="false">IF(P293&gt;=setExc,"Excellent",IF(P293&gt;=setGood,"Good",IF(P293&gt;=setAvg,"Average","Poor")))</f>
        <v>Average</v>
      </c>
    </row>
    <row r="294" customFormat="false" ht="15" hidden="false" customHeight="false" outlineLevel="0" collapsed="false">
      <c r="A294" s="41" t="s">
        <v>472</v>
      </c>
      <c r="B294" s="41" t="s">
        <v>178</v>
      </c>
      <c r="C294" s="41" t="s">
        <v>85</v>
      </c>
      <c r="D294" s="41" t="s">
        <v>104</v>
      </c>
      <c r="E294" s="41" t="s">
        <v>102</v>
      </c>
      <c r="F294" s="41" t="s">
        <v>78</v>
      </c>
      <c r="G294" s="42" t="n">
        <v>62.48</v>
      </c>
      <c r="H294" s="41" t="n">
        <v>1</v>
      </c>
      <c r="I294" s="42" t="n">
        <v>3.124</v>
      </c>
      <c r="J294" s="42" t="n">
        <v>65.604</v>
      </c>
      <c r="K294" s="43" t="n">
        <v>43514</v>
      </c>
      <c r="L294" s="44" t="n">
        <v>0.853472222222222</v>
      </c>
      <c r="M294" s="41" t="s">
        <v>97</v>
      </c>
      <c r="N294" s="42" t="n">
        <v>62.48</v>
      </c>
      <c r="O294" s="42" t="n">
        <v>3.124</v>
      </c>
      <c r="P294" s="45" t="n">
        <v>4.7</v>
      </c>
      <c r="Q294" s="41" t="str">
        <f aca="false">CHOOSE(MONTH(K294),"Jan","Feb","Mar","Apr","May","Jun","Jul","Aug","Sep","Oct","Nov","Dec")</f>
        <v>Feb</v>
      </c>
      <c r="R294" s="41" t="n">
        <f aca="false">INT((K294-setMinDate)/7)+1</f>
        <v>7</v>
      </c>
      <c r="S294" s="41" t="n">
        <f aca="false">HOUR(L294)</f>
        <v>20</v>
      </c>
      <c r="T294" s="41" t="str">
        <f aca="false">IF(S294&lt;setMorningEnd,"Morning",IF(S294&lt;setAfternoonEnd,"Afternoon","Evening"))</f>
        <v>Evening</v>
      </c>
      <c r="U294" s="41" t="str">
        <f aca="false">IF(J294&gt;=setLarge,"Large",IF(J294&gt;=setMedium,"Medium","Small"))</f>
        <v>Small</v>
      </c>
      <c r="V294" s="41" t="str">
        <f aca="false">IF(P294&gt;=setExc,"Excellent",IF(P294&gt;=setGood,"Good",IF(P294&gt;=setAvg,"Average","Poor")))</f>
        <v>Poor</v>
      </c>
    </row>
    <row r="295" customFormat="false" ht="15" hidden="false" customHeight="false" outlineLevel="0" collapsed="false">
      <c r="A295" s="41" t="s">
        <v>473</v>
      </c>
      <c r="B295" s="41" t="s">
        <v>178</v>
      </c>
      <c r="C295" s="41" t="s">
        <v>85</v>
      </c>
      <c r="D295" s="41" t="s">
        <v>104</v>
      </c>
      <c r="E295" s="41" t="s">
        <v>102</v>
      </c>
      <c r="F295" s="41" t="s">
        <v>76</v>
      </c>
      <c r="G295" s="42" t="n">
        <v>36.36</v>
      </c>
      <c r="H295" s="41" t="n">
        <v>2</v>
      </c>
      <c r="I295" s="42" t="n">
        <v>3.636</v>
      </c>
      <c r="J295" s="42" t="n">
        <v>76.356</v>
      </c>
      <c r="K295" s="43" t="n">
        <v>43486</v>
      </c>
      <c r="L295" s="44" t="n">
        <v>0.416666666666667</v>
      </c>
      <c r="M295" s="41" t="s">
        <v>97</v>
      </c>
      <c r="N295" s="42" t="n">
        <v>72.72</v>
      </c>
      <c r="O295" s="42" t="n">
        <v>3.636</v>
      </c>
      <c r="P295" s="45" t="n">
        <v>7.1</v>
      </c>
      <c r="Q295" s="41" t="str">
        <f aca="false">CHOOSE(MONTH(K295),"Jan","Feb","Mar","Apr","May","Jun","Jul","Aug","Sep","Oct","Nov","Dec")</f>
        <v>Jan</v>
      </c>
      <c r="R295" s="41" t="n">
        <f aca="false">INT((K295-setMinDate)/7)+1</f>
        <v>3</v>
      </c>
      <c r="S295" s="41" t="n">
        <f aca="false">HOUR(L295)</f>
        <v>10</v>
      </c>
      <c r="T295" s="41" t="str">
        <f aca="false">IF(S295&lt;setMorningEnd,"Morning",IF(S295&lt;setAfternoonEnd,"Afternoon","Evening"))</f>
        <v>Morning</v>
      </c>
      <c r="U295" s="41" t="str">
        <f aca="false">IF(J295&gt;=setLarge,"Large",IF(J295&gt;=setMedium,"Medium","Small"))</f>
        <v>Small</v>
      </c>
      <c r="V295" s="41" t="str">
        <f aca="false">IF(P295&gt;=setExc,"Excellent",IF(P295&gt;=setGood,"Good",IF(P295&gt;=setAvg,"Average","Poor")))</f>
        <v>Good</v>
      </c>
    </row>
    <row r="296" customFormat="false" ht="15" hidden="false" customHeight="false" outlineLevel="0" collapsed="false">
      <c r="A296" s="41" t="s">
        <v>474</v>
      </c>
      <c r="B296" s="41" t="s">
        <v>189</v>
      </c>
      <c r="C296" s="41" t="s">
        <v>86</v>
      </c>
      <c r="D296" s="41" t="s">
        <v>105</v>
      </c>
      <c r="E296" s="41" t="s">
        <v>103</v>
      </c>
      <c r="F296" s="41" t="s">
        <v>81</v>
      </c>
      <c r="G296" s="42" t="n">
        <v>18.11</v>
      </c>
      <c r="H296" s="41" t="n">
        <v>10</v>
      </c>
      <c r="I296" s="42" t="n">
        <v>9.055</v>
      </c>
      <c r="J296" s="42" t="n">
        <v>190.155</v>
      </c>
      <c r="K296" s="43" t="n">
        <v>43537</v>
      </c>
      <c r="L296" s="44" t="n">
        <v>0.490277777777778</v>
      </c>
      <c r="M296" s="41" t="s">
        <v>98</v>
      </c>
      <c r="N296" s="42" t="n">
        <v>181.1</v>
      </c>
      <c r="O296" s="42" t="n">
        <v>9.055</v>
      </c>
      <c r="P296" s="45" t="n">
        <v>5.9</v>
      </c>
      <c r="Q296" s="41" t="str">
        <f aca="false">CHOOSE(MONTH(K296),"Jan","Feb","Mar","Apr","May","Jun","Jul","Aug","Sep","Oct","Nov","Dec")</f>
        <v>Mar</v>
      </c>
      <c r="R296" s="41" t="n">
        <f aca="false">INT((K296-setMinDate)/7)+1</f>
        <v>11</v>
      </c>
      <c r="S296" s="41" t="n">
        <f aca="false">HOUR(L296)</f>
        <v>11</v>
      </c>
      <c r="T296" s="41" t="str">
        <f aca="false">IF(S296&lt;setMorningEnd,"Morning",IF(S296&lt;setAfternoonEnd,"Afternoon","Evening"))</f>
        <v>Morning</v>
      </c>
      <c r="U296" s="41" t="str">
        <f aca="false">IF(J296&gt;=setLarge,"Large",IF(J296&gt;=setMedium,"Medium","Small"))</f>
        <v>Small</v>
      </c>
      <c r="V296" s="41" t="str">
        <f aca="false">IF(P296&gt;=setExc,"Excellent",IF(P296&gt;=setGood,"Good",IF(P296&gt;=setAvg,"Average","Poor")))</f>
        <v>Average</v>
      </c>
    </row>
    <row r="297" customFormat="false" ht="15" hidden="false" customHeight="false" outlineLevel="0" collapsed="false">
      <c r="A297" s="41" t="s">
        <v>475</v>
      </c>
      <c r="B297" s="41" t="s">
        <v>180</v>
      </c>
      <c r="C297" s="41" t="s">
        <v>87</v>
      </c>
      <c r="D297" s="41" t="s">
        <v>104</v>
      </c>
      <c r="E297" s="41" t="s">
        <v>102</v>
      </c>
      <c r="F297" s="41" t="s">
        <v>78</v>
      </c>
      <c r="G297" s="42" t="n">
        <v>51.92</v>
      </c>
      <c r="H297" s="41" t="n">
        <v>5</v>
      </c>
      <c r="I297" s="42" t="n">
        <v>12.98</v>
      </c>
      <c r="J297" s="42" t="n">
        <v>272.58</v>
      </c>
      <c r="K297" s="43" t="n">
        <v>43527</v>
      </c>
      <c r="L297" s="44" t="n">
        <v>0.570833333333333</v>
      </c>
      <c r="M297" s="41" t="s">
        <v>97</v>
      </c>
      <c r="N297" s="42" t="n">
        <v>259.6</v>
      </c>
      <c r="O297" s="42" t="n">
        <v>12.98</v>
      </c>
      <c r="P297" s="45" t="n">
        <v>7.5</v>
      </c>
      <c r="Q297" s="41" t="str">
        <f aca="false">CHOOSE(MONTH(K297),"Jan","Feb","Mar","Apr","May","Jun","Jul","Aug","Sep","Oct","Nov","Dec")</f>
        <v>Mar</v>
      </c>
      <c r="R297" s="41" t="n">
        <f aca="false">INT((K297-setMinDate)/7)+1</f>
        <v>9</v>
      </c>
      <c r="S297" s="41" t="n">
        <f aca="false">HOUR(L297)</f>
        <v>13</v>
      </c>
      <c r="T297" s="41" t="str">
        <f aca="false">IF(S297&lt;setMorningEnd,"Morning",IF(S297&lt;setAfternoonEnd,"Afternoon","Evening"))</f>
        <v>Afternoon</v>
      </c>
      <c r="U297" s="41" t="str">
        <f aca="false">IF(J297&gt;=setLarge,"Large",IF(J297&gt;=setMedium,"Medium","Small"))</f>
        <v>Medium</v>
      </c>
      <c r="V297" s="41" t="str">
        <f aca="false">IF(P297&gt;=setExc,"Excellent",IF(P297&gt;=setGood,"Good",IF(P297&gt;=setAvg,"Average","Poor")))</f>
        <v>Good</v>
      </c>
    </row>
    <row r="298" customFormat="false" ht="15" hidden="false" customHeight="false" outlineLevel="0" collapsed="false">
      <c r="A298" s="41" t="s">
        <v>476</v>
      </c>
      <c r="B298" s="41" t="s">
        <v>180</v>
      </c>
      <c r="C298" s="41" t="s">
        <v>87</v>
      </c>
      <c r="D298" s="41" t="s">
        <v>105</v>
      </c>
      <c r="E298" s="41" t="s">
        <v>103</v>
      </c>
      <c r="F298" s="41" t="s">
        <v>78</v>
      </c>
      <c r="G298" s="42" t="n">
        <v>28.84</v>
      </c>
      <c r="H298" s="41" t="n">
        <v>4</v>
      </c>
      <c r="I298" s="42" t="n">
        <v>5.768</v>
      </c>
      <c r="J298" s="42" t="n">
        <v>121.128</v>
      </c>
      <c r="K298" s="43" t="n">
        <v>43553</v>
      </c>
      <c r="L298" s="44" t="n">
        <v>0.613888888888889</v>
      </c>
      <c r="M298" s="41" t="s">
        <v>97</v>
      </c>
      <c r="N298" s="42" t="n">
        <v>115.36</v>
      </c>
      <c r="O298" s="42" t="n">
        <v>5.768</v>
      </c>
      <c r="P298" s="45" t="n">
        <v>6.4</v>
      </c>
      <c r="Q298" s="41" t="str">
        <f aca="false">CHOOSE(MONTH(K298),"Jan","Feb","Mar","Apr","May","Jun","Jul","Aug","Sep","Oct","Nov","Dec")</f>
        <v>Mar</v>
      </c>
      <c r="R298" s="41" t="n">
        <f aca="false">INT((K298-setMinDate)/7)+1</f>
        <v>13</v>
      </c>
      <c r="S298" s="41" t="n">
        <f aca="false">HOUR(L298)</f>
        <v>14</v>
      </c>
      <c r="T298" s="41" t="str">
        <f aca="false">IF(S298&lt;setMorningEnd,"Morning",IF(S298&lt;setAfternoonEnd,"Afternoon","Evening"))</f>
        <v>Afternoon</v>
      </c>
      <c r="U298" s="41" t="str">
        <f aca="false">IF(J298&gt;=setLarge,"Large",IF(J298&gt;=setMedium,"Medium","Small"))</f>
        <v>Small</v>
      </c>
      <c r="V298" s="41" t="str">
        <f aca="false">IF(P298&gt;=setExc,"Excellent",IF(P298&gt;=setGood,"Good",IF(P298&gt;=setAvg,"Average","Poor")))</f>
        <v>Average</v>
      </c>
    </row>
    <row r="299" customFormat="false" ht="15" hidden="false" customHeight="false" outlineLevel="0" collapsed="false">
      <c r="A299" s="41" t="s">
        <v>477</v>
      </c>
      <c r="B299" s="41" t="s">
        <v>178</v>
      </c>
      <c r="C299" s="41" t="s">
        <v>85</v>
      </c>
      <c r="D299" s="41" t="s">
        <v>104</v>
      </c>
      <c r="E299" s="41" t="s">
        <v>103</v>
      </c>
      <c r="F299" s="41" t="s">
        <v>80</v>
      </c>
      <c r="G299" s="42" t="n">
        <v>78.38</v>
      </c>
      <c r="H299" s="41" t="n">
        <v>6</v>
      </c>
      <c r="I299" s="42" t="n">
        <v>23.514</v>
      </c>
      <c r="J299" s="42" t="n">
        <v>493.794</v>
      </c>
      <c r="K299" s="43" t="n">
        <v>43475</v>
      </c>
      <c r="L299" s="44" t="n">
        <v>0.594444444444444</v>
      </c>
      <c r="M299" s="41" t="s">
        <v>98</v>
      </c>
      <c r="N299" s="42" t="n">
        <v>470.28</v>
      </c>
      <c r="O299" s="42" t="n">
        <v>23.514</v>
      </c>
      <c r="P299" s="45" t="n">
        <v>5.8</v>
      </c>
      <c r="Q299" s="41" t="str">
        <f aca="false">CHOOSE(MONTH(K299),"Jan","Feb","Mar","Apr","May","Jun","Jul","Aug","Sep","Oct","Nov","Dec")</f>
        <v>Jan</v>
      </c>
      <c r="R299" s="41" t="n">
        <f aca="false">INT((K299-setMinDate)/7)+1</f>
        <v>2</v>
      </c>
      <c r="S299" s="41" t="n">
        <f aca="false">HOUR(L299)</f>
        <v>14</v>
      </c>
      <c r="T299" s="41" t="str">
        <f aca="false">IF(S299&lt;setMorningEnd,"Morning",IF(S299&lt;setAfternoonEnd,"Afternoon","Evening"))</f>
        <v>Afternoon</v>
      </c>
      <c r="U299" s="41" t="str">
        <f aca="false">IF(J299&gt;=setLarge,"Large",IF(J299&gt;=setMedium,"Medium","Small"))</f>
        <v>Medium</v>
      </c>
      <c r="V299" s="41" t="str">
        <f aca="false">IF(P299&gt;=setExc,"Excellent",IF(P299&gt;=setGood,"Good",IF(P299&gt;=setAvg,"Average","Poor")))</f>
        <v>Average</v>
      </c>
    </row>
    <row r="300" customFormat="false" ht="15" hidden="false" customHeight="false" outlineLevel="0" collapsed="false">
      <c r="A300" s="41" t="s">
        <v>478</v>
      </c>
      <c r="B300" s="41" t="s">
        <v>178</v>
      </c>
      <c r="C300" s="41" t="s">
        <v>85</v>
      </c>
      <c r="D300" s="41" t="s">
        <v>104</v>
      </c>
      <c r="E300" s="41" t="s">
        <v>103</v>
      </c>
      <c r="F300" s="41" t="s">
        <v>80</v>
      </c>
      <c r="G300" s="42" t="n">
        <v>60.01</v>
      </c>
      <c r="H300" s="41" t="n">
        <v>4</v>
      </c>
      <c r="I300" s="42" t="n">
        <v>12.002</v>
      </c>
      <c r="J300" s="42" t="n">
        <v>252.042</v>
      </c>
      <c r="K300" s="43" t="n">
        <v>43490</v>
      </c>
      <c r="L300" s="44" t="n">
        <v>0.6625</v>
      </c>
      <c r="M300" s="41" t="s">
        <v>97</v>
      </c>
      <c r="N300" s="42" t="n">
        <v>240.04</v>
      </c>
      <c r="O300" s="42" t="n">
        <v>12.002</v>
      </c>
      <c r="P300" s="45" t="n">
        <v>4.5</v>
      </c>
      <c r="Q300" s="41" t="str">
        <f aca="false">CHOOSE(MONTH(K300),"Jan","Feb","Mar","Apr","May","Jun","Jul","Aug","Sep","Oct","Nov","Dec")</f>
        <v>Jan</v>
      </c>
      <c r="R300" s="41" t="n">
        <f aca="false">INT((K300-setMinDate)/7)+1</f>
        <v>4</v>
      </c>
      <c r="S300" s="41" t="n">
        <f aca="false">HOUR(L300)</f>
        <v>15</v>
      </c>
      <c r="T300" s="41" t="str">
        <f aca="false">IF(S300&lt;setMorningEnd,"Morning",IF(S300&lt;setAfternoonEnd,"Afternoon","Evening"))</f>
        <v>Afternoon</v>
      </c>
      <c r="U300" s="41" t="str">
        <f aca="false">IF(J300&gt;=setLarge,"Large",IF(J300&gt;=setMedium,"Medium","Small"))</f>
        <v>Medium</v>
      </c>
      <c r="V300" s="41" t="str">
        <f aca="false">IF(P300&gt;=setExc,"Excellent",IF(P300&gt;=setGood,"Good",IF(P300&gt;=setAvg,"Average","Poor")))</f>
        <v>Poor</v>
      </c>
    </row>
    <row r="301" customFormat="false" ht="15" hidden="false" customHeight="false" outlineLevel="0" collapsed="false">
      <c r="A301" s="41" t="s">
        <v>479</v>
      </c>
      <c r="B301" s="41" t="s">
        <v>180</v>
      </c>
      <c r="C301" s="41" t="s">
        <v>87</v>
      </c>
      <c r="D301" s="41" t="s">
        <v>104</v>
      </c>
      <c r="E301" s="41" t="s">
        <v>102</v>
      </c>
      <c r="F301" s="41" t="s">
        <v>80</v>
      </c>
      <c r="G301" s="42" t="n">
        <v>88.61</v>
      </c>
      <c r="H301" s="41" t="n">
        <v>1</v>
      </c>
      <c r="I301" s="42" t="n">
        <v>4.4305</v>
      </c>
      <c r="J301" s="42" t="n">
        <v>93.0405</v>
      </c>
      <c r="K301" s="43" t="n">
        <v>43484</v>
      </c>
      <c r="L301" s="44" t="n">
        <v>0.43125</v>
      </c>
      <c r="M301" s="41" t="s">
        <v>97</v>
      </c>
      <c r="N301" s="42" t="n">
        <v>88.61</v>
      </c>
      <c r="O301" s="42" t="n">
        <v>4.4305</v>
      </c>
      <c r="P301" s="45" t="n">
        <v>7.7</v>
      </c>
      <c r="Q301" s="41" t="str">
        <f aca="false">CHOOSE(MONTH(K301),"Jan","Feb","Mar","Apr","May","Jun","Jul","Aug","Sep","Oct","Nov","Dec")</f>
        <v>Jan</v>
      </c>
      <c r="R301" s="41" t="n">
        <f aca="false">INT((K301-setMinDate)/7)+1</f>
        <v>3</v>
      </c>
      <c r="S301" s="41" t="n">
        <f aca="false">HOUR(L301)</f>
        <v>10</v>
      </c>
      <c r="T301" s="41" t="str">
        <f aca="false">IF(S301&lt;setMorningEnd,"Morning",IF(S301&lt;setAfternoonEnd,"Afternoon","Evening"))</f>
        <v>Morning</v>
      </c>
      <c r="U301" s="41" t="str">
        <f aca="false">IF(J301&gt;=setLarge,"Large",IF(J301&gt;=setMedium,"Medium","Small"))</f>
        <v>Small</v>
      </c>
      <c r="V301" s="41" t="str">
        <f aca="false">IF(P301&gt;=setExc,"Excellent",IF(P301&gt;=setGood,"Good",IF(P301&gt;=setAvg,"Average","Poor")))</f>
        <v>Good</v>
      </c>
    </row>
    <row r="302" customFormat="false" ht="15" hidden="false" customHeight="false" outlineLevel="0" collapsed="false">
      <c r="A302" s="41" t="s">
        <v>480</v>
      </c>
      <c r="B302" s="41" t="s">
        <v>180</v>
      </c>
      <c r="C302" s="41" t="s">
        <v>87</v>
      </c>
      <c r="D302" s="41" t="s">
        <v>105</v>
      </c>
      <c r="E302" s="41" t="s">
        <v>103</v>
      </c>
      <c r="F302" s="41" t="s">
        <v>79</v>
      </c>
      <c r="G302" s="42" t="n">
        <v>99.82</v>
      </c>
      <c r="H302" s="41" t="n">
        <v>2</v>
      </c>
      <c r="I302" s="42" t="n">
        <v>9.982</v>
      </c>
      <c r="J302" s="42" t="n">
        <v>209.622</v>
      </c>
      <c r="K302" s="43" t="n">
        <v>43467</v>
      </c>
      <c r="L302" s="44" t="n">
        <v>0.75625</v>
      </c>
      <c r="M302" s="41" t="s">
        <v>99</v>
      </c>
      <c r="N302" s="42" t="n">
        <v>199.64</v>
      </c>
      <c r="O302" s="42" t="n">
        <v>9.982</v>
      </c>
      <c r="P302" s="45" t="n">
        <v>6.7</v>
      </c>
      <c r="Q302" s="41" t="str">
        <f aca="false">CHOOSE(MONTH(K302),"Jan","Feb","Mar","Apr","May","Jun","Jul","Aug","Sep","Oct","Nov","Dec")</f>
        <v>Jan</v>
      </c>
      <c r="R302" s="41" t="n">
        <f aca="false">INT((K302-setMinDate)/7)+1</f>
        <v>1</v>
      </c>
      <c r="S302" s="41" t="n">
        <f aca="false">HOUR(L302)</f>
        <v>18</v>
      </c>
      <c r="T302" s="41" t="str">
        <f aca="false">IF(S302&lt;setMorningEnd,"Morning",IF(S302&lt;setAfternoonEnd,"Afternoon","Evening"))</f>
        <v>Evening</v>
      </c>
      <c r="U302" s="41" t="str">
        <f aca="false">IF(J302&gt;=setLarge,"Large",IF(J302&gt;=setMedium,"Medium","Small"))</f>
        <v>Small</v>
      </c>
      <c r="V302" s="41" t="str">
        <f aca="false">IF(P302&gt;=setExc,"Excellent",IF(P302&gt;=setGood,"Good",IF(P302&gt;=setAvg,"Average","Poor")))</f>
        <v>Average</v>
      </c>
    </row>
    <row r="303" customFormat="false" ht="15" hidden="false" customHeight="false" outlineLevel="0" collapsed="false">
      <c r="A303" s="41" t="s">
        <v>481</v>
      </c>
      <c r="B303" s="41" t="s">
        <v>189</v>
      </c>
      <c r="C303" s="41" t="s">
        <v>86</v>
      </c>
      <c r="D303" s="41" t="s">
        <v>104</v>
      </c>
      <c r="E303" s="41" t="s">
        <v>103</v>
      </c>
      <c r="F303" s="41" t="s">
        <v>81</v>
      </c>
      <c r="G303" s="42" t="n">
        <v>39.01</v>
      </c>
      <c r="H303" s="41" t="n">
        <v>1</v>
      </c>
      <c r="I303" s="42" t="n">
        <v>1.9505</v>
      </c>
      <c r="J303" s="42" t="n">
        <v>40.9605</v>
      </c>
      <c r="K303" s="43" t="n">
        <v>43536</v>
      </c>
      <c r="L303" s="44" t="n">
        <v>0.698611111111111</v>
      </c>
      <c r="M303" s="41" t="s">
        <v>99</v>
      </c>
      <c r="N303" s="42" t="n">
        <v>39.01</v>
      </c>
      <c r="O303" s="42" t="n">
        <v>1.9505</v>
      </c>
      <c r="P303" s="45" t="n">
        <v>4.7</v>
      </c>
      <c r="Q303" s="41" t="str">
        <f aca="false">CHOOSE(MONTH(K303),"Jan","Feb","Mar","Apr","May","Jun","Jul","Aug","Sep","Oct","Nov","Dec")</f>
        <v>Mar</v>
      </c>
      <c r="R303" s="41" t="n">
        <f aca="false">INT((K303-setMinDate)/7)+1</f>
        <v>11</v>
      </c>
      <c r="S303" s="41" t="n">
        <f aca="false">HOUR(L303)</f>
        <v>16</v>
      </c>
      <c r="T303" s="41" t="str">
        <f aca="false">IF(S303&lt;setMorningEnd,"Morning",IF(S303&lt;setAfternoonEnd,"Afternoon","Evening"))</f>
        <v>Afternoon</v>
      </c>
      <c r="U303" s="41" t="str">
        <f aca="false">IF(J303&gt;=setLarge,"Large",IF(J303&gt;=setMedium,"Medium","Small"))</f>
        <v>Small</v>
      </c>
      <c r="V303" s="41" t="str">
        <f aca="false">IF(P303&gt;=setExc,"Excellent",IF(P303&gt;=setGood,"Good",IF(P303&gt;=setAvg,"Average","Poor")))</f>
        <v>Poor</v>
      </c>
    </row>
    <row r="304" customFormat="false" ht="15" hidden="false" customHeight="false" outlineLevel="0" collapsed="false">
      <c r="A304" s="41" t="s">
        <v>482</v>
      </c>
      <c r="B304" s="41" t="s">
        <v>180</v>
      </c>
      <c r="C304" s="41" t="s">
        <v>87</v>
      </c>
      <c r="D304" s="41" t="s">
        <v>105</v>
      </c>
      <c r="E304" s="41" t="s">
        <v>103</v>
      </c>
      <c r="F304" s="41" t="s">
        <v>76</v>
      </c>
      <c r="G304" s="42" t="n">
        <v>48.61</v>
      </c>
      <c r="H304" s="41" t="n">
        <v>1</v>
      </c>
      <c r="I304" s="42" t="n">
        <v>2.4305</v>
      </c>
      <c r="J304" s="42" t="n">
        <v>51.0405</v>
      </c>
      <c r="K304" s="43" t="n">
        <v>43521</v>
      </c>
      <c r="L304" s="44" t="n">
        <v>0.646527777777778</v>
      </c>
      <c r="M304" s="41" t="s">
        <v>97</v>
      </c>
      <c r="N304" s="42" t="n">
        <v>48.61</v>
      </c>
      <c r="O304" s="42" t="n">
        <v>2.4305</v>
      </c>
      <c r="P304" s="45" t="n">
        <v>4.4</v>
      </c>
      <c r="Q304" s="41" t="str">
        <f aca="false">CHOOSE(MONTH(K304),"Jan","Feb","Mar","Apr","May","Jun","Jul","Aug","Sep","Oct","Nov","Dec")</f>
        <v>Feb</v>
      </c>
      <c r="R304" s="41" t="n">
        <f aca="false">INT((K304-setMinDate)/7)+1</f>
        <v>8</v>
      </c>
      <c r="S304" s="41" t="n">
        <f aca="false">HOUR(L304)</f>
        <v>15</v>
      </c>
      <c r="T304" s="41" t="str">
        <f aca="false">IF(S304&lt;setMorningEnd,"Morning",IF(S304&lt;setAfternoonEnd,"Afternoon","Evening"))</f>
        <v>Afternoon</v>
      </c>
      <c r="U304" s="41" t="str">
        <f aca="false">IF(J304&gt;=setLarge,"Large",IF(J304&gt;=setMedium,"Medium","Small"))</f>
        <v>Small</v>
      </c>
      <c r="V304" s="41" t="str">
        <f aca="false">IF(P304&gt;=setExc,"Excellent",IF(P304&gt;=setGood,"Good",IF(P304&gt;=setAvg,"Average","Poor")))</f>
        <v>Poor</v>
      </c>
    </row>
    <row r="305" customFormat="false" ht="15" hidden="false" customHeight="false" outlineLevel="0" collapsed="false">
      <c r="A305" s="41" t="s">
        <v>483</v>
      </c>
      <c r="B305" s="41" t="s">
        <v>178</v>
      </c>
      <c r="C305" s="41" t="s">
        <v>85</v>
      </c>
      <c r="D305" s="41" t="s">
        <v>105</v>
      </c>
      <c r="E305" s="41" t="s">
        <v>102</v>
      </c>
      <c r="F305" s="41" t="s">
        <v>78</v>
      </c>
      <c r="G305" s="42" t="n">
        <v>51.19</v>
      </c>
      <c r="H305" s="41" t="n">
        <v>4</v>
      </c>
      <c r="I305" s="42" t="n">
        <v>10.238</v>
      </c>
      <c r="J305" s="42" t="n">
        <v>214.998</v>
      </c>
      <c r="K305" s="43" t="n">
        <v>43542</v>
      </c>
      <c r="L305" s="44" t="n">
        <v>0.71875</v>
      </c>
      <c r="M305" s="41" t="s">
        <v>99</v>
      </c>
      <c r="N305" s="42" t="n">
        <v>204.76</v>
      </c>
      <c r="O305" s="42" t="n">
        <v>10.238</v>
      </c>
      <c r="P305" s="45" t="n">
        <v>4.7</v>
      </c>
      <c r="Q305" s="41" t="str">
        <f aca="false">CHOOSE(MONTH(K305),"Jan","Feb","Mar","Apr","May","Jun","Jul","Aug","Sep","Oct","Nov","Dec")</f>
        <v>Mar</v>
      </c>
      <c r="R305" s="41" t="n">
        <f aca="false">INT((K305-setMinDate)/7)+1</f>
        <v>11</v>
      </c>
      <c r="S305" s="41" t="n">
        <f aca="false">HOUR(L305)</f>
        <v>17</v>
      </c>
      <c r="T305" s="41" t="str">
        <f aca="false">IF(S305&lt;setMorningEnd,"Morning",IF(S305&lt;setAfternoonEnd,"Afternoon","Evening"))</f>
        <v>Evening</v>
      </c>
      <c r="U305" s="41" t="str">
        <f aca="false">IF(J305&gt;=setLarge,"Large",IF(J305&gt;=setMedium,"Medium","Small"))</f>
        <v>Small</v>
      </c>
      <c r="V305" s="41" t="str">
        <f aca="false">IF(P305&gt;=setExc,"Excellent",IF(P305&gt;=setGood,"Good",IF(P305&gt;=setAvg,"Average","Poor")))</f>
        <v>Poor</v>
      </c>
    </row>
    <row r="306" customFormat="false" ht="15" hidden="false" customHeight="false" outlineLevel="0" collapsed="false">
      <c r="A306" s="41" t="s">
        <v>484</v>
      </c>
      <c r="B306" s="41" t="s">
        <v>189</v>
      </c>
      <c r="C306" s="41" t="s">
        <v>86</v>
      </c>
      <c r="D306" s="41" t="s">
        <v>105</v>
      </c>
      <c r="E306" s="41" t="s">
        <v>102</v>
      </c>
      <c r="F306" s="41" t="s">
        <v>78</v>
      </c>
      <c r="G306" s="42" t="n">
        <v>14.96</v>
      </c>
      <c r="H306" s="41" t="n">
        <v>8</v>
      </c>
      <c r="I306" s="42" t="n">
        <v>5.984</v>
      </c>
      <c r="J306" s="42" t="n">
        <v>125.664</v>
      </c>
      <c r="K306" s="43" t="n">
        <v>43519</v>
      </c>
      <c r="L306" s="44" t="n">
        <v>0.520138888888889</v>
      </c>
      <c r="M306" s="41" t="s">
        <v>97</v>
      </c>
      <c r="N306" s="42" t="n">
        <v>119.68</v>
      </c>
      <c r="O306" s="42" t="n">
        <v>5.984</v>
      </c>
      <c r="P306" s="45" t="n">
        <v>8.6</v>
      </c>
      <c r="Q306" s="41" t="str">
        <f aca="false">CHOOSE(MONTH(K306),"Jan","Feb","Mar","Apr","May","Jun","Jul","Aug","Sep","Oct","Nov","Dec")</f>
        <v>Feb</v>
      </c>
      <c r="R306" s="41" t="n">
        <f aca="false">INT((K306-setMinDate)/7)+1</f>
        <v>8</v>
      </c>
      <c r="S306" s="41" t="n">
        <f aca="false">HOUR(L306)</f>
        <v>12</v>
      </c>
      <c r="T306" s="41" t="str">
        <f aca="false">IF(S306&lt;setMorningEnd,"Morning",IF(S306&lt;setAfternoonEnd,"Afternoon","Evening"))</f>
        <v>Afternoon</v>
      </c>
      <c r="U306" s="41" t="str">
        <f aca="false">IF(J306&gt;=setLarge,"Large",IF(J306&gt;=setMedium,"Medium","Small"))</f>
        <v>Small</v>
      </c>
      <c r="V306" s="41" t="str">
        <f aca="false">IF(P306&gt;=setExc,"Excellent",IF(P306&gt;=setGood,"Good",IF(P306&gt;=setAvg,"Average","Poor")))</f>
        <v>Good</v>
      </c>
    </row>
    <row r="307" customFormat="false" ht="15" hidden="false" customHeight="false" outlineLevel="0" collapsed="false">
      <c r="A307" s="41" t="s">
        <v>485</v>
      </c>
      <c r="B307" s="41" t="s">
        <v>178</v>
      </c>
      <c r="C307" s="41" t="s">
        <v>85</v>
      </c>
      <c r="D307" s="41" t="s">
        <v>104</v>
      </c>
      <c r="E307" s="41" t="s">
        <v>103</v>
      </c>
      <c r="F307" s="41" t="s">
        <v>78</v>
      </c>
      <c r="G307" s="42" t="n">
        <v>72.2</v>
      </c>
      <c r="H307" s="41" t="n">
        <v>7</v>
      </c>
      <c r="I307" s="42" t="n">
        <v>25.27</v>
      </c>
      <c r="J307" s="42" t="n">
        <v>530.67</v>
      </c>
      <c r="K307" s="43" t="n">
        <v>43550</v>
      </c>
      <c r="L307" s="44" t="n">
        <v>0.843055555555556</v>
      </c>
      <c r="M307" s="41" t="s">
        <v>98</v>
      </c>
      <c r="N307" s="42" t="n">
        <v>505.4</v>
      </c>
      <c r="O307" s="42" t="n">
        <v>25.27</v>
      </c>
      <c r="P307" s="45" t="n">
        <v>4.3</v>
      </c>
      <c r="Q307" s="41" t="str">
        <f aca="false">CHOOSE(MONTH(K307),"Jan","Feb","Mar","Apr","May","Jun","Jul","Aug","Sep","Oct","Nov","Dec")</f>
        <v>Mar</v>
      </c>
      <c r="R307" s="41" t="n">
        <f aca="false">INT((K307-setMinDate)/7)+1</f>
        <v>13</v>
      </c>
      <c r="S307" s="41" t="n">
        <f aca="false">HOUR(L307)</f>
        <v>20</v>
      </c>
      <c r="T307" s="41" t="str">
        <f aca="false">IF(S307&lt;setMorningEnd,"Morning",IF(S307&lt;setAfternoonEnd,"Afternoon","Evening"))</f>
        <v>Evening</v>
      </c>
      <c r="U307" s="41" t="str">
        <f aca="false">IF(J307&gt;=setLarge,"Large",IF(J307&gt;=setMedium,"Medium","Small"))</f>
        <v>Medium</v>
      </c>
      <c r="V307" s="41" t="str">
        <f aca="false">IF(P307&gt;=setExc,"Excellent",IF(P307&gt;=setGood,"Good",IF(P307&gt;=setAvg,"Average","Poor")))</f>
        <v>Poor</v>
      </c>
    </row>
    <row r="308" customFormat="false" ht="15" hidden="false" customHeight="false" outlineLevel="0" collapsed="false">
      <c r="A308" s="41" t="s">
        <v>486</v>
      </c>
      <c r="B308" s="41" t="s">
        <v>178</v>
      </c>
      <c r="C308" s="41" t="s">
        <v>85</v>
      </c>
      <c r="D308" s="41" t="s">
        <v>105</v>
      </c>
      <c r="E308" s="41" t="s">
        <v>102</v>
      </c>
      <c r="F308" s="41" t="s">
        <v>77</v>
      </c>
      <c r="G308" s="42" t="n">
        <v>40.23</v>
      </c>
      <c r="H308" s="41" t="n">
        <v>7</v>
      </c>
      <c r="I308" s="42" t="n">
        <v>14.0805</v>
      </c>
      <c r="J308" s="42" t="n">
        <v>295.6905</v>
      </c>
      <c r="K308" s="43" t="n">
        <v>43554</v>
      </c>
      <c r="L308" s="44" t="n">
        <v>0.556944444444445</v>
      </c>
      <c r="M308" s="41" t="s">
        <v>97</v>
      </c>
      <c r="N308" s="42" t="n">
        <v>281.61</v>
      </c>
      <c r="O308" s="42" t="n">
        <v>14.0805</v>
      </c>
      <c r="P308" s="45" t="n">
        <v>9.6</v>
      </c>
      <c r="Q308" s="41" t="str">
        <f aca="false">CHOOSE(MONTH(K308),"Jan","Feb","Mar","Apr","May","Jun","Jul","Aug","Sep","Oct","Nov","Dec")</f>
        <v>Mar</v>
      </c>
      <c r="R308" s="41" t="n">
        <f aca="false">INT((K308-setMinDate)/7)+1</f>
        <v>13</v>
      </c>
      <c r="S308" s="41" t="n">
        <f aca="false">HOUR(L308)</f>
        <v>13</v>
      </c>
      <c r="T308" s="41" t="str">
        <f aca="false">IF(S308&lt;setMorningEnd,"Morning",IF(S308&lt;setAfternoonEnd,"Afternoon","Evening"))</f>
        <v>Afternoon</v>
      </c>
      <c r="U308" s="41" t="str">
        <f aca="false">IF(J308&gt;=setLarge,"Large",IF(J308&gt;=setMedium,"Medium","Small"))</f>
        <v>Medium</v>
      </c>
      <c r="V308" s="41" t="str">
        <f aca="false">IF(P308&gt;=setExc,"Excellent",IF(P308&gt;=setGood,"Good",IF(P308&gt;=setAvg,"Average","Poor")))</f>
        <v>Excellent</v>
      </c>
    </row>
    <row r="309" customFormat="false" ht="15" hidden="false" customHeight="false" outlineLevel="0" collapsed="false">
      <c r="A309" s="41" t="s">
        <v>487</v>
      </c>
      <c r="B309" s="41" t="s">
        <v>178</v>
      </c>
      <c r="C309" s="41" t="s">
        <v>85</v>
      </c>
      <c r="D309" s="41" t="s">
        <v>104</v>
      </c>
      <c r="E309" s="41" t="s">
        <v>102</v>
      </c>
      <c r="F309" s="41" t="s">
        <v>80</v>
      </c>
      <c r="G309" s="42" t="n">
        <v>88.79</v>
      </c>
      <c r="H309" s="41" t="n">
        <v>8</v>
      </c>
      <c r="I309" s="42" t="n">
        <v>35.516</v>
      </c>
      <c r="J309" s="42" t="n">
        <v>745.836</v>
      </c>
      <c r="K309" s="43" t="n">
        <v>43513</v>
      </c>
      <c r="L309" s="44" t="n">
        <v>0.714583333333333</v>
      </c>
      <c r="M309" s="41" t="s">
        <v>97</v>
      </c>
      <c r="N309" s="42" t="n">
        <v>710.32</v>
      </c>
      <c r="O309" s="42" t="n">
        <v>35.516</v>
      </c>
      <c r="P309" s="45" t="n">
        <v>4.1</v>
      </c>
      <c r="Q309" s="41" t="str">
        <f aca="false">CHOOSE(MONTH(K309),"Jan","Feb","Mar","Apr","May","Jun","Jul","Aug","Sep","Oct","Nov","Dec")</f>
        <v>Feb</v>
      </c>
      <c r="R309" s="41" t="n">
        <f aca="false">INT((K309-setMinDate)/7)+1</f>
        <v>7</v>
      </c>
      <c r="S309" s="41" t="n">
        <f aca="false">HOUR(L309)</f>
        <v>17</v>
      </c>
      <c r="T309" s="41" t="str">
        <f aca="false">IF(S309&lt;setMorningEnd,"Morning",IF(S309&lt;setAfternoonEnd,"Afternoon","Evening"))</f>
        <v>Evening</v>
      </c>
      <c r="U309" s="41" t="str">
        <f aca="false">IF(J309&gt;=setLarge,"Large",IF(J309&gt;=setMedium,"Medium","Small"))</f>
        <v>Large</v>
      </c>
      <c r="V309" s="41" t="str">
        <f aca="false">IF(P309&gt;=setExc,"Excellent",IF(P309&gt;=setGood,"Good",IF(P309&gt;=setAvg,"Average","Poor")))</f>
        <v>Poor</v>
      </c>
    </row>
    <row r="310" customFormat="false" ht="15" hidden="false" customHeight="false" outlineLevel="0" collapsed="false">
      <c r="A310" s="41" t="s">
        <v>488</v>
      </c>
      <c r="B310" s="41" t="s">
        <v>178</v>
      </c>
      <c r="C310" s="41" t="s">
        <v>85</v>
      </c>
      <c r="D310" s="41" t="s">
        <v>104</v>
      </c>
      <c r="E310" s="41" t="s">
        <v>102</v>
      </c>
      <c r="F310" s="41" t="s">
        <v>78</v>
      </c>
      <c r="G310" s="42" t="n">
        <v>26.48</v>
      </c>
      <c r="H310" s="41" t="n">
        <v>3</v>
      </c>
      <c r="I310" s="42" t="n">
        <v>3.972</v>
      </c>
      <c r="J310" s="42" t="n">
        <v>83.412</v>
      </c>
      <c r="K310" s="43" t="n">
        <v>43545</v>
      </c>
      <c r="L310" s="44" t="n">
        <v>0.444444444444444</v>
      </c>
      <c r="M310" s="41" t="s">
        <v>98</v>
      </c>
      <c r="N310" s="42" t="n">
        <v>79.44</v>
      </c>
      <c r="O310" s="42" t="n">
        <v>3.972</v>
      </c>
      <c r="P310" s="45" t="n">
        <v>4.7</v>
      </c>
      <c r="Q310" s="41" t="str">
        <f aca="false">CHOOSE(MONTH(K310),"Jan","Feb","Mar","Apr","May","Jun","Jul","Aug","Sep","Oct","Nov","Dec")</f>
        <v>Mar</v>
      </c>
      <c r="R310" s="41" t="n">
        <f aca="false">INT((K310-setMinDate)/7)+1</f>
        <v>12</v>
      </c>
      <c r="S310" s="41" t="n">
        <f aca="false">HOUR(L310)</f>
        <v>10</v>
      </c>
      <c r="T310" s="41" t="str">
        <f aca="false">IF(S310&lt;setMorningEnd,"Morning",IF(S310&lt;setAfternoonEnd,"Afternoon","Evening"))</f>
        <v>Morning</v>
      </c>
      <c r="U310" s="41" t="str">
        <f aca="false">IF(J310&gt;=setLarge,"Large",IF(J310&gt;=setMedium,"Medium","Small"))</f>
        <v>Small</v>
      </c>
      <c r="V310" s="41" t="str">
        <f aca="false">IF(P310&gt;=setExc,"Excellent",IF(P310&gt;=setGood,"Good",IF(P310&gt;=setAvg,"Average","Poor")))</f>
        <v>Poor</v>
      </c>
    </row>
    <row r="311" customFormat="false" ht="15" hidden="false" customHeight="false" outlineLevel="0" collapsed="false">
      <c r="A311" s="41" t="s">
        <v>489</v>
      </c>
      <c r="B311" s="41" t="s">
        <v>178</v>
      </c>
      <c r="C311" s="41" t="s">
        <v>85</v>
      </c>
      <c r="D311" s="41" t="s">
        <v>105</v>
      </c>
      <c r="E311" s="41" t="s">
        <v>102</v>
      </c>
      <c r="F311" s="41" t="s">
        <v>79</v>
      </c>
      <c r="G311" s="42" t="n">
        <v>81.91</v>
      </c>
      <c r="H311" s="41" t="n">
        <v>2</v>
      </c>
      <c r="I311" s="42" t="n">
        <v>8.191</v>
      </c>
      <c r="J311" s="42" t="n">
        <v>172.011</v>
      </c>
      <c r="K311" s="43" t="n">
        <v>43529</v>
      </c>
      <c r="L311" s="44" t="n">
        <v>0.738194444444445</v>
      </c>
      <c r="M311" s="41" t="s">
        <v>97</v>
      </c>
      <c r="N311" s="42" t="n">
        <v>163.82</v>
      </c>
      <c r="O311" s="42" t="n">
        <v>8.191</v>
      </c>
      <c r="P311" s="45" t="n">
        <v>7.8</v>
      </c>
      <c r="Q311" s="41" t="str">
        <f aca="false">CHOOSE(MONTH(K311),"Jan","Feb","Mar","Apr","May","Jun","Jul","Aug","Sep","Oct","Nov","Dec")</f>
        <v>Mar</v>
      </c>
      <c r="R311" s="41" t="n">
        <f aca="false">INT((K311-setMinDate)/7)+1</f>
        <v>10</v>
      </c>
      <c r="S311" s="41" t="n">
        <f aca="false">HOUR(L311)</f>
        <v>17</v>
      </c>
      <c r="T311" s="41" t="str">
        <f aca="false">IF(S311&lt;setMorningEnd,"Morning",IF(S311&lt;setAfternoonEnd,"Afternoon","Evening"))</f>
        <v>Evening</v>
      </c>
      <c r="U311" s="41" t="str">
        <f aca="false">IF(J311&gt;=setLarge,"Large",IF(J311&gt;=setMedium,"Medium","Small"))</f>
        <v>Small</v>
      </c>
      <c r="V311" s="41" t="str">
        <f aca="false">IF(P311&gt;=setExc,"Excellent",IF(P311&gt;=setGood,"Good",IF(P311&gt;=setAvg,"Average","Poor")))</f>
        <v>Good</v>
      </c>
    </row>
    <row r="312" customFormat="false" ht="15" hidden="false" customHeight="false" outlineLevel="0" collapsed="false">
      <c r="A312" s="41" t="s">
        <v>490</v>
      </c>
      <c r="B312" s="41" t="s">
        <v>189</v>
      </c>
      <c r="C312" s="41" t="s">
        <v>86</v>
      </c>
      <c r="D312" s="41" t="s">
        <v>104</v>
      </c>
      <c r="E312" s="41" t="s">
        <v>103</v>
      </c>
      <c r="F312" s="41" t="s">
        <v>77</v>
      </c>
      <c r="G312" s="42" t="n">
        <v>79.93</v>
      </c>
      <c r="H312" s="41" t="n">
        <v>6</v>
      </c>
      <c r="I312" s="42" t="n">
        <v>23.979</v>
      </c>
      <c r="J312" s="42" t="n">
        <v>503.559</v>
      </c>
      <c r="K312" s="43" t="n">
        <v>43496</v>
      </c>
      <c r="L312" s="44" t="n">
        <v>0.586111111111111</v>
      </c>
      <c r="M312" s="41" t="s">
        <v>97</v>
      </c>
      <c r="N312" s="42" t="n">
        <v>479.58</v>
      </c>
      <c r="O312" s="42" t="n">
        <v>23.979</v>
      </c>
      <c r="P312" s="45" t="n">
        <v>5.5</v>
      </c>
      <c r="Q312" s="41" t="str">
        <f aca="false">CHOOSE(MONTH(K312),"Jan","Feb","Mar","Apr","May","Jun","Jul","Aug","Sep","Oct","Nov","Dec")</f>
        <v>Jan</v>
      </c>
      <c r="R312" s="41" t="n">
        <f aca="false">INT((K312-setMinDate)/7)+1</f>
        <v>5</v>
      </c>
      <c r="S312" s="41" t="n">
        <f aca="false">HOUR(L312)</f>
        <v>14</v>
      </c>
      <c r="T312" s="41" t="str">
        <f aca="false">IF(S312&lt;setMorningEnd,"Morning",IF(S312&lt;setAfternoonEnd,"Afternoon","Evening"))</f>
        <v>Afternoon</v>
      </c>
      <c r="U312" s="41" t="str">
        <f aca="false">IF(J312&gt;=setLarge,"Large",IF(J312&gt;=setMedium,"Medium","Small"))</f>
        <v>Medium</v>
      </c>
      <c r="V312" s="41" t="str">
        <f aca="false">IF(P312&gt;=setExc,"Excellent",IF(P312&gt;=setGood,"Good",IF(P312&gt;=setAvg,"Average","Poor")))</f>
        <v>Average</v>
      </c>
    </row>
    <row r="313" customFormat="false" ht="15" hidden="false" customHeight="false" outlineLevel="0" collapsed="false">
      <c r="A313" s="41" t="s">
        <v>491</v>
      </c>
      <c r="B313" s="41" t="s">
        <v>180</v>
      </c>
      <c r="C313" s="41" t="s">
        <v>87</v>
      </c>
      <c r="D313" s="41" t="s">
        <v>104</v>
      </c>
      <c r="E313" s="41" t="s">
        <v>103</v>
      </c>
      <c r="F313" s="41" t="s">
        <v>79</v>
      </c>
      <c r="G313" s="42" t="n">
        <v>69.33</v>
      </c>
      <c r="H313" s="41" t="n">
        <v>2</v>
      </c>
      <c r="I313" s="42" t="n">
        <v>6.933</v>
      </c>
      <c r="J313" s="42" t="n">
        <v>145.593</v>
      </c>
      <c r="K313" s="43" t="n">
        <v>43501</v>
      </c>
      <c r="L313" s="44" t="n">
        <v>0.795138888888889</v>
      </c>
      <c r="M313" s="41" t="s">
        <v>98</v>
      </c>
      <c r="N313" s="42" t="n">
        <v>138.66</v>
      </c>
      <c r="O313" s="42" t="n">
        <v>6.933</v>
      </c>
      <c r="P313" s="45" t="n">
        <v>9.7</v>
      </c>
      <c r="Q313" s="41" t="str">
        <f aca="false">CHOOSE(MONTH(K313),"Jan","Feb","Mar","Apr","May","Jun","Jul","Aug","Sep","Oct","Nov","Dec")</f>
        <v>Feb</v>
      </c>
      <c r="R313" s="41" t="n">
        <f aca="false">INT((K313-setMinDate)/7)+1</f>
        <v>6</v>
      </c>
      <c r="S313" s="41" t="n">
        <f aca="false">HOUR(L313)</f>
        <v>19</v>
      </c>
      <c r="T313" s="41" t="str">
        <f aca="false">IF(S313&lt;setMorningEnd,"Morning",IF(S313&lt;setAfternoonEnd,"Afternoon","Evening"))</f>
        <v>Evening</v>
      </c>
      <c r="U313" s="41" t="str">
        <f aca="false">IF(J313&gt;=setLarge,"Large",IF(J313&gt;=setMedium,"Medium","Small"))</f>
        <v>Small</v>
      </c>
      <c r="V313" s="41" t="str">
        <f aca="false">IF(P313&gt;=setExc,"Excellent",IF(P313&gt;=setGood,"Good",IF(P313&gt;=setAvg,"Average","Poor")))</f>
        <v>Excellent</v>
      </c>
    </row>
    <row r="314" customFormat="false" ht="15" hidden="false" customHeight="false" outlineLevel="0" collapsed="false">
      <c r="A314" s="41" t="s">
        <v>492</v>
      </c>
      <c r="B314" s="41" t="s">
        <v>178</v>
      </c>
      <c r="C314" s="41" t="s">
        <v>85</v>
      </c>
      <c r="D314" s="41" t="s">
        <v>104</v>
      </c>
      <c r="E314" s="41" t="s">
        <v>102</v>
      </c>
      <c r="F314" s="41" t="s">
        <v>76</v>
      </c>
      <c r="G314" s="42" t="n">
        <v>14.23</v>
      </c>
      <c r="H314" s="41" t="n">
        <v>5</v>
      </c>
      <c r="I314" s="42" t="n">
        <v>3.5575</v>
      </c>
      <c r="J314" s="42" t="n">
        <v>74.7075</v>
      </c>
      <c r="K314" s="43" t="n">
        <v>43497</v>
      </c>
      <c r="L314" s="44" t="n">
        <v>0.422222222222222</v>
      </c>
      <c r="M314" s="41" t="s">
        <v>99</v>
      </c>
      <c r="N314" s="42" t="n">
        <v>71.15</v>
      </c>
      <c r="O314" s="42" t="n">
        <v>3.5575</v>
      </c>
      <c r="P314" s="45" t="n">
        <v>4.4</v>
      </c>
      <c r="Q314" s="41" t="str">
        <f aca="false">CHOOSE(MONTH(K314),"Jan","Feb","Mar","Apr","May","Jun","Jul","Aug","Sep","Oct","Nov","Dec")</f>
        <v>Feb</v>
      </c>
      <c r="R314" s="41" t="n">
        <f aca="false">INT((K314-setMinDate)/7)+1</f>
        <v>5</v>
      </c>
      <c r="S314" s="41" t="n">
        <f aca="false">HOUR(L314)</f>
        <v>10</v>
      </c>
      <c r="T314" s="41" t="str">
        <f aca="false">IF(S314&lt;setMorningEnd,"Morning",IF(S314&lt;setAfternoonEnd,"Afternoon","Evening"))</f>
        <v>Morning</v>
      </c>
      <c r="U314" s="41" t="str">
        <f aca="false">IF(J314&gt;=setLarge,"Large",IF(J314&gt;=setMedium,"Medium","Small"))</f>
        <v>Small</v>
      </c>
      <c r="V314" s="41" t="str">
        <f aca="false">IF(P314&gt;=setExc,"Excellent",IF(P314&gt;=setGood,"Good",IF(P314&gt;=setAvg,"Average","Poor")))</f>
        <v>Poor</v>
      </c>
    </row>
    <row r="315" customFormat="false" ht="15" hidden="false" customHeight="false" outlineLevel="0" collapsed="false">
      <c r="A315" s="41" t="s">
        <v>493</v>
      </c>
      <c r="B315" s="41" t="s">
        <v>178</v>
      </c>
      <c r="C315" s="41" t="s">
        <v>85</v>
      </c>
      <c r="D315" s="41" t="s">
        <v>104</v>
      </c>
      <c r="E315" s="41" t="s">
        <v>102</v>
      </c>
      <c r="F315" s="41" t="s">
        <v>81</v>
      </c>
      <c r="G315" s="42" t="n">
        <v>15.55</v>
      </c>
      <c r="H315" s="41" t="n">
        <v>9</v>
      </c>
      <c r="I315" s="42" t="n">
        <v>6.9975</v>
      </c>
      <c r="J315" s="42" t="n">
        <v>146.9475</v>
      </c>
      <c r="K315" s="43" t="n">
        <v>43531</v>
      </c>
      <c r="L315" s="44" t="n">
        <v>0.55</v>
      </c>
      <c r="M315" s="41" t="s">
        <v>97</v>
      </c>
      <c r="N315" s="42" t="n">
        <v>139.95</v>
      </c>
      <c r="O315" s="42" t="n">
        <v>6.9975</v>
      </c>
      <c r="P315" s="45" t="n">
        <v>5</v>
      </c>
      <c r="Q315" s="41" t="str">
        <f aca="false">CHOOSE(MONTH(K315),"Jan","Feb","Mar","Apr","May","Jun","Jul","Aug","Sep","Oct","Nov","Dec")</f>
        <v>Mar</v>
      </c>
      <c r="R315" s="41" t="n">
        <f aca="false">INT((K315-setMinDate)/7)+1</f>
        <v>10</v>
      </c>
      <c r="S315" s="41" t="n">
        <f aca="false">HOUR(L315)</f>
        <v>13</v>
      </c>
      <c r="T315" s="41" t="str">
        <f aca="false">IF(S315&lt;setMorningEnd,"Morning",IF(S315&lt;setAfternoonEnd,"Afternoon","Evening"))</f>
        <v>Afternoon</v>
      </c>
      <c r="U315" s="41" t="str">
        <f aca="false">IF(J315&gt;=setLarge,"Large",IF(J315&gt;=setMedium,"Medium","Small"))</f>
        <v>Small</v>
      </c>
      <c r="V315" s="41" t="str">
        <f aca="false">IF(P315&gt;=setExc,"Excellent",IF(P315&gt;=setGood,"Good",IF(P315&gt;=setAvg,"Average","Poor")))</f>
        <v>Average</v>
      </c>
    </row>
    <row r="316" customFormat="false" ht="15" hidden="false" customHeight="false" outlineLevel="0" collapsed="false">
      <c r="A316" s="41" t="s">
        <v>494</v>
      </c>
      <c r="B316" s="41" t="s">
        <v>180</v>
      </c>
      <c r="C316" s="41" t="s">
        <v>87</v>
      </c>
      <c r="D316" s="41" t="s">
        <v>104</v>
      </c>
      <c r="E316" s="41" t="s">
        <v>102</v>
      </c>
      <c r="F316" s="41" t="s">
        <v>78</v>
      </c>
      <c r="G316" s="42" t="n">
        <v>78.13</v>
      </c>
      <c r="H316" s="41" t="n">
        <v>10</v>
      </c>
      <c r="I316" s="42" t="n">
        <v>39.065</v>
      </c>
      <c r="J316" s="42" t="n">
        <v>820.365</v>
      </c>
      <c r="K316" s="43" t="n">
        <v>43506</v>
      </c>
      <c r="L316" s="44" t="n">
        <v>0.86875</v>
      </c>
      <c r="M316" s="41" t="s">
        <v>97</v>
      </c>
      <c r="N316" s="42" t="n">
        <v>781.3</v>
      </c>
      <c r="O316" s="42" t="n">
        <v>39.065</v>
      </c>
      <c r="P316" s="45" t="n">
        <v>4.4</v>
      </c>
      <c r="Q316" s="41" t="str">
        <f aca="false">CHOOSE(MONTH(K316),"Jan","Feb","Mar","Apr","May","Jun","Jul","Aug","Sep","Oct","Nov","Dec")</f>
        <v>Feb</v>
      </c>
      <c r="R316" s="41" t="n">
        <f aca="false">INT((K316-setMinDate)/7)+1</f>
        <v>6</v>
      </c>
      <c r="S316" s="41" t="n">
        <f aca="false">HOUR(L316)</f>
        <v>20</v>
      </c>
      <c r="T316" s="41" t="str">
        <f aca="false">IF(S316&lt;setMorningEnd,"Morning",IF(S316&lt;setAfternoonEnd,"Afternoon","Evening"))</f>
        <v>Evening</v>
      </c>
      <c r="U316" s="41" t="str">
        <f aca="false">IF(J316&gt;=setLarge,"Large",IF(J316&gt;=setMedium,"Medium","Small"))</f>
        <v>Large</v>
      </c>
      <c r="V316" s="41" t="str">
        <f aca="false">IF(P316&gt;=setExc,"Excellent",IF(P316&gt;=setGood,"Good",IF(P316&gt;=setAvg,"Average","Poor")))</f>
        <v>Poor</v>
      </c>
    </row>
    <row r="317" customFormat="false" ht="15" hidden="false" customHeight="false" outlineLevel="0" collapsed="false">
      <c r="A317" s="41" t="s">
        <v>495</v>
      </c>
      <c r="B317" s="41" t="s">
        <v>180</v>
      </c>
      <c r="C317" s="41" t="s">
        <v>87</v>
      </c>
      <c r="D317" s="41" t="s">
        <v>104</v>
      </c>
      <c r="E317" s="41" t="s">
        <v>103</v>
      </c>
      <c r="F317" s="41" t="s">
        <v>76</v>
      </c>
      <c r="G317" s="42" t="n">
        <v>99.37</v>
      </c>
      <c r="H317" s="41" t="n">
        <v>2</v>
      </c>
      <c r="I317" s="42" t="n">
        <v>9.937</v>
      </c>
      <c r="J317" s="42" t="n">
        <v>208.677</v>
      </c>
      <c r="K317" s="43" t="n">
        <v>43510</v>
      </c>
      <c r="L317" s="44" t="n">
        <v>0.728472222222222</v>
      </c>
      <c r="M317" s="41" t="s">
        <v>97</v>
      </c>
      <c r="N317" s="42" t="n">
        <v>198.74</v>
      </c>
      <c r="O317" s="42" t="n">
        <v>9.937</v>
      </c>
      <c r="P317" s="45" t="n">
        <v>5.2</v>
      </c>
      <c r="Q317" s="41" t="str">
        <f aca="false">CHOOSE(MONTH(K317),"Jan","Feb","Mar","Apr","May","Jun","Jul","Aug","Sep","Oct","Nov","Dec")</f>
        <v>Feb</v>
      </c>
      <c r="R317" s="41" t="n">
        <f aca="false">INT((K317-setMinDate)/7)+1</f>
        <v>7</v>
      </c>
      <c r="S317" s="41" t="n">
        <f aca="false">HOUR(L317)</f>
        <v>17</v>
      </c>
      <c r="T317" s="41" t="str">
        <f aca="false">IF(S317&lt;setMorningEnd,"Morning",IF(S317&lt;setAfternoonEnd,"Afternoon","Evening"))</f>
        <v>Evening</v>
      </c>
      <c r="U317" s="41" t="str">
        <f aca="false">IF(J317&gt;=setLarge,"Large",IF(J317&gt;=setMedium,"Medium","Small"))</f>
        <v>Small</v>
      </c>
      <c r="V317" s="41" t="str">
        <f aca="false">IF(P317&gt;=setExc,"Excellent",IF(P317&gt;=setGood,"Good",IF(P317&gt;=setAvg,"Average","Poor")))</f>
        <v>Average</v>
      </c>
    </row>
    <row r="318" customFormat="false" ht="15" hidden="false" customHeight="false" outlineLevel="0" collapsed="false">
      <c r="A318" s="41" t="s">
        <v>496</v>
      </c>
      <c r="B318" s="41" t="s">
        <v>180</v>
      </c>
      <c r="C318" s="41" t="s">
        <v>87</v>
      </c>
      <c r="D318" s="41" t="s">
        <v>104</v>
      </c>
      <c r="E318" s="41" t="s">
        <v>102</v>
      </c>
      <c r="F318" s="41" t="s">
        <v>76</v>
      </c>
      <c r="G318" s="42" t="n">
        <v>21.08</v>
      </c>
      <c r="H318" s="41" t="n">
        <v>3</v>
      </c>
      <c r="I318" s="42" t="n">
        <v>3.162</v>
      </c>
      <c r="J318" s="42" t="n">
        <v>66.402</v>
      </c>
      <c r="K318" s="43" t="n">
        <v>43505</v>
      </c>
      <c r="L318" s="44" t="n">
        <v>0.434027777777778</v>
      </c>
      <c r="M318" s="41" t="s">
        <v>97</v>
      </c>
      <c r="N318" s="42" t="n">
        <v>63.24</v>
      </c>
      <c r="O318" s="42" t="n">
        <v>3.162</v>
      </c>
      <c r="P318" s="45" t="n">
        <v>7.3</v>
      </c>
      <c r="Q318" s="41" t="str">
        <f aca="false">CHOOSE(MONTH(K318),"Jan","Feb","Mar","Apr","May","Jun","Jul","Aug","Sep","Oct","Nov","Dec")</f>
        <v>Feb</v>
      </c>
      <c r="R318" s="41" t="n">
        <f aca="false">INT((K318-setMinDate)/7)+1</f>
        <v>6</v>
      </c>
      <c r="S318" s="41" t="n">
        <f aca="false">HOUR(L318)</f>
        <v>10</v>
      </c>
      <c r="T318" s="41" t="str">
        <f aca="false">IF(S318&lt;setMorningEnd,"Morning",IF(S318&lt;setAfternoonEnd,"Afternoon","Evening"))</f>
        <v>Morning</v>
      </c>
      <c r="U318" s="41" t="str">
        <f aca="false">IF(J318&gt;=setLarge,"Large",IF(J318&gt;=setMedium,"Medium","Small"))</f>
        <v>Small</v>
      </c>
      <c r="V318" s="41" t="str">
        <f aca="false">IF(P318&gt;=setExc,"Excellent",IF(P318&gt;=setGood,"Good",IF(P318&gt;=setAvg,"Average","Poor")))</f>
        <v>Good</v>
      </c>
    </row>
    <row r="319" customFormat="false" ht="15" hidden="false" customHeight="false" outlineLevel="0" collapsed="false">
      <c r="A319" s="41" t="s">
        <v>497</v>
      </c>
      <c r="B319" s="41" t="s">
        <v>180</v>
      </c>
      <c r="C319" s="41" t="s">
        <v>87</v>
      </c>
      <c r="D319" s="41" t="s">
        <v>104</v>
      </c>
      <c r="E319" s="41" t="s">
        <v>103</v>
      </c>
      <c r="F319" s="41" t="s">
        <v>78</v>
      </c>
      <c r="G319" s="42" t="n">
        <v>74.79</v>
      </c>
      <c r="H319" s="41" t="n">
        <v>5</v>
      </c>
      <c r="I319" s="42" t="n">
        <v>18.6975</v>
      </c>
      <c r="J319" s="42" t="n">
        <v>392.6475</v>
      </c>
      <c r="K319" s="43" t="n">
        <v>43475</v>
      </c>
      <c r="L319" s="44" t="n">
        <v>0.481944444444445</v>
      </c>
      <c r="M319" s="41" t="s">
        <v>97</v>
      </c>
      <c r="N319" s="42" t="n">
        <v>373.95</v>
      </c>
      <c r="O319" s="42" t="n">
        <v>18.6975</v>
      </c>
      <c r="P319" s="45" t="n">
        <v>4.9</v>
      </c>
      <c r="Q319" s="41" t="str">
        <f aca="false">CHOOSE(MONTH(K319),"Jan","Feb","Mar","Apr","May","Jun","Jul","Aug","Sep","Oct","Nov","Dec")</f>
        <v>Jan</v>
      </c>
      <c r="R319" s="41" t="n">
        <f aca="false">INT((K319-setMinDate)/7)+1</f>
        <v>2</v>
      </c>
      <c r="S319" s="41" t="n">
        <f aca="false">HOUR(L319)</f>
        <v>11</v>
      </c>
      <c r="T319" s="41" t="str">
        <f aca="false">IF(S319&lt;setMorningEnd,"Morning",IF(S319&lt;setAfternoonEnd,"Afternoon","Evening"))</f>
        <v>Morning</v>
      </c>
      <c r="U319" s="41" t="str">
        <f aca="false">IF(J319&gt;=setLarge,"Large",IF(J319&gt;=setMedium,"Medium","Small"))</f>
        <v>Medium</v>
      </c>
      <c r="V319" s="41" t="str">
        <f aca="false">IF(P319&gt;=setExc,"Excellent",IF(P319&gt;=setGood,"Good",IF(P319&gt;=setAvg,"Average","Poor")))</f>
        <v>Poor</v>
      </c>
    </row>
    <row r="320" customFormat="false" ht="15" hidden="false" customHeight="false" outlineLevel="0" collapsed="false">
      <c r="A320" s="41" t="s">
        <v>498</v>
      </c>
      <c r="B320" s="41" t="s">
        <v>180</v>
      </c>
      <c r="C320" s="41" t="s">
        <v>87</v>
      </c>
      <c r="D320" s="41" t="s">
        <v>104</v>
      </c>
      <c r="E320" s="41" t="s">
        <v>102</v>
      </c>
      <c r="F320" s="41" t="s">
        <v>81</v>
      </c>
      <c r="G320" s="42" t="n">
        <v>29.67</v>
      </c>
      <c r="H320" s="41" t="n">
        <v>7</v>
      </c>
      <c r="I320" s="42" t="n">
        <v>10.3845</v>
      </c>
      <c r="J320" s="42" t="n">
        <v>218.0745</v>
      </c>
      <c r="K320" s="43" t="n">
        <v>43535</v>
      </c>
      <c r="L320" s="44" t="n">
        <v>0.790277777777778</v>
      </c>
      <c r="M320" s="41" t="s">
        <v>99</v>
      </c>
      <c r="N320" s="42" t="n">
        <v>207.69</v>
      </c>
      <c r="O320" s="42" t="n">
        <v>10.3845</v>
      </c>
      <c r="P320" s="45" t="n">
        <v>8.1</v>
      </c>
      <c r="Q320" s="41" t="str">
        <f aca="false">CHOOSE(MONTH(K320),"Jan","Feb","Mar","Apr","May","Jun","Jul","Aug","Sep","Oct","Nov","Dec")</f>
        <v>Mar</v>
      </c>
      <c r="R320" s="41" t="n">
        <f aca="false">INT((K320-setMinDate)/7)+1</f>
        <v>10</v>
      </c>
      <c r="S320" s="41" t="n">
        <f aca="false">HOUR(L320)</f>
        <v>18</v>
      </c>
      <c r="T320" s="41" t="str">
        <f aca="false">IF(S320&lt;setMorningEnd,"Morning",IF(S320&lt;setAfternoonEnd,"Afternoon","Evening"))</f>
        <v>Evening</v>
      </c>
      <c r="U320" s="41" t="str">
        <f aca="false">IF(J320&gt;=setLarge,"Large",IF(J320&gt;=setMedium,"Medium","Small"))</f>
        <v>Small</v>
      </c>
      <c r="V320" s="41" t="str">
        <f aca="false">IF(P320&gt;=setExc,"Excellent",IF(P320&gt;=setGood,"Good",IF(P320&gt;=setAvg,"Average","Poor")))</f>
        <v>Good</v>
      </c>
    </row>
    <row r="321" customFormat="false" ht="15" hidden="false" customHeight="false" outlineLevel="0" collapsed="false">
      <c r="A321" s="41" t="s">
        <v>499</v>
      </c>
      <c r="B321" s="41" t="s">
        <v>180</v>
      </c>
      <c r="C321" s="41" t="s">
        <v>87</v>
      </c>
      <c r="D321" s="41" t="s">
        <v>104</v>
      </c>
      <c r="E321" s="41" t="s">
        <v>103</v>
      </c>
      <c r="F321" s="41" t="s">
        <v>81</v>
      </c>
      <c r="G321" s="42" t="n">
        <v>44.07</v>
      </c>
      <c r="H321" s="41" t="n">
        <v>4</v>
      </c>
      <c r="I321" s="42" t="n">
        <v>8.814</v>
      </c>
      <c r="J321" s="42" t="n">
        <v>185.094</v>
      </c>
      <c r="K321" s="43" t="n">
        <v>43514</v>
      </c>
      <c r="L321" s="44" t="n">
        <v>0.686111111111111</v>
      </c>
      <c r="M321" s="41" t="s">
        <v>98</v>
      </c>
      <c r="N321" s="42" t="n">
        <v>176.28</v>
      </c>
      <c r="O321" s="42" t="n">
        <v>8.814</v>
      </c>
      <c r="P321" s="45" t="n">
        <v>8.4</v>
      </c>
      <c r="Q321" s="41" t="str">
        <f aca="false">CHOOSE(MONTH(K321),"Jan","Feb","Mar","Apr","May","Jun","Jul","Aug","Sep","Oct","Nov","Dec")</f>
        <v>Feb</v>
      </c>
      <c r="R321" s="41" t="n">
        <f aca="false">INT((K321-setMinDate)/7)+1</f>
        <v>7</v>
      </c>
      <c r="S321" s="41" t="n">
        <f aca="false">HOUR(L321)</f>
        <v>16</v>
      </c>
      <c r="T321" s="41" t="str">
        <f aca="false">IF(S321&lt;setMorningEnd,"Morning",IF(S321&lt;setAfternoonEnd,"Afternoon","Evening"))</f>
        <v>Afternoon</v>
      </c>
      <c r="U321" s="41" t="str">
        <f aca="false">IF(J321&gt;=setLarge,"Large",IF(J321&gt;=setMedium,"Medium","Small"))</f>
        <v>Small</v>
      </c>
      <c r="V321" s="41" t="str">
        <f aca="false">IF(P321&gt;=setExc,"Excellent",IF(P321&gt;=setGood,"Good",IF(P321&gt;=setAvg,"Average","Poor")))</f>
        <v>Good</v>
      </c>
    </row>
    <row r="322" customFormat="false" ht="15" hidden="false" customHeight="false" outlineLevel="0" collapsed="false">
      <c r="A322" s="41" t="s">
        <v>500</v>
      </c>
      <c r="B322" s="41" t="s">
        <v>180</v>
      </c>
      <c r="C322" s="41" t="s">
        <v>87</v>
      </c>
      <c r="D322" s="41" t="s">
        <v>105</v>
      </c>
      <c r="E322" s="41" t="s">
        <v>102</v>
      </c>
      <c r="F322" s="41" t="s">
        <v>76</v>
      </c>
      <c r="G322" s="42" t="n">
        <v>22.93</v>
      </c>
      <c r="H322" s="41" t="n">
        <v>9</v>
      </c>
      <c r="I322" s="42" t="n">
        <v>10.3185</v>
      </c>
      <c r="J322" s="42" t="n">
        <v>216.6885</v>
      </c>
      <c r="K322" s="43" t="n">
        <v>43522</v>
      </c>
      <c r="L322" s="44" t="n">
        <v>0.851388888888889</v>
      </c>
      <c r="M322" s="41" t="s">
        <v>97</v>
      </c>
      <c r="N322" s="42" t="n">
        <v>206.37</v>
      </c>
      <c r="O322" s="42" t="n">
        <v>10.3185</v>
      </c>
      <c r="P322" s="45" t="n">
        <v>5.5</v>
      </c>
      <c r="Q322" s="41" t="str">
        <f aca="false">CHOOSE(MONTH(K322),"Jan","Feb","Mar","Apr","May","Jun","Jul","Aug","Sep","Oct","Nov","Dec")</f>
        <v>Feb</v>
      </c>
      <c r="R322" s="41" t="n">
        <f aca="false">INT((K322-setMinDate)/7)+1</f>
        <v>9</v>
      </c>
      <c r="S322" s="41" t="n">
        <f aca="false">HOUR(L322)</f>
        <v>20</v>
      </c>
      <c r="T322" s="41" t="str">
        <f aca="false">IF(S322&lt;setMorningEnd,"Morning",IF(S322&lt;setAfternoonEnd,"Afternoon","Evening"))</f>
        <v>Evening</v>
      </c>
      <c r="U322" s="41" t="str">
        <f aca="false">IF(J322&gt;=setLarge,"Large",IF(J322&gt;=setMedium,"Medium","Small"))</f>
        <v>Small</v>
      </c>
      <c r="V322" s="41" t="str">
        <f aca="false">IF(P322&gt;=setExc,"Excellent",IF(P322&gt;=setGood,"Good",IF(P322&gt;=setAvg,"Average","Poor")))</f>
        <v>Average</v>
      </c>
    </row>
    <row r="323" customFormat="false" ht="15" hidden="false" customHeight="false" outlineLevel="0" collapsed="false">
      <c r="A323" s="41" t="s">
        <v>501</v>
      </c>
      <c r="B323" s="41" t="s">
        <v>180</v>
      </c>
      <c r="C323" s="41" t="s">
        <v>87</v>
      </c>
      <c r="D323" s="41" t="s">
        <v>105</v>
      </c>
      <c r="E323" s="41" t="s">
        <v>102</v>
      </c>
      <c r="F323" s="41" t="s">
        <v>81</v>
      </c>
      <c r="G323" s="42" t="n">
        <v>39.42</v>
      </c>
      <c r="H323" s="41" t="n">
        <v>1</v>
      </c>
      <c r="I323" s="42" t="n">
        <v>1.971</v>
      </c>
      <c r="J323" s="42" t="n">
        <v>41.391</v>
      </c>
      <c r="K323" s="43" t="n">
        <v>43483</v>
      </c>
      <c r="L323" s="44" t="n">
        <v>0.630555555555556</v>
      </c>
      <c r="M323" s="41" t="s">
        <v>97</v>
      </c>
      <c r="N323" s="42" t="n">
        <v>39.42</v>
      </c>
      <c r="O323" s="42" t="n">
        <v>1.971</v>
      </c>
      <c r="P323" s="45" t="n">
        <v>8.4</v>
      </c>
      <c r="Q323" s="41" t="str">
        <f aca="false">CHOOSE(MONTH(K323),"Jan","Feb","Mar","Apr","May","Jun","Jul","Aug","Sep","Oct","Nov","Dec")</f>
        <v>Jan</v>
      </c>
      <c r="R323" s="41" t="n">
        <f aca="false">INT((K323-setMinDate)/7)+1</f>
        <v>3</v>
      </c>
      <c r="S323" s="41" t="n">
        <f aca="false">HOUR(L323)</f>
        <v>15</v>
      </c>
      <c r="T323" s="41" t="str">
        <f aca="false">IF(S323&lt;setMorningEnd,"Morning",IF(S323&lt;setAfternoonEnd,"Afternoon","Evening"))</f>
        <v>Afternoon</v>
      </c>
      <c r="U323" s="41" t="str">
        <f aca="false">IF(J323&gt;=setLarge,"Large",IF(J323&gt;=setMedium,"Medium","Small"))</f>
        <v>Small</v>
      </c>
      <c r="V323" s="41" t="str">
        <f aca="false">IF(P323&gt;=setExc,"Excellent",IF(P323&gt;=setGood,"Good",IF(P323&gt;=setAvg,"Average","Poor")))</f>
        <v>Good</v>
      </c>
    </row>
    <row r="324" customFormat="false" ht="15" hidden="false" customHeight="false" outlineLevel="0" collapsed="false">
      <c r="A324" s="41" t="s">
        <v>502</v>
      </c>
      <c r="B324" s="41" t="s">
        <v>178</v>
      </c>
      <c r="C324" s="41" t="s">
        <v>85</v>
      </c>
      <c r="D324" s="41" t="s">
        <v>105</v>
      </c>
      <c r="E324" s="41" t="s">
        <v>103</v>
      </c>
      <c r="F324" s="41" t="s">
        <v>81</v>
      </c>
      <c r="G324" s="42" t="n">
        <v>15.26</v>
      </c>
      <c r="H324" s="41" t="n">
        <v>6</v>
      </c>
      <c r="I324" s="42" t="n">
        <v>4.578</v>
      </c>
      <c r="J324" s="42" t="n">
        <v>96.138</v>
      </c>
      <c r="K324" s="43" t="n">
        <v>43511</v>
      </c>
      <c r="L324" s="44" t="n">
        <v>0.752083333333333</v>
      </c>
      <c r="M324" s="41" t="s">
        <v>98</v>
      </c>
      <c r="N324" s="42" t="n">
        <v>91.56</v>
      </c>
      <c r="O324" s="42" t="n">
        <v>4.578</v>
      </c>
      <c r="P324" s="45" t="n">
        <v>9.8</v>
      </c>
      <c r="Q324" s="41" t="str">
        <f aca="false">CHOOSE(MONTH(K324),"Jan","Feb","Mar","Apr","May","Jun","Jul","Aug","Sep","Oct","Nov","Dec")</f>
        <v>Feb</v>
      </c>
      <c r="R324" s="41" t="n">
        <f aca="false">INT((K324-setMinDate)/7)+1</f>
        <v>7</v>
      </c>
      <c r="S324" s="41" t="n">
        <f aca="false">HOUR(L324)</f>
        <v>18</v>
      </c>
      <c r="T324" s="41" t="str">
        <f aca="false">IF(S324&lt;setMorningEnd,"Morning",IF(S324&lt;setAfternoonEnd,"Afternoon","Evening"))</f>
        <v>Evening</v>
      </c>
      <c r="U324" s="41" t="str">
        <f aca="false">IF(J324&gt;=setLarge,"Large",IF(J324&gt;=setMedium,"Medium","Small"))</f>
        <v>Small</v>
      </c>
      <c r="V324" s="41" t="str">
        <f aca="false">IF(P324&gt;=setExc,"Excellent",IF(P324&gt;=setGood,"Good",IF(P324&gt;=setAvg,"Average","Poor")))</f>
        <v>Excellent</v>
      </c>
    </row>
    <row r="325" customFormat="false" ht="15" hidden="false" customHeight="false" outlineLevel="0" collapsed="false">
      <c r="A325" s="41" t="s">
        <v>503</v>
      </c>
      <c r="B325" s="41" t="s">
        <v>178</v>
      </c>
      <c r="C325" s="41" t="s">
        <v>85</v>
      </c>
      <c r="D325" s="41" t="s">
        <v>105</v>
      </c>
      <c r="E325" s="41" t="s">
        <v>102</v>
      </c>
      <c r="F325" s="41" t="s">
        <v>79</v>
      </c>
      <c r="G325" s="42" t="n">
        <v>61.77</v>
      </c>
      <c r="H325" s="41" t="n">
        <v>5</v>
      </c>
      <c r="I325" s="42" t="n">
        <v>15.4425</v>
      </c>
      <c r="J325" s="42" t="n">
        <v>324.2925</v>
      </c>
      <c r="K325" s="43" t="n">
        <v>43532</v>
      </c>
      <c r="L325" s="44" t="n">
        <v>0.55625</v>
      </c>
      <c r="M325" s="41" t="s">
        <v>97</v>
      </c>
      <c r="N325" s="42" t="n">
        <v>308.85</v>
      </c>
      <c r="O325" s="42" t="n">
        <v>15.4425</v>
      </c>
      <c r="P325" s="45" t="n">
        <v>6.7</v>
      </c>
      <c r="Q325" s="41" t="str">
        <f aca="false">CHOOSE(MONTH(K325),"Jan","Feb","Mar","Apr","May","Jun","Jul","Aug","Sep","Oct","Nov","Dec")</f>
        <v>Mar</v>
      </c>
      <c r="R325" s="41" t="n">
        <f aca="false">INT((K325-setMinDate)/7)+1</f>
        <v>10</v>
      </c>
      <c r="S325" s="41" t="n">
        <f aca="false">HOUR(L325)</f>
        <v>13</v>
      </c>
      <c r="T325" s="41" t="str">
        <f aca="false">IF(S325&lt;setMorningEnd,"Morning",IF(S325&lt;setAfternoonEnd,"Afternoon","Evening"))</f>
        <v>Afternoon</v>
      </c>
      <c r="U325" s="41" t="str">
        <f aca="false">IF(J325&gt;=setLarge,"Large",IF(J325&gt;=setMedium,"Medium","Small"))</f>
        <v>Medium</v>
      </c>
      <c r="V325" s="41" t="str">
        <f aca="false">IF(P325&gt;=setExc,"Excellent",IF(P325&gt;=setGood,"Good",IF(P325&gt;=setAvg,"Average","Poor")))</f>
        <v>Average</v>
      </c>
    </row>
    <row r="326" customFormat="false" ht="15" hidden="false" customHeight="false" outlineLevel="0" collapsed="false">
      <c r="A326" s="41" t="s">
        <v>504</v>
      </c>
      <c r="B326" s="41" t="s">
        <v>178</v>
      </c>
      <c r="C326" s="41" t="s">
        <v>85</v>
      </c>
      <c r="D326" s="41" t="s">
        <v>105</v>
      </c>
      <c r="E326" s="41" t="s">
        <v>103</v>
      </c>
      <c r="F326" s="41" t="s">
        <v>80</v>
      </c>
      <c r="G326" s="42" t="n">
        <v>21.52</v>
      </c>
      <c r="H326" s="41" t="n">
        <v>6</v>
      </c>
      <c r="I326" s="42" t="n">
        <v>6.456</v>
      </c>
      <c r="J326" s="42" t="n">
        <v>135.576</v>
      </c>
      <c r="K326" s="43" t="n">
        <v>43482</v>
      </c>
      <c r="L326" s="44" t="n">
        <v>0.533333333333333</v>
      </c>
      <c r="M326" s="41" t="s">
        <v>99</v>
      </c>
      <c r="N326" s="42" t="n">
        <v>129.12</v>
      </c>
      <c r="O326" s="42" t="n">
        <v>6.456</v>
      </c>
      <c r="P326" s="45" t="n">
        <v>9.4</v>
      </c>
      <c r="Q326" s="41" t="str">
        <f aca="false">CHOOSE(MONTH(K326),"Jan","Feb","Mar","Apr","May","Jun","Jul","Aug","Sep","Oct","Nov","Dec")</f>
        <v>Jan</v>
      </c>
      <c r="R326" s="41" t="n">
        <f aca="false">INT((K326-setMinDate)/7)+1</f>
        <v>3</v>
      </c>
      <c r="S326" s="41" t="n">
        <f aca="false">HOUR(L326)</f>
        <v>12</v>
      </c>
      <c r="T326" s="41" t="str">
        <f aca="false">IF(S326&lt;setMorningEnd,"Morning",IF(S326&lt;setAfternoonEnd,"Afternoon","Evening"))</f>
        <v>Afternoon</v>
      </c>
      <c r="U326" s="41" t="str">
        <f aca="false">IF(J326&gt;=setLarge,"Large",IF(J326&gt;=setMedium,"Medium","Small"))</f>
        <v>Small</v>
      </c>
      <c r="V326" s="41" t="str">
        <f aca="false">IF(P326&gt;=setExc,"Excellent",IF(P326&gt;=setGood,"Good",IF(P326&gt;=setAvg,"Average","Poor")))</f>
        <v>Excellent</v>
      </c>
    </row>
    <row r="327" customFormat="false" ht="15" hidden="false" customHeight="false" outlineLevel="0" collapsed="false">
      <c r="A327" s="41" t="s">
        <v>505</v>
      </c>
      <c r="B327" s="41" t="s">
        <v>189</v>
      </c>
      <c r="C327" s="41" t="s">
        <v>86</v>
      </c>
      <c r="D327" s="41" t="s">
        <v>105</v>
      </c>
      <c r="E327" s="41" t="s">
        <v>103</v>
      </c>
      <c r="F327" s="41" t="s">
        <v>77</v>
      </c>
      <c r="G327" s="42" t="n">
        <v>97.74</v>
      </c>
      <c r="H327" s="41" t="n">
        <v>4</v>
      </c>
      <c r="I327" s="42" t="n">
        <v>19.548</v>
      </c>
      <c r="J327" s="42" t="n">
        <v>410.508</v>
      </c>
      <c r="K327" s="43" t="n">
        <v>43536</v>
      </c>
      <c r="L327" s="44" t="n">
        <v>0.828472222222222</v>
      </c>
      <c r="M327" s="41" t="s">
        <v>98</v>
      </c>
      <c r="N327" s="42" t="n">
        <v>390.96</v>
      </c>
      <c r="O327" s="42" t="n">
        <v>19.548</v>
      </c>
      <c r="P327" s="45" t="n">
        <v>6.4</v>
      </c>
      <c r="Q327" s="41" t="str">
        <f aca="false">CHOOSE(MONTH(K327),"Jan","Feb","Mar","Apr","May","Jun","Jul","Aug","Sep","Oct","Nov","Dec")</f>
        <v>Mar</v>
      </c>
      <c r="R327" s="41" t="n">
        <f aca="false">INT((K327-setMinDate)/7)+1</f>
        <v>11</v>
      </c>
      <c r="S327" s="41" t="n">
        <f aca="false">HOUR(L327)</f>
        <v>19</v>
      </c>
      <c r="T327" s="41" t="str">
        <f aca="false">IF(S327&lt;setMorningEnd,"Morning",IF(S327&lt;setAfternoonEnd,"Afternoon","Evening"))</f>
        <v>Evening</v>
      </c>
      <c r="U327" s="41" t="str">
        <f aca="false">IF(J327&gt;=setLarge,"Large",IF(J327&gt;=setMedium,"Medium","Small"))</f>
        <v>Medium</v>
      </c>
      <c r="V327" s="41" t="str">
        <f aca="false">IF(P327&gt;=setExc,"Excellent",IF(P327&gt;=setGood,"Good",IF(P327&gt;=setAvg,"Average","Poor")))</f>
        <v>Average</v>
      </c>
    </row>
    <row r="328" customFormat="false" ht="15" hidden="false" customHeight="false" outlineLevel="0" collapsed="false">
      <c r="A328" s="41" t="s">
        <v>506</v>
      </c>
      <c r="B328" s="41" t="s">
        <v>178</v>
      </c>
      <c r="C328" s="41" t="s">
        <v>85</v>
      </c>
      <c r="D328" s="41" t="s">
        <v>104</v>
      </c>
      <c r="E328" s="41" t="s">
        <v>103</v>
      </c>
      <c r="F328" s="41" t="s">
        <v>76</v>
      </c>
      <c r="G328" s="42" t="n">
        <v>99.78</v>
      </c>
      <c r="H328" s="41" t="n">
        <v>5</v>
      </c>
      <c r="I328" s="42" t="n">
        <v>24.945</v>
      </c>
      <c r="J328" s="42" t="n">
        <v>523.845</v>
      </c>
      <c r="K328" s="43" t="n">
        <v>43533</v>
      </c>
      <c r="L328" s="44" t="n">
        <v>0.797916666666667</v>
      </c>
      <c r="M328" s="41" t="s">
        <v>97</v>
      </c>
      <c r="N328" s="42" t="n">
        <v>498.9</v>
      </c>
      <c r="O328" s="42" t="n">
        <v>24.945</v>
      </c>
      <c r="P328" s="45" t="n">
        <v>5.4</v>
      </c>
      <c r="Q328" s="41" t="str">
        <f aca="false">CHOOSE(MONTH(K328),"Jan","Feb","Mar","Apr","May","Jun","Jul","Aug","Sep","Oct","Nov","Dec")</f>
        <v>Mar</v>
      </c>
      <c r="R328" s="41" t="n">
        <f aca="false">INT((K328-setMinDate)/7)+1</f>
        <v>10</v>
      </c>
      <c r="S328" s="41" t="n">
        <f aca="false">HOUR(L328)</f>
        <v>19</v>
      </c>
      <c r="T328" s="41" t="str">
        <f aca="false">IF(S328&lt;setMorningEnd,"Morning",IF(S328&lt;setAfternoonEnd,"Afternoon","Evening"))</f>
        <v>Evening</v>
      </c>
      <c r="U328" s="41" t="str">
        <f aca="false">IF(J328&gt;=setLarge,"Large",IF(J328&gt;=setMedium,"Medium","Small"))</f>
        <v>Medium</v>
      </c>
      <c r="V328" s="41" t="str">
        <f aca="false">IF(P328&gt;=setExc,"Excellent",IF(P328&gt;=setGood,"Good",IF(P328&gt;=setAvg,"Average","Poor")))</f>
        <v>Average</v>
      </c>
    </row>
    <row r="329" customFormat="false" ht="15" hidden="false" customHeight="false" outlineLevel="0" collapsed="false">
      <c r="A329" s="41" t="s">
        <v>507</v>
      </c>
      <c r="B329" s="41" t="s">
        <v>180</v>
      </c>
      <c r="C329" s="41" t="s">
        <v>87</v>
      </c>
      <c r="D329" s="41" t="s">
        <v>104</v>
      </c>
      <c r="E329" s="41" t="s">
        <v>103</v>
      </c>
      <c r="F329" s="41" t="s">
        <v>76</v>
      </c>
      <c r="G329" s="42" t="n">
        <v>94.26</v>
      </c>
      <c r="H329" s="41" t="n">
        <v>4</v>
      </c>
      <c r="I329" s="42" t="n">
        <v>18.852</v>
      </c>
      <c r="J329" s="42" t="n">
        <v>395.892</v>
      </c>
      <c r="K329" s="43" t="n">
        <v>43536</v>
      </c>
      <c r="L329" s="44" t="n">
        <v>0.6875</v>
      </c>
      <c r="M329" s="41" t="s">
        <v>97</v>
      </c>
      <c r="N329" s="42" t="n">
        <v>377.04</v>
      </c>
      <c r="O329" s="42" t="n">
        <v>18.852</v>
      </c>
      <c r="P329" s="45" t="n">
        <v>8.6</v>
      </c>
      <c r="Q329" s="41" t="str">
        <f aca="false">CHOOSE(MONTH(K329),"Jan","Feb","Mar","Apr","May","Jun","Jul","Aug","Sep","Oct","Nov","Dec")</f>
        <v>Mar</v>
      </c>
      <c r="R329" s="41" t="n">
        <f aca="false">INT((K329-setMinDate)/7)+1</f>
        <v>11</v>
      </c>
      <c r="S329" s="41" t="n">
        <f aca="false">HOUR(L329)</f>
        <v>16</v>
      </c>
      <c r="T329" s="41" t="str">
        <f aca="false">IF(S329&lt;setMorningEnd,"Morning",IF(S329&lt;setAfternoonEnd,"Afternoon","Evening"))</f>
        <v>Afternoon</v>
      </c>
      <c r="U329" s="41" t="str">
        <f aca="false">IF(J329&gt;=setLarge,"Large",IF(J329&gt;=setMedium,"Medium","Small"))</f>
        <v>Medium</v>
      </c>
      <c r="V329" s="41" t="str">
        <f aca="false">IF(P329&gt;=setExc,"Excellent",IF(P329&gt;=setGood,"Good",IF(P329&gt;=setAvg,"Average","Poor")))</f>
        <v>Good</v>
      </c>
    </row>
    <row r="330" customFormat="false" ht="15" hidden="false" customHeight="false" outlineLevel="0" collapsed="false">
      <c r="A330" s="41" t="s">
        <v>508</v>
      </c>
      <c r="B330" s="41" t="s">
        <v>189</v>
      </c>
      <c r="C330" s="41" t="s">
        <v>86</v>
      </c>
      <c r="D330" s="41" t="s">
        <v>104</v>
      </c>
      <c r="E330" s="41" t="s">
        <v>103</v>
      </c>
      <c r="F330" s="41" t="s">
        <v>81</v>
      </c>
      <c r="G330" s="42" t="n">
        <v>51.13</v>
      </c>
      <c r="H330" s="41" t="n">
        <v>4</v>
      </c>
      <c r="I330" s="42" t="n">
        <v>10.226</v>
      </c>
      <c r="J330" s="42" t="n">
        <v>214.746</v>
      </c>
      <c r="K330" s="43" t="n">
        <v>43490</v>
      </c>
      <c r="L330" s="44" t="n">
        <v>0.424305555555556</v>
      </c>
      <c r="M330" s="41" t="s">
        <v>99</v>
      </c>
      <c r="N330" s="42" t="n">
        <v>204.52</v>
      </c>
      <c r="O330" s="42" t="n">
        <v>10.226</v>
      </c>
      <c r="P330" s="45" t="n">
        <v>4</v>
      </c>
      <c r="Q330" s="41" t="str">
        <f aca="false">CHOOSE(MONTH(K330),"Jan","Feb","Mar","Apr","May","Jun","Jul","Aug","Sep","Oct","Nov","Dec")</f>
        <v>Jan</v>
      </c>
      <c r="R330" s="41" t="n">
        <f aca="false">INT((K330-setMinDate)/7)+1</f>
        <v>4</v>
      </c>
      <c r="S330" s="41" t="n">
        <f aca="false">HOUR(L330)</f>
        <v>10</v>
      </c>
      <c r="T330" s="41" t="str">
        <f aca="false">IF(S330&lt;setMorningEnd,"Morning",IF(S330&lt;setAfternoonEnd,"Afternoon","Evening"))</f>
        <v>Morning</v>
      </c>
      <c r="U330" s="41" t="str">
        <f aca="false">IF(J330&gt;=setLarge,"Large",IF(J330&gt;=setMedium,"Medium","Small"))</f>
        <v>Small</v>
      </c>
      <c r="V330" s="41" t="str">
        <f aca="false">IF(P330&gt;=setExc,"Excellent",IF(P330&gt;=setGood,"Good",IF(P330&gt;=setAvg,"Average","Poor")))</f>
        <v>Poor</v>
      </c>
    </row>
    <row r="331" customFormat="false" ht="15" hidden="false" customHeight="false" outlineLevel="0" collapsed="false">
      <c r="A331" s="41" t="s">
        <v>509</v>
      </c>
      <c r="B331" s="41" t="s">
        <v>178</v>
      </c>
      <c r="C331" s="41" t="s">
        <v>85</v>
      </c>
      <c r="D331" s="41" t="s">
        <v>104</v>
      </c>
      <c r="E331" s="41" t="s">
        <v>103</v>
      </c>
      <c r="F331" s="41" t="s">
        <v>78</v>
      </c>
      <c r="G331" s="42" t="n">
        <v>36.36</v>
      </c>
      <c r="H331" s="41" t="n">
        <v>4</v>
      </c>
      <c r="I331" s="42" t="n">
        <v>7.272</v>
      </c>
      <c r="J331" s="42" t="n">
        <v>152.712</v>
      </c>
      <c r="K331" s="43" t="n">
        <v>43549</v>
      </c>
      <c r="L331" s="44" t="n">
        <v>0.546527777777778</v>
      </c>
      <c r="M331" s="41" t="s">
        <v>97</v>
      </c>
      <c r="N331" s="42" t="n">
        <v>145.44</v>
      </c>
      <c r="O331" s="42" t="n">
        <v>7.272</v>
      </c>
      <c r="P331" s="45" t="n">
        <v>7.6</v>
      </c>
      <c r="Q331" s="41" t="str">
        <f aca="false">CHOOSE(MONTH(K331),"Jan","Feb","Mar","Apr","May","Jun","Jul","Aug","Sep","Oct","Nov","Dec")</f>
        <v>Mar</v>
      </c>
      <c r="R331" s="41" t="n">
        <f aca="false">INT((K331-setMinDate)/7)+1</f>
        <v>12</v>
      </c>
      <c r="S331" s="41" t="n">
        <f aca="false">HOUR(L331)</f>
        <v>13</v>
      </c>
      <c r="T331" s="41" t="str">
        <f aca="false">IF(S331&lt;setMorningEnd,"Morning",IF(S331&lt;setAfternoonEnd,"Afternoon","Evening"))</f>
        <v>Afternoon</v>
      </c>
      <c r="U331" s="41" t="str">
        <f aca="false">IF(J331&gt;=setLarge,"Large",IF(J331&gt;=setMedium,"Medium","Small"))</f>
        <v>Small</v>
      </c>
      <c r="V331" s="41" t="str">
        <f aca="false">IF(P331&gt;=setExc,"Excellent",IF(P331&gt;=setGood,"Good",IF(P331&gt;=setAvg,"Average","Poor")))</f>
        <v>Good</v>
      </c>
    </row>
    <row r="332" customFormat="false" ht="15" hidden="false" customHeight="false" outlineLevel="0" collapsed="false">
      <c r="A332" s="41" t="s">
        <v>510</v>
      </c>
      <c r="B332" s="41" t="s">
        <v>189</v>
      </c>
      <c r="C332" s="41" t="s">
        <v>86</v>
      </c>
      <c r="D332" s="41" t="s">
        <v>105</v>
      </c>
      <c r="E332" s="41" t="s">
        <v>103</v>
      </c>
      <c r="F332" s="41" t="s">
        <v>80</v>
      </c>
      <c r="G332" s="42" t="n">
        <v>22.02</v>
      </c>
      <c r="H332" s="41" t="n">
        <v>9</v>
      </c>
      <c r="I332" s="42" t="n">
        <v>9.909</v>
      </c>
      <c r="J332" s="42" t="n">
        <v>208.089</v>
      </c>
      <c r="K332" s="43" t="n">
        <v>43503</v>
      </c>
      <c r="L332" s="44" t="n">
        <v>0.783333333333333</v>
      </c>
      <c r="M332" s="41" t="s">
        <v>97</v>
      </c>
      <c r="N332" s="42" t="n">
        <v>198.18</v>
      </c>
      <c r="O332" s="42" t="n">
        <v>9.909</v>
      </c>
      <c r="P332" s="45" t="n">
        <v>6.8</v>
      </c>
      <c r="Q332" s="41" t="str">
        <f aca="false">CHOOSE(MONTH(K332),"Jan","Feb","Mar","Apr","May","Jun","Jul","Aug","Sep","Oct","Nov","Dec")</f>
        <v>Feb</v>
      </c>
      <c r="R332" s="41" t="n">
        <f aca="false">INT((K332-setMinDate)/7)+1</f>
        <v>6</v>
      </c>
      <c r="S332" s="41" t="n">
        <f aca="false">HOUR(L332)</f>
        <v>18</v>
      </c>
      <c r="T332" s="41" t="str">
        <f aca="false">IF(S332&lt;setMorningEnd,"Morning",IF(S332&lt;setAfternoonEnd,"Afternoon","Evening"))</f>
        <v>Evening</v>
      </c>
      <c r="U332" s="41" t="str">
        <f aca="false">IF(J332&gt;=setLarge,"Large",IF(J332&gt;=setMedium,"Medium","Small"))</f>
        <v>Small</v>
      </c>
      <c r="V332" s="41" t="str">
        <f aca="false">IF(P332&gt;=setExc,"Excellent",IF(P332&gt;=setGood,"Good",IF(P332&gt;=setAvg,"Average","Poor")))</f>
        <v>Average</v>
      </c>
    </row>
    <row r="333" customFormat="false" ht="15" hidden="false" customHeight="false" outlineLevel="0" collapsed="false">
      <c r="A333" s="41" t="s">
        <v>511</v>
      </c>
      <c r="B333" s="41" t="s">
        <v>178</v>
      </c>
      <c r="C333" s="41" t="s">
        <v>85</v>
      </c>
      <c r="D333" s="41" t="s">
        <v>105</v>
      </c>
      <c r="E333" s="41" t="s">
        <v>103</v>
      </c>
      <c r="F333" s="41" t="s">
        <v>76</v>
      </c>
      <c r="G333" s="42" t="n">
        <v>32.9</v>
      </c>
      <c r="H333" s="41" t="n">
        <v>3</v>
      </c>
      <c r="I333" s="42" t="n">
        <v>4.935</v>
      </c>
      <c r="J333" s="42" t="n">
        <v>103.635</v>
      </c>
      <c r="K333" s="43" t="n">
        <v>43513</v>
      </c>
      <c r="L333" s="44" t="n">
        <v>0.727083333333333</v>
      </c>
      <c r="M333" s="41" t="s">
        <v>99</v>
      </c>
      <c r="N333" s="42" t="n">
        <v>98.7</v>
      </c>
      <c r="O333" s="42" t="n">
        <v>4.935</v>
      </c>
      <c r="P333" s="45" t="n">
        <v>9.1</v>
      </c>
      <c r="Q333" s="41" t="str">
        <f aca="false">CHOOSE(MONTH(K333),"Jan","Feb","Mar","Apr","May","Jun","Jul","Aug","Sep","Oct","Nov","Dec")</f>
        <v>Feb</v>
      </c>
      <c r="R333" s="41" t="n">
        <f aca="false">INT((K333-setMinDate)/7)+1</f>
        <v>7</v>
      </c>
      <c r="S333" s="41" t="n">
        <f aca="false">HOUR(L333)</f>
        <v>17</v>
      </c>
      <c r="T333" s="41" t="str">
        <f aca="false">IF(S333&lt;setMorningEnd,"Morning",IF(S333&lt;setAfternoonEnd,"Afternoon","Evening"))</f>
        <v>Evening</v>
      </c>
      <c r="U333" s="41" t="str">
        <f aca="false">IF(J333&gt;=setLarge,"Large",IF(J333&gt;=setMedium,"Medium","Small"))</f>
        <v>Small</v>
      </c>
      <c r="V333" s="41" t="str">
        <f aca="false">IF(P333&gt;=setExc,"Excellent",IF(P333&gt;=setGood,"Good",IF(P333&gt;=setAvg,"Average","Poor")))</f>
        <v>Excellent</v>
      </c>
    </row>
    <row r="334" customFormat="false" ht="15" hidden="false" customHeight="false" outlineLevel="0" collapsed="false">
      <c r="A334" s="41" t="s">
        <v>512</v>
      </c>
      <c r="B334" s="41" t="s">
        <v>178</v>
      </c>
      <c r="C334" s="41" t="s">
        <v>85</v>
      </c>
      <c r="D334" s="41" t="s">
        <v>105</v>
      </c>
      <c r="E334" s="41" t="s">
        <v>103</v>
      </c>
      <c r="F334" s="41" t="s">
        <v>79</v>
      </c>
      <c r="G334" s="42" t="n">
        <v>77.02</v>
      </c>
      <c r="H334" s="41" t="n">
        <v>5</v>
      </c>
      <c r="I334" s="42" t="n">
        <v>19.255</v>
      </c>
      <c r="J334" s="42" t="n">
        <v>404.355</v>
      </c>
      <c r="K334" s="43" t="n">
        <v>43499</v>
      </c>
      <c r="L334" s="44" t="n">
        <v>0.665972222222222</v>
      </c>
      <c r="M334" s="41" t="s">
        <v>97</v>
      </c>
      <c r="N334" s="42" t="n">
        <v>385.1</v>
      </c>
      <c r="O334" s="42" t="n">
        <v>19.255</v>
      </c>
      <c r="P334" s="45" t="n">
        <v>5.5</v>
      </c>
      <c r="Q334" s="41" t="str">
        <f aca="false">CHOOSE(MONTH(K334),"Jan","Feb","Mar","Apr","May","Jun","Jul","Aug","Sep","Oct","Nov","Dec")</f>
        <v>Feb</v>
      </c>
      <c r="R334" s="41" t="n">
        <f aca="false">INT((K334-setMinDate)/7)+1</f>
        <v>5</v>
      </c>
      <c r="S334" s="41" t="n">
        <f aca="false">HOUR(L334)</f>
        <v>15</v>
      </c>
      <c r="T334" s="41" t="str">
        <f aca="false">IF(S334&lt;setMorningEnd,"Morning",IF(S334&lt;setAfternoonEnd,"Afternoon","Evening"))</f>
        <v>Afternoon</v>
      </c>
      <c r="U334" s="41" t="str">
        <f aca="false">IF(J334&gt;=setLarge,"Large",IF(J334&gt;=setMedium,"Medium","Small"))</f>
        <v>Medium</v>
      </c>
      <c r="V334" s="41" t="str">
        <f aca="false">IF(P334&gt;=setExc,"Excellent",IF(P334&gt;=setGood,"Good",IF(P334&gt;=setAvg,"Average","Poor")))</f>
        <v>Average</v>
      </c>
    </row>
    <row r="335" customFormat="false" ht="15" hidden="false" customHeight="false" outlineLevel="0" collapsed="false">
      <c r="A335" s="41" t="s">
        <v>513</v>
      </c>
      <c r="B335" s="41" t="s">
        <v>178</v>
      </c>
      <c r="C335" s="41" t="s">
        <v>85</v>
      </c>
      <c r="D335" s="41" t="s">
        <v>104</v>
      </c>
      <c r="E335" s="41" t="s">
        <v>103</v>
      </c>
      <c r="F335" s="41" t="s">
        <v>76</v>
      </c>
      <c r="G335" s="42" t="n">
        <v>23.48</v>
      </c>
      <c r="H335" s="41" t="n">
        <v>2</v>
      </c>
      <c r="I335" s="42" t="n">
        <v>2.348</v>
      </c>
      <c r="J335" s="42" t="n">
        <v>49.308</v>
      </c>
      <c r="K335" s="43" t="n">
        <v>43538</v>
      </c>
      <c r="L335" s="44" t="n">
        <v>0.472916666666667</v>
      </c>
      <c r="M335" s="41" t="s">
        <v>99</v>
      </c>
      <c r="N335" s="42" t="n">
        <v>46.96</v>
      </c>
      <c r="O335" s="42" t="n">
        <v>2.348</v>
      </c>
      <c r="P335" s="45" t="n">
        <v>7.9</v>
      </c>
      <c r="Q335" s="41" t="str">
        <f aca="false">CHOOSE(MONTH(K335),"Jan","Feb","Mar","Apr","May","Jun","Jul","Aug","Sep","Oct","Nov","Dec")</f>
        <v>Mar</v>
      </c>
      <c r="R335" s="41" t="n">
        <f aca="false">INT((K335-setMinDate)/7)+1</f>
        <v>11</v>
      </c>
      <c r="S335" s="41" t="n">
        <f aca="false">HOUR(L335)</f>
        <v>11</v>
      </c>
      <c r="T335" s="41" t="str">
        <f aca="false">IF(S335&lt;setMorningEnd,"Morning",IF(S335&lt;setAfternoonEnd,"Afternoon","Evening"))</f>
        <v>Morning</v>
      </c>
      <c r="U335" s="41" t="str">
        <f aca="false">IF(J335&gt;=setLarge,"Large",IF(J335&gt;=setMedium,"Medium","Small"))</f>
        <v>Small</v>
      </c>
      <c r="V335" s="41" t="str">
        <f aca="false">IF(P335&gt;=setExc,"Excellent",IF(P335&gt;=setGood,"Good",IF(P335&gt;=setAvg,"Average","Poor")))</f>
        <v>Good</v>
      </c>
    </row>
    <row r="336" customFormat="false" ht="15" hidden="false" customHeight="false" outlineLevel="0" collapsed="false">
      <c r="A336" s="41" t="s">
        <v>514</v>
      </c>
      <c r="B336" s="41" t="s">
        <v>180</v>
      </c>
      <c r="C336" s="41" t="s">
        <v>87</v>
      </c>
      <c r="D336" s="41" t="s">
        <v>104</v>
      </c>
      <c r="E336" s="41" t="s">
        <v>103</v>
      </c>
      <c r="F336" s="41" t="s">
        <v>77</v>
      </c>
      <c r="G336" s="42" t="n">
        <v>14.7</v>
      </c>
      <c r="H336" s="41" t="n">
        <v>5</v>
      </c>
      <c r="I336" s="42" t="n">
        <v>3.675</v>
      </c>
      <c r="J336" s="42" t="n">
        <v>77.175</v>
      </c>
      <c r="K336" s="43" t="n">
        <v>43548</v>
      </c>
      <c r="L336" s="44" t="n">
        <v>0.575</v>
      </c>
      <c r="M336" s="41" t="s">
        <v>98</v>
      </c>
      <c r="N336" s="42" t="n">
        <v>73.5</v>
      </c>
      <c r="O336" s="42" t="n">
        <v>3.675</v>
      </c>
      <c r="P336" s="45" t="n">
        <v>8.5</v>
      </c>
      <c r="Q336" s="41" t="str">
        <f aca="false">CHOOSE(MONTH(K336),"Jan","Feb","Mar","Apr","May","Jun","Jul","Aug","Sep","Oct","Nov","Dec")</f>
        <v>Mar</v>
      </c>
      <c r="R336" s="41" t="n">
        <f aca="false">INT((K336-setMinDate)/7)+1</f>
        <v>12</v>
      </c>
      <c r="S336" s="41" t="n">
        <f aca="false">HOUR(L336)</f>
        <v>13</v>
      </c>
      <c r="T336" s="41" t="str">
        <f aca="false">IF(S336&lt;setMorningEnd,"Morning",IF(S336&lt;setAfternoonEnd,"Afternoon","Evening"))</f>
        <v>Afternoon</v>
      </c>
      <c r="U336" s="41" t="str">
        <f aca="false">IF(J336&gt;=setLarge,"Large",IF(J336&gt;=setMedium,"Medium","Small"))</f>
        <v>Small</v>
      </c>
      <c r="V336" s="41" t="str">
        <f aca="false">IF(P336&gt;=setExc,"Excellent",IF(P336&gt;=setGood,"Good",IF(P336&gt;=setAvg,"Average","Poor")))</f>
        <v>Good</v>
      </c>
    </row>
    <row r="337" customFormat="false" ht="15" hidden="false" customHeight="false" outlineLevel="0" collapsed="false">
      <c r="A337" s="41" t="s">
        <v>515</v>
      </c>
      <c r="B337" s="41" t="s">
        <v>178</v>
      </c>
      <c r="C337" s="41" t="s">
        <v>85</v>
      </c>
      <c r="D337" s="41" t="s">
        <v>104</v>
      </c>
      <c r="E337" s="41" t="s">
        <v>102</v>
      </c>
      <c r="F337" s="41" t="s">
        <v>78</v>
      </c>
      <c r="G337" s="42" t="n">
        <v>28.45</v>
      </c>
      <c r="H337" s="41" t="n">
        <v>5</v>
      </c>
      <c r="I337" s="42" t="n">
        <v>7.1125</v>
      </c>
      <c r="J337" s="42" t="n">
        <v>149.3625</v>
      </c>
      <c r="K337" s="43" t="n">
        <v>43545</v>
      </c>
      <c r="L337" s="44" t="n">
        <v>0.428472222222222</v>
      </c>
      <c r="M337" s="41" t="s">
        <v>99</v>
      </c>
      <c r="N337" s="42" t="n">
        <v>142.25</v>
      </c>
      <c r="O337" s="42" t="n">
        <v>7.1125</v>
      </c>
      <c r="P337" s="45" t="n">
        <v>9.1</v>
      </c>
      <c r="Q337" s="41" t="str">
        <f aca="false">CHOOSE(MONTH(K337),"Jan","Feb","Mar","Apr","May","Jun","Jul","Aug","Sep","Oct","Nov","Dec")</f>
        <v>Mar</v>
      </c>
      <c r="R337" s="41" t="n">
        <f aca="false">INT((K337-setMinDate)/7)+1</f>
        <v>12</v>
      </c>
      <c r="S337" s="41" t="n">
        <f aca="false">HOUR(L337)</f>
        <v>10</v>
      </c>
      <c r="T337" s="41" t="str">
        <f aca="false">IF(S337&lt;setMorningEnd,"Morning",IF(S337&lt;setAfternoonEnd,"Afternoon","Evening"))</f>
        <v>Morning</v>
      </c>
      <c r="U337" s="41" t="str">
        <f aca="false">IF(J337&gt;=setLarge,"Large",IF(J337&gt;=setMedium,"Medium","Small"))</f>
        <v>Small</v>
      </c>
      <c r="V337" s="41" t="str">
        <f aca="false">IF(P337&gt;=setExc,"Excellent",IF(P337&gt;=setGood,"Good",IF(P337&gt;=setAvg,"Average","Poor")))</f>
        <v>Excellent</v>
      </c>
    </row>
    <row r="338" customFormat="false" ht="15" hidden="false" customHeight="false" outlineLevel="0" collapsed="false">
      <c r="A338" s="41" t="s">
        <v>516</v>
      </c>
      <c r="B338" s="41" t="s">
        <v>178</v>
      </c>
      <c r="C338" s="41" t="s">
        <v>85</v>
      </c>
      <c r="D338" s="41" t="s">
        <v>105</v>
      </c>
      <c r="E338" s="41" t="s">
        <v>103</v>
      </c>
      <c r="F338" s="41" t="s">
        <v>79</v>
      </c>
      <c r="G338" s="42" t="n">
        <v>76.4</v>
      </c>
      <c r="H338" s="41" t="n">
        <v>9</v>
      </c>
      <c r="I338" s="42" t="n">
        <v>34.38</v>
      </c>
      <c r="J338" s="42" t="n">
        <v>721.98</v>
      </c>
      <c r="K338" s="43" t="n">
        <v>43543</v>
      </c>
      <c r="L338" s="44" t="n">
        <v>0.659027777777778</v>
      </c>
      <c r="M338" s="41" t="s">
        <v>98</v>
      </c>
      <c r="N338" s="42" t="n">
        <v>687.6</v>
      </c>
      <c r="O338" s="42" t="n">
        <v>34.38</v>
      </c>
      <c r="P338" s="45" t="n">
        <v>7.5</v>
      </c>
      <c r="Q338" s="41" t="str">
        <f aca="false">CHOOSE(MONTH(K338),"Jan","Feb","Mar","Apr","May","Jun","Jul","Aug","Sep","Oct","Nov","Dec")</f>
        <v>Mar</v>
      </c>
      <c r="R338" s="41" t="n">
        <f aca="false">INT((K338-setMinDate)/7)+1</f>
        <v>12</v>
      </c>
      <c r="S338" s="41" t="n">
        <f aca="false">HOUR(L338)</f>
        <v>15</v>
      </c>
      <c r="T338" s="41" t="str">
        <f aca="false">IF(S338&lt;setMorningEnd,"Morning",IF(S338&lt;setAfternoonEnd,"Afternoon","Evening"))</f>
        <v>Afternoon</v>
      </c>
      <c r="U338" s="41" t="str">
        <f aca="false">IF(J338&gt;=setLarge,"Large",IF(J338&gt;=setMedium,"Medium","Small"))</f>
        <v>Large</v>
      </c>
      <c r="V338" s="41" t="str">
        <f aca="false">IF(P338&gt;=setExc,"Excellent",IF(P338&gt;=setGood,"Good",IF(P338&gt;=setAvg,"Average","Poor")))</f>
        <v>Good</v>
      </c>
    </row>
    <row r="339" customFormat="false" ht="15" hidden="false" customHeight="false" outlineLevel="0" collapsed="false">
      <c r="A339" s="41" t="s">
        <v>517</v>
      </c>
      <c r="B339" s="41" t="s">
        <v>189</v>
      </c>
      <c r="C339" s="41" t="s">
        <v>86</v>
      </c>
      <c r="D339" s="41" t="s">
        <v>105</v>
      </c>
      <c r="E339" s="41" t="s">
        <v>102</v>
      </c>
      <c r="F339" s="41" t="s">
        <v>77</v>
      </c>
      <c r="G339" s="42" t="n">
        <v>57.95</v>
      </c>
      <c r="H339" s="41" t="n">
        <v>6</v>
      </c>
      <c r="I339" s="42" t="n">
        <v>17.385</v>
      </c>
      <c r="J339" s="42" t="n">
        <v>365.085</v>
      </c>
      <c r="K339" s="43" t="n">
        <v>43520</v>
      </c>
      <c r="L339" s="44" t="n">
        <v>0.543055555555556</v>
      </c>
      <c r="M339" s="41" t="s">
        <v>97</v>
      </c>
      <c r="N339" s="42" t="n">
        <v>347.7</v>
      </c>
      <c r="O339" s="42" t="n">
        <v>17.385</v>
      </c>
      <c r="P339" s="45" t="n">
        <v>5.2</v>
      </c>
      <c r="Q339" s="41" t="str">
        <f aca="false">CHOOSE(MONTH(K339),"Jan","Feb","Mar","Apr","May","Jun","Jul","Aug","Sep","Oct","Nov","Dec")</f>
        <v>Feb</v>
      </c>
      <c r="R339" s="41" t="n">
        <f aca="false">INT((K339-setMinDate)/7)+1</f>
        <v>8</v>
      </c>
      <c r="S339" s="41" t="n">
        <f aca="false">HOUR(L339)</f>
        <v>13</v>
      </c>
      <c r="T339" s="41" t="str">
        <f aca="false">IF(S339&lt;setMorningEnd,"Morning",IF(S339&lt;setAfternoonEnd,"Afternoon","Evening"))</f>
        <v>Afternoon</v>
      </c>
      <c r="U339" s="41" t="str">
        <f aca="false">IF(J339&gt;=setLarge,"Large",IF(J339&gt;=setMedium,"Medium","Small"))</f>
        <v>Medium</v>
      </c>
      <c r="V339" s="41" t="str">
        <f aca="false">IF(P339&gt;=setExc,"Excellent",IF(P339&gt;=setGood,"Good",IF(P339&gt;=setAvg,"Average","Poor")))</f>
        <v>Average</v>
      </c>
    </row>
    <row r="340" customFormat="false" ht="15" hidden="false" customHeight="false" outlineLevel="0" collapsed="false">
      <c r="A340" s="41" t="s">
        <v>518</v>
      </c>
      <c r="B340" s="41" t="s">
        <v>180</v>
      </c>
      <c r="C340" s="41" t="s">
        <v>87</v>
      </c>
      <c r="D340" s="41" t="s">
        <v>105</v>
      </c>
      <c r="E340" s="41" t="s">
        <v>102</v>
      </c>
      <c r="F340" s="41" t="s">
        <v>78</v>
      </c>
      <c r="G340" s="42" t="n">
        <v>47.65</v>
      </c>
      <c r="H340" s="41" t="n">
        <v>3</v>
      </c>
      <c r="I340" s="42" t="n">
        <v>7.1475</v>
      </c>
      <c r="J340" s="42" t="n">
        <v>150.0975</v>
      </c>
      <c r="K340" s="43" t="n">
        <v>43552</v>
      </c>
      <c r="L340" s="44" t="n">
        <v>0.540277777777778</v>
      </c>
      <c r="M340" s="41" t="s">
        <v>99</v>
      </c>
      <c r="N340" s="42" t="n">
        <v>142.95</v>
      </c>
      <c r="O340" s="42" t="n">
        <v>7.1475</v>
      </c>
      <c r="P340" s="45" t="n">
        <v>9.5</v>
      </c>
      <c r="Q340" s="41" t="str">
        <f aca="false">CHOOSE(MONTH(K340),"Jan","Feb","Mar","Apr","May","Jun","Jul","Aug","Sep","Oct","Nov","Dec")</f>
        <v>Mar</v>
      </c>
      <c r="R340" s="41" t="n">
        <f aca="false">INT((K340-setMinDate)/7)+1</f>
        <v>13</v>
      </c>
      <c r="S340" s="41" t="n">
        <f aca="false">HOUR(L340)</f>
        <v>12</v>
      </c>
      <c r="T340" s="41" t="str">
        <f aca="false">IF(S340&lt;setMorningEnd,"Morning",IF(S340&lt;setAfternoonEnd,"Afternoon","Evening"))</f>
        <v>Afternoon</v>
      </c>
      <c r="U340" s="41" t="str">
        <f aca="false">IF(J340&gt;=setLarge,"Large",IF(J340&gt;=setMedium,"Medium","Small"))</f>
        <v>Small</v>
      </c>
      <c r="V340" s="41" t="str">
        <f aca="false">IF(P340&gt;=setExc,"Excellent",IF(P340&gt;=setGood,"Good",IF(P340&gt;=setAvg,"Average","Poor")))</f>
        <v>Excellent</v>
      </c>
    </row>
    <row r="341" customFormat="false" ht="15" hidden="false" customHeight="false" outlineLevel="0" collapsed="false">
      <c r="A341" s="41" t="s">
        <v>519</v>
      </c>
      <c r="B341" s="41" t="s">
        <v>189</v>
      </c>
      <c r="C341" s="41" t="s">
        <v>86</v>
      </c>
      <c r="D341" s="41" t="s">
        <v>104</v>
      </c>
      <c r="E341" s="41" t="s">
        <v>102</v>
      </c>
      <c r="F341" s="41" t="s">
        <v>76</v>
      </c>
      <c r="G341" s="42" t="n">
        <v>42.82</v>
      </c>
      <c r="H341" s="41" t="n">
        <v>9</v>
      </c>
      <c r="I341" s="42" t="n">
        <v>19.269</v>
      </c>
      <c r="J341" s="42" t="n">
        <v>404.649</v>
      </c>
      <c r="K341" s="43" t="n">
        <v>43501</v>
      </c>
      <c r="L341" s="44" t="n">
        <v>0.643055555555556</v>
      </c>
      <c r="M341" s="41" t="s">
        <v>99</v>
      </c>
      <c r="N341" s="42" t="n">
        <v>385.38</v>
      </c>
      <c r="O341" s="42" t="n">
        <v>19.269</v>
      </c>
      <c r="P341" s="45" t="n">
        <v>8.9</v>
      </c>
      <c r="Q341" s="41" t="str">
        <f aca="false">CHOOSE(MONTH(K341),"Jan","Feb","Mar","Apr","May","Jun","Jul","Aug","Sep","Oct","Nov","Dec")</f>
        <v>Feb</v>
      </c>
      <c r="R341" s="41" t="n">
        <f aca="false">INT((K341-setMinDate)/7)+1</f>
        <v>6</v>
      </c>
      <c r="S341" s="41" t="n">
        <f aca="false">HOUR(L341)</f>
        <v>15</v>
      </c>
      <c r="T341" s="41" t="str">
        <f aca="false">IF(S341&lt;setMorningEnd,"Morning",IF(S341&lt;setAfternoonEnd,"Afternoon","Evening"))</f>
        <v>Afternoon</v>
      </c>
      <c r="U341" s="41" t="str">
        <f aca="false">IF(J341&gt;=setLarge,"Large",IF(J341&gt;=setMedium,"Medium","Small"))</f>
        <v>Medium</v>
      </c>
      <c r="V341" s="41" t="str">
        <f aca="false">IF(P341&gt;=setExc,"Excellent",IF(P341&gt;=setGood,"Good",IF(P341&gt;=setAvg,"Average","Poor")))</f>
        <v>Good</v>
      </c>
    </row>
    <row r="342" customFormat="false" ht="15" hidden="false" customHeight="false" outlineLevel="0" collapsed="false">
      <c r="A342" s="41" t="s">
        <v>520</v>
      </c>
      <c r="B342" s="41" t="s">
        <v>189</v>
      </c>
      <c r="C342" s="41" t="s">
        <v>86</v>
      </c>
      <c r="D342" s="41" t="s">
        <v>104</v>
      </c>
      <c r="E342" s="41" t="s">
        <v>103</v>
      </c>
      <c r="F342" s="41" t="s">
        <v>78</v>
      </c>
      <c r="G342" s="42" t="n">
        <v>48.09</v>
      </c>
      <c r="H342" s="41" t="n">
        <v>3</v>
      </c>
      <c r="I342" s="42" t="n">
        <v>7.2135</v>
      </c>
      <c r="J342" s="42" t="n">
        <v>151.4835</v>
      </c>
      <c r="K342" s="43" t="n">
        <v>43506</v>
      </c>
      <c r="L342" s="44" t="n">
        <v>0.765972222222222</v>
      </c>
      <c r="M342" s="41" t="s">
        <v>99</v>
      </c>
      <c r="N342" s="42" t="n">
        <v>144.27</v>
      </c>
      <c r="O342" s="42" t="n">
        <v>7.2135</v>
      </c>
      <c r="P342" s="45" t="n">
        <v>7.8</v>
      </c>
      <c r="Q342" s="41" t="str">
        <f aca="false">CHOOSE(MONTH(K342),"Jan","Feb","Mar","Apr","May","Jun","Jul","Aug","Sep","Oct","Nov","Dec")</f>
        <v>Feb</v>
      </c>
      <c r="R342" s="41" t="n">
        <f aca="false">INT((K342-setMinDate)/7)+1</f>
        <v>6</v>
      </c>
      <c r="S342" s="41" t="n">
        <f aca="false">HOUR(L342)</f>
        <v>18</v>
      </c>
      <c r="T342" s="41" t="str">
        <f aca="false">IF(S342&lt;setMorningEnd,"Morning",IF(S342&lt;setAfternoonEnd,"Afternoon","Evening"))</f>
        <v>Evening</v>
      </c>
      <c r="U342" s="41" t="str">
        <f aca="false">IF(J342&gt;=setLarge,"Large",IF(J342&gt;=setMedium,"Medium","Small"))</f>
        <v>Small</v>
      </c>
      <c r="V342" s="41" t="str">
        <f aca="false">IF(P342&gt;=setExc,"Excellent",IF(P342&gt;=setGood,"Good",IF(P342&gt;=setAvg,"Average","Poor")))</f>
        <v>Good</v>
      </c>
    </row>
    <row r="343" customFormat="false" ht="15" hidden="false" customHeight="false" outlineLevel="0" collapsed="false">
      <c r="A343" s="41" t="s">
        <v>521</v>
      </c>
      <c r="B343" s="41" t="s">
        <v>189</v>
      </c>
      <c r="C343" s="41" t="s">
        <v>86</v>
      </c>
      <c r="D343" s="41" t="s">
        <v>104</v>
      </c>
      <c r="E343" s="41" t="s">
        <v>102</v>
      </c>
      <c r="F343" s="41" t="s">
        <v>81</v>
      </c>
      <c r="G343" s="42" t="n">
        <v>55.97</v>
      </c>
      <c r="H343" s="41" t="n">
        <v>7</v>
      </c>
      <c r="I343" s="42" t="n">
        <v>19.5895</v>
      </c>
      <c r="J343" s="42" t="n">
        <v>411.3795</v>
      </c>
      <c r="K343" s="43" t="n">
        <v>43529</v>
      </c>
      <c r="L343" s="44" t="n">
        <v>0.795833333333333</v>
      </c>
      <c r="M343" s="41" t="s">
        <v>98</v>
      </c>
      <c r="N343" s="42" t="n">
        <v>391.79</v>
      </c>
      <c r="O343" s="42" t="n">
        <v>19.5895</v>
      </c>
      <c r="P343" s="45" t="n">
        <v>8.9</v>
      </c>
      <c r="Q343" s="41" t="str">
        <f aca="false">CHOOSE(MONTH(K343),"Jan","Feb","Mar","Apr","May","Jun","Jul","Aug","Sep","Oct","Nov","Dec")</f>
        <v>Mar</v>
      </c>
      <c r="R343" s="41" t="n">
        <f aca="false">INT((K343-setMinDate)/7)+1</f>
        <v>10</v>
      </c>
      <c r="S343" s="41" t="n">
        <f aca="false">HOUR(L343)</f>
        <v>19</v>
      </c>
      <c r="T343" s="41" t="str">
        <f aca="false">IF(S343&lt;setMorningEnd,"Morning",IF(S343&lt;setAfternoonEnd,"Afternoon","Evening"))</f>
        <v>Evening</v>
      </c>
      <c r="U343" s="41" t="str">
        <f aca="false">IF(J343&gt;=setLarge,"Large",IF(J343&gt;=setMedium,"Medium","Small"))</f>
        <v>Medium</v>
      </c>
      <c r="V343" s="41" t="str">
        <f aca="false">IF(P343&gt;=setExc,"Excellent",IF(P343&gt;=setGood,"Good",IF(P343&gt;=setAvg,"Average","Poor")))</f>
        <v>Good</v>
      </c>
    </row>
    <row r="344" customFormat="false" ht="15" hidden="false" customHeight="false" outlineLevel="0" collapsed="false">
      <c r="A344" s="41" t="s">
        <v>522</v>
      </c>
      <c r="B344" s="41" t="s">
        <v>189</v>
      </c>
      <c r="C344" s="41" t="s">
        <v>86</v>
      </c>
      <c r="D344" s="41" t="s">
        <v>104</v>
      </c>
      <c r="E344" s="41" t="s">
        <v>102</v>
      </c>
      <c r="F344" s="41" t="s">
        <v>81</v>
      </c>
      <c r="G344" s="42" t="n">
        <v>76.9</v>
      </c>
      <c r="H344" s="41" t="n">
        <v>7</v>
      </c>
      <c r="I344" s="42" t="n">
        <v>26.915</v>
      </c>
      <c r="J344" s="42" t="n">
        <v>565.215</v>
      </c>
      <c r="K344" s="43" t="n">
        <v>43511</v>
      </c>
      <c r="L344" s="44" t="n">
        <v>0.847916666666667</v>
      </c>
      <c r="M344" s="41" t="s">
        <v>97</v>
      </c>
      <c r="N344" s="42" t="n">
        <v>538.3</v>
      </c>
      <c r="O344" s="42" t="n">
        <v>26.915</v>
      </c>
      <c r="P344" s="45" t="n">
        <v>7.7</v>
      </c>
      <c r="Q344" s="41" t="str">
        <f aca="false">CHOOSE(MONTH(K344),"Jan","Feb","Mar","Apr","May","Jun","Jul","Aug","Sep","Oct","Nov","Dec")</f>
        <v>Feb</v>
      </c>
      <c r="R344" s="41" t="n">
        <f aca="false">INT((K344-setMinDate)/7)+1</f>
        <v>7</v>
      </c>
      <c r="S344" s="41" t="n">
        <f aca="false">HOUR(L344)</f>
        <v>20</v>
      </c>
      <c r="T344" s="41" t="str">
        <f aca="false">IF(S344&lt;setMorningEnd,"Morning",IF(S344&lt;setAfternoonEnd,"Afternoon","Evening"))</f>
        <v>Evening</v>
      </c>
      <c r="U344" s="41" t="str">
        <f aca="false">IF(J344&gt;=setLarge,"Large",IF(J344&gt;=setMedium,"Medium","Small"))</f>
        <v>Medium</v>
      </c>
      <c r="V344" s="41" t="str">
        <f aca="false">IF(P344&gt;=setExc,"Excellent",IF(P344&gt;=setGood,"Good",IF(P344&gt;=setAvg,"Average","Poor")))</f>
        <v>Good</v>
      </c>
    </row>
    <row r="345" customFormat="false" ht="15" hidden="false" customHeight="false" outlineLevel="0" collapsed="false">
      <c r="A345" s="41" t="s">
        <v>523</v>
      </c>
      <c r="B345" s="41" t="s">
        <v>180</v>
      </c>
      <c r="C345" s="41" t="s">
        <v>87</v>
      </c>
      <c r="D345" s="41" t="s">
        <v>105</v>
      </c>
      <c r="E345" s="41" t="s">
        <v>102</v>
      </c>
      <c r="F345" s="41" t="s">
        <v>76</v>
      </c>
      <c r="G345" s="42" t="n">
        <v>97.03</v>
      </c>
      <c r="H345" s="41" t="n">
        <v>5</v>
      </c>
      <c r="I345" s="42" t="n">
        <v>24.2575</v>
      </c>
      <c r="J345" s="42" t="n">
        <v>509.4075</v>
      </c>
      <c r="K345" s="43" t="n">
        <v>43495</v>
      </c>
      <c r="L345" s="44" t="n">
        <v>0.683333333333333</v>
      </c>
      <c r="M345" s="41" t="s">
        <v>98</v>
      </c>
      <c r="N345" s="42" t="n">
        <v>485.15</v>
      </c>
      <c r="O345" s="42" t="n">
        <v>24.2575</v>
      </c>
      <c r="P345" s="45" t="n">
        <v>9.3</v>
      </c>
      <c r="Q345" s="41" t="str">
        <f aca="false">CHOOSE(MONTH(K345),"Jan","Feb","Mar","Apr","May","Jun","Jul","Aug","Sep","Oct","Nov","Dec")</f>
        <v>Jan</v>
      </c>
      <c r="R345" s="41" t="n">
        <f aca="false">INT((K345-setMinDate)/7)+1</f>
        <v>5</v>
      </c>
      <c r="S345" s="41" t="n">
        <f aca="false">HOUR(L345)</f>
        <v>16</v>
      </c>
      <c r="T345" s="41" t="str">
        <f aca="false">IF(S345&lt;setMorningEnd,"Morning",IF(S345&lt;setAfternoonEnd,"Afternoon","Evening"))</f>
        <v>Afternoon</v>
      </c>
      <c r="U345" s="41" t="str">
        <f aca="false">IF(J345&gt;=setLarge,"Large",IF(J345&gt;=setMedium,"Medium","Small"))</f>
        <v>Medium</v>
      </c>
      <c r="V345" s="41" t="str">
        <f aca="false">IF(P345&gt;=setExc,"Excellent",IF(P345&gt;=setGood,"Good",IF(P345&gt;=setAvg,"Average","Poor")))</f>
        <v>Excellent</v>
      </c>
    </row>
    <row r="346" customFormat="false" ht="15" hidden="false" customHeight="false" outlineLevel="0" collapsed="false">
      <c r="A346" s="41" t="s">
        <v>524</v>
      </c>
      <c r="B346" s="41" t="s">
        <v>178</v>
      </c>
      <c r="C346" s="41" t="s">
        <v>85</v>
      </c>
      <c r="D346" s="41" t="s">
        <v>105</v>
      </c>
      <c r="E346" s="41" t="s">
        <v>103</v>
      </c>
      <c r="F346" s="41" t="s">
        <v>77</v>
      </c>
      <c r="G346" s="42" t="n">
        <v>44.65</v>
      </c>
      <c r="H346" s="41" t="n">
        <v>3</v>
      </c>
      <c r="I346" s="42" t="n">
        <v>6.6975</v>
      </c>
      <c r="J346" s="42" t="n">
        <v>140.6475</v>
      </c>
      <c r="K346" s="43" t="n">
        <v>43510</v>
      </c>
      <c r="L346" s="44" t="n">
        <v>0.627777777777778</v>
      </c>
      <c r="M346" s="41" t="s">
        <v>97</v>
      </c>
      <c r="N346" s="42" t="n">
        <v>133.95</v>
      </c>
      <c r="O346" s="42" t="n">
        <v>6.6975</v>
      </c>
      <c r="P346" s="45" t="n">
        <v>6.2</v>
      </c>
      <c r="Q346" s="41" t="str">
        <f aca="false">CHOOSE(MONTH(K346),"Jan","Feb","Mar","Apr","May","Jun","Jul","Aug","Sep","Oct","Nov","Dec")</f>
        <v>Feb</v>
      </c>
      <c r="R346" s="41" t="n">
        <f aca="false">INT((K346-setMinDate)/7)+1</f>
        <v>7</v>
      </c>
      <c r="S346" s="41" t="n">
        <f aca="false">HOUR(L346)</f>
        <v>15</v>
      </c>
      <c r="T346" s="41" t="str">
        <f aca="false">IF(S346&lt;setMorningEnd,"Morning",IF(S346&lt;setAfternoonEnd,"Afternoon","Evening"))</f>
        <v>Afternoon</v>
      </c>
      <c r="U346" s="41" t="str">
        <f aca="false">IF(J346&gt;=setLarge,"Large",IF(J346&gt;=setMedium,"Medium","Small"))</f>
        <v>Small</v>
      </c>
      <c r="V346" s="41" t="str">
        <f aca="false">IF(P346&gt;=setExc,"Excellent",IF(P346&gt;=setGood,"Good",IF(P346&gt;=setAvg,"Average","Poor")))</f>
        <v>Average</v>
      </c>
    </row>
    <row r="347" customFormat="false" ht="15" hidden="false" customHeight="false" outlineLevel="0" collapsed="false">
      <c r="A347" s="41" t="s">
        <v>525</v>
      </c>
      <c r="B347" s="41" t="s">
        <v>178</v>
      </c>
      <c r="C347" s="41" t="s">
        <v>85</v>
      </c>
      <c r="D347" s="41" t="s">
        <v>105</v>
      </c>
      <c r="E347" s="41" t="s">
        <v>102</v>
      </c>
      <c r="F347" s="41" t="s">
        <v>79</v>
      </c>
      <c r="G347" s="42" t="n">
        <v>77.93</v>
      </c>
      <c r="H347" s="41" t="n">
        <v>9</v>
      </c>
      <c r="I347" s="42" t="n">
        <v>35.0685</v>
      </c>
      <c r="J347" s="42" t="n">
        <v>736.4385</v>
      </c>
      <c r="K347" s="43" t="n">
        <v>43523</v>
      </c>
      <c r="L347" s="44" t="n">
        <v>0.673611111111111</v>
      </c>
      <c r="M347" s="41" t="s">
        <v>98</v>
      </c>
      <c r="N347" s="42" t="n">
        <v>701.37</v>
      </c>
      <c r="O347" s="42" t="n">
        <v>35.0685</v>
      </c>
      <c r="P347" s="45" t="n">
        <v>7.6</v>
      </c>
      <c r="Q347" s="41" t="str">
        <f aca="false">CHOOSE(MONTH(K347),"Jan","Feb","Mar","Apr","May","Jun","Jul","Aug","Sep","Oct","Nov","Dec")</f>
        <v>Feb</v>
      </c>
      <c r="R347" s="41" t="n">
        <f aca="false">INT((K347-setMinDate)/7)+1</f>
        <v>9</v>
      </c>
      <c r="S347" s="41" t="n">
        <f aca="false">HOUR(L347)</f>
        <v>16</v>
      </c>
      <c r="T347" s="41" t="str">
        <f aca="false">IF(S347&lt;setMorningEnd,"Morning",IF(S347&lt;setAfternoonEnd,"Afternoon","Evening"))</f>
        <v>Afternoon</v>
      </c>
      <c r="U347" s="41" t="str">
        <f aca="false">IF(J347&gt;=setLarge,"Large",IF(J347&gt;=setMedium,"Medium","Small"))</f>
        <v>Large</v>
      </c>
      <c r="V347" s="41" t="str">
        <f aca="false">IF(P347&gt;=setExc,"Excellent",IF(P347&gt;=setGood,"Good",IF(P347&gt;=setAvg,"Average","Poor")))</f>
        <v>Good</v>
      </c>
    </row>
    <row r="348" customFormat="false" ht="15" hidden="false" customHeight="false" outlineLevel="0" collapsed="false">
      <c r="A348" s="41" t="s">
        <v>526</v>
      </c>
      <c r="B348" s="41" t="s">
        <v>178</v>
      </c>
      <c r="C348" s="41" t="s">
        <v>85</v>
      </c>
      <c r="D348" s="41" t="s">
        <v>104</v>
      </c>
      <c r="E348" s="41" t="s">
        <v>103</v>
      </c>
      <c r="F348" s="41" t="s">
        <v>78</v>
      </c>
      <c r="G348" s="42" t="n">
        <v>71.95</v>
      </c>
      <c r="H348" s="41" t="n">
        <v>1</v>
      </c>
      <c r="I348" s="42" t="n">
        <v>3.5975</v>
      </c>
      <c r="J348" s="42" t="n">
        <v>75.5475</v>
      </c>
      <c r="K348" s="43" t="n">
        <v>43500</v>
      </c>
      <c r="L348" s="44" t="n">
        <v>0.509722222222222</v>
      </c>
      <c r="M348" s="41" t="s">
        <v>97</v>
      </c>
      <c r="N348" s="42" t="n">
        <v>71.95</v>
      </c>
      <c r="O348" s="42" t="n">
        <v>3.5975</v>
      </c>
      <c r="P348" s="45" t="n">
        <v>7.3</v>
      </c>
      <c r="Q348" s="41" t="str">
        <f aca="false">CHOOSE(MONTH(K348),"Jan","Feb","Mar","Apr","May","Jun","Jul","Aug","Sep","Oct","Nov","Dec")</f>
        <v>Feb</v>
      </c>
      <c r="R348" s="41" t="n">
        <f aca="false">INT((K348-setMinDate)/7)+1</f>
        <v>5</v>
      </c>
      <c r="S348" s="41" t="n">
        <f aca="false">HOUR(L348)</f>
        <v>12</v>
      </c>
      <c r="T348" s="41" t="str">
        <f aca="false">IF(S348&lt;setMorningEnd,"Morning",IF(S348&lt;setAfternoonEnd,"Afternoon","Evening"))</f>
        <v>Afternoon</v>
      </c>
      <c r="U348" s="41" t="str">
        <f aca="false">IF(J348&gt;=setLarge,"Large",IF(J348&gt;=setMedium,"Medium","Small"))</f>
        <v>Small</v>
      </c>
      <c r="V348" s="41" t="str">
        <f aca="false">IF(P348&gt;=setExc,"Excellent",IF(P348&gt;=setGood,"Good",IF(P348&gt;=setAvg,"Average","Poor")))</f>
        <v>Good</v>
      </c>
    </row>
    <row r="349" customFormat="false" ht="15" hidden="false" customHeight="false" outlineLevel="0" collapsed="false">
      <c r="A349" s="41" t="s">
        <v>527</v>
      </c>
      <c r="B349" s="41" t="s">
        <v>180</v>
      </c>
      <c r="C349" s="41" t="s">
        <v>87</v>
      </c>
      <c r="D349" s="41" t="s">
        <v>104</v>
      </c>
      <c r="E349" s="41" t="s">
        <v>102</v>
      </c>
      <c r="F349" s="41" t="s">
        <v>80</v>
      </c>
      <c r="G349" s="42" t="n">
        <v>89.25</v>
      </c>
      <c r="H349" s="41" t="n">
        <v>8</v>
      </c>
      <c r="I349" s="42" t="n">
        <v>35.7</v>
      </c>
      <c r="J349" s="42" t="n">
        <v>749.7</v>
      </c>
      <c r="K349" s="43" t="n">
        <v>43485</v>
      </c>
      <c r="L349" s="44" t="n">
        <v>0.425694444444444</v>
      </c>
      <c r="M349" s="41" t="s">
        <v>97</v>
      </c>
      <c r="N349" s="42" t="n">
        <v>714</v>
      </c>
      <c r="O349" s="42" t="n">
        <v>35.7</v>
      </c>
      <c r="P349" s="45" t="n">
        <v>4.7</v>
      </c>
      <c r="Q349" s="41" t="str">
        <f aca="false">CHOOSE(MONTH(K349),"Jan","Feb","Mar","Apr","May","Jun","Jul","Aug","Sep","Oct","Nov","Dec")</f>
        <v>Jan</v>
      </c>
      <c r="R349" s="41" t="n">
        <f aca="false">INT((K349-setMinDate)/7)+1</f>
        <v>3</v>
      </c>
      <c r="S349" s="41" t="n">
        <f aca="false">HOUR(L349)</f>
        <v>10</v>
      </c>
      <c r="T349" s="41" t="str">
        <f aca="false">IF(S349&lt;setMorningEnd,"Morning",IF(S349&lt;setAfternoonEnd,"Afternoon","Evening"))</f>
        <v>Morning</v>
      </c>
      <c r="U349" s="41" t="str">
        <f aca="false">IF(J349&gt;=setLarge,"Large",IF(J349&gt;=setMedium,"Medium","Small"))</f>
        <v>Large</v>
      </c>
      <c r="V349" s="41" t="str">
        <f aca="false">IF(P349&gt;=setExc,"Excellent",IF(P349&gt;=setGood,"Good",IF(P349&gt;=setAvg,"Average","Poor")))</f>
        <v>Poor</v>
      </c>
    </row>
    <row r="350" customFormat="false" ht="15" hidden="false" customHeight="false" outlineLevel="0" collapsed="false">
      <c r="A350" s="41" t="s">
        <v>528</v>
      </c>
      <c r="B350" s="41" t="s">
        <v>178</v>
      </c>
      <c r="C350" s="41" t="s">
        <v>85</v>
      </c>
      <c r="D350" s="41" t="s">
        <v>105</v>
      </c>
      <c r="E350" s="41" t="s">
        <v>103</v>
      </c>
      <c r="F350" s="41" t="s">
        <v>78</v>
      </c>
      <c r="G350" s="42" t="n">
        <v>26.02</v>
      </c>
      <c r="H350" s="41" t="n">
        <v>7</v>
      </c>
      <c r="I350" s="42" t="n">
        <v>9.107</v>
      </c>
      <c r="J350" s="42" t="n">
        <v>191.247</v>
      </c>
      <c r="K350" s="43" t="n">
        <v>43552</v>
      </c>
      <c r="L350" s="44" t="n">
        <v>0.734722222222222</v>
      </c>
      <c r="M350" s="41" t="s">
        <v>97</v>
      </c>
      <c r="N350" s="42" t="n">
        <v>182.14</v>
      </c>
      <c r="O350" s="42" t="n">
        <v>9.107</v>
      </c>
      <c r="P350" s="45" t="n">
        <v>5.1</v>
      </c>
      <c r="Q350" s="41" t="str">
        <f aca="false">CHOOSE(MONTH(K350),"Jan","Feb","Mar","Apr","May","Jun","Jul","Aug","Sep","Oct","Nov","Dec")</f>
        <v>Mar</v>
      </c>
      <c r="R350" s="41" t="n">
        <f aca="false">INT((K350-setMinDate)/7)+1</f>
        <v>13</v>
      </c>
      <c r="S350" s="41" t="n">
        <f aca="false">HOUR(L350)</f>
        <v>17</v>
      </c>
      <c r="T350" s="41" t="str">
        <f aca="false">IF(S350&lt;setMorningEnd,"Morning",IF(S350&lt;setAfternoonEnd,"Afternoon","Evening"))</f>
        <v>Evening</v>
      </c>
      <c r="U350" s="41" t="str">
        <f aca="false">IF(J350&gt;=setLarge,"Large",IF(J350&gt;=setMedium,"Medium","Small"))</f>
        <v>Small</v>
      </c>
      <c r="V350" s="41" t="str">
        <f aca="false">IF(P350&gt;=setExc,"Excellent",IF(P350&gt;=setGood,"Good",IF(P350&gt;=setAvg,"Average","Poor")))</f>
        <v>Average</v>
      </c>
    </row>
    <row r="351" customFormat="false" ht="15" hidden="false" customHeight="false" outlineLevel="0" collapsed="false">
      <c r="A351" s="41" t="s">
        <v>529</v>
      </c>
      <c r="B351" s="41" t="s">
        <v>189</v>
      </c>
      <c r="C351" s="41" t="s">
        <v>86</v>
      </c>
      <c r="D351" s="41" t="s">
        <v>105</v>
      </c>
      <c r="E351" s="41" t="s">
        <v>102</v>
      </c>
      <c r="F351" s="41" t="s">
        <v>81</v>
      </c>
      <c r="G351" s="42" t="n">
        <v>13.5</v>
      </c>
      <c r="H351" s="41" t="n">
        <v>10</v>
      </c>
      <c r="I351" s="42" t="n">
        <v>6.75</v>
      </c>
      <c r="J351" s="42" t="n">
        <v>141.75</v>
      </c>
      <c r="K351" s="43" t="n">
        <v>43523</v>
      </c>
      <c r="L351" s="44" t="n">
        <v>0.4625</v>
      </c>
      <c r="M351" s="41" t="s">
        <v>99</v>
      </c>
      <c r="N351" s="42" t="n">
        <v>135</v>
      </c>
      <c r="O351" s="42" t="n">
        <v>6.75</v>
      </c>
      <c r="P351" s="45" t="n">
        <v>4.8</v>
      </c>
      <c r="Q351" s="41" t="str">
        <f aca="false">CHOOSE(MONTH(K351),"Jan","Feb","Mar","Apr","May","Jun","Jul","Aug","Sep","Oct","Nov","Dec")</f>
        <v>Feb</v>
      </c>
      <c r="R351" s="41" t="n">
        <f aca="false">INT((K351-setMinDate)/7)+1</f>
        <v>9</v>
      </c>
      <c r="S351" s="41" t="n">
        <f aca="false">HOUR(L351)</f>
        <v>11</v>
      </c>
      <c r="T351" s="41" t="str">
        <f aca="false">IF(S351&lt;setMorningEnd,"Morning",IF(S351&lt;setAfternoonEnd,"Afternoon","Evening"))</f>
        <v>Morning</v>
      </c>
      <c r="U351" s="41" t="str">
        <f aca="false">IF(J351&gt;=setLarge,"Large",IF(J351&gt;=setMedium,"Medium","Small"))</f>
        <v>Small</v>
      </c>
      <c r="V351" s="41" t="str">
        <f aca="false">IF(P351&gt;=setExc,"Excellent",IF(P351&gt;=setGood,"Good",IF(P351&gt;=setAvg,"Average","Poor")))</f>
        <v>Poor</v>
      </c>
    </row>
    <row r="352" customFormat="false" ht="15" hidden="false" customHeight="false" outlineLevel="0" collapsed="false">
      <c r="A352" s="41" t="s">
        <v>530</v>
      </c>
      <c r="B352" s="41" t="s">
        <v>180</v>
      </c>
      <c r="C352" s="41" t="s">
        <v>87</v>
      </c>
      <c r="D352" s="41" t="s">
        <v>104</v>
      </c>
      <c r="E352" s="41" t="s">
        <v>102</v>
      </c>
      <c r="F352" s="41" t="s">
        <v>79</v>
      </c>
      <c r="G352" s="42" t="n">
        <v>99.3</v>
      </c>
      <c r="H352" s="41" t="n">
        <v>10</v>
      </c>
      <c r="I352" s="42" t="n">
        <v>49.65</v>
      </c>
      <c r="J352" s="42" t="n">
        <v>1042.65</v>
      </c>
      <c r="K352" s="43" t="n">
        <v>43511</v>
      </c>
      <c r="L352" s="44" t="n">
        <v>0.620138888888889</v>
      </c>
      <c r="M352" s="41" t="s">
        <v>99</v>
      </c>
      <c r="N352" s="42" t="n">
        <v>993</v>
      </c>
      <c r="O352" s="42" t="n">
        <v>49.65</v>
      </c>
      <c r="P352" s="45" t="n">
        <v>6.6</v>
      </c>
      <c r="Q352" s="41" t="str">
        <f aca="false">CHOOSE(MONTH(K352),"Jan","Feb","Mar","Apr","May","Jun","Jul","Aug","Sep","Oct","Nov","Dec")</f>
        <v>Feb</v>
      </c>
      <c r="R352" s="41" t="n">
        <f aca="false">INT((K352-setMinDate)/7)+1</f>
        <v>7</v>
      </c>
      <c r="S352" s="41" t="n">
        <f aca="false">HOUR(L352)</f>
        <v>14</v>
      </c>
      <c r="T352" s="41" t="str">
        <f aca="false">IF(S352&lt;setMorningEnd,"Morning",IF(S352&lt;setAfternoonEnd,"Afternoon","Evening"))</f>
        <v>Afternoon</v>
      </c>
      <c r="U352" s="41" t="str">
        <f aca="false">IF(J352&gt;=setLarge,"Large",IF(J352&gt;=setMedium,"Medium","Small"))</f>
        <v>Large</v>
      </c>
      <c r="V352" s="41" t="str">
        <f aca="false">IF(P352&gt;=setExc,"Excellent",IF(P352&gt;=setGood,"Good",IF(P352&gt;=setAvg,"Average","Poor")))</f>
        <v>Average</v>
      </c>
    </row>
    <row r="353" customFormat="false" ht="15" hidden="false" customHeight="false" outlineLevel="0" collapsed="false">
      <c r="A353" s="41" t="s">
        <v>531</v>
      </c>
      <c r="B353" s="41" t="s">
        <v>178</v>
      </c>
      <c r="C353" s="41" t="s">
        <v>85</v>
      </c>
      <c r="D353" s="41" t="s">
        <v>105</v>
      </c>
      <c r="E353" s="41" t="s">
        <v>103</v>
      </c>
      <c r="F353" s="41" t="s">
        <v>78</v>
      </c>
      <c r="G353" s="42" t="n">
        <v>51.69</v>
      </c>
      <c r="H353" s="41" t="n">
        <v>7</v>
      </c>
      <c r="I353" s="42" t="n">
        <v>18.0915</v>
      </c>
      <c r="J353" s="42" t="n">
        <v>379.9215</v>
      </c>
      <c r="K353" s="43" t="n">
        <v>43491</v>
      </c>
      <c r="L353" s="44" t="n">
        <v>0.765277777777778</v>
      </c>
      <c r="M353" s="41" t="s">
        <v>97</v>
      </c>
      <c r="N353" s="42" t="n">
        <v>361.83</v>
      </c>
      <c r="O353" s="42" t="n">
        <v>18.0915</v>
      </c>
      <c r="P353" s="45" t="n">
        <v>5.5</v>
      </c>
      <c r="Q353" s="41" t="str">
        <f aca="false">CHOOSE(MONTH(K353),"Jan","Feb","Mar","Apr","May","Jun","Jul","Aug","Sep","Oct","Nov","Dec")</f>
        <v>Jan</v>
      </c>
      <c r="R353" s="41" t="n">
        <f aca="false">INT((K353-setMinDate)/7)+1</f>
        <v>4</v>
      </c>
      <c r="S353" s="41" t="n">
        <f aca="false">HOUR(L353)</f>
        <v>18</v>
      </c>
      <c r="T353" s="41" t="str">
        <f aca="false">IF(S353&lt;setMorningEnd,"Morning",IF(S353&lt;setAfternoonEnd,"Afternoon","Evening"))</f>
        <v>Evening</v>
      </c>
      <c r="U353" s="41" t="str">
        <f aca="false">IF(J353&gt;=setLarge,"Large",IF(J353&gt;=setMedium,"Medium","Small"))</f>
        <v>Medium</v>
      </c>
      <c r="V353" s="41" t="str">
        <f aca="false">IF(P353&gt;=setExc,"Excellent",IF(P353&gt;=setGood,"Good",IF(P353&gt;=setAvg,"Average","Poor")))</f>
        <v>Average</v>
      </c>
    </row>
    <row r="354" customFormat="false" ht="15" hidden="false" customHeight="false" outlineLevel="0" collapsed="false">
      <c r="A354" s="41" t="s">
        <v>532</v>
      </c>
      <c r="B354" s="41" t="s">
        <v>189</v>
      </c>
      <c r="C354" s="41" t="s">
        <v>86</v>
      </c>
      <c r="D354" s="41" t="s">
        <v>104</v>
      </c>
      <c r="E354" s="41" t="s">
        <v>102</v>
      </c>
      <c r="F354" s="41" t="s">
        <v>79</v>
      </c>
      <c r="G354" s="42" t="n">
        <v>54.73</v>
      </c>
      <c r="H354" s="41" t="n">
        <v>7</v>
      </c>
      <c r="I354" s="42" t="n">
        <v>19.1555</v>
      </c>
      <c r="J354" s="42" t="n">
        <v>402.2655</v>
      </c>
      <c r="K354" s="43" t="n">
        <v>43538</v>
      </c>
      <c r="L354" s="44" t="n">
        <v>0.793055555555556</v>
      </c>
      <c r="M354" s="41" t="s">
        <v>99</v>
      </c>
      <c r="N354" s="42" t="n">
        <v>383.11</v>
      </c>
      <c r="O354" s="42" t="n">
        <v>19.1555</v>
      </c>
      <c r="P354" s="45" t="n">
        <v>8.5</v>
      </c>
      <c r="Q354" s="41" t="str">
        <f aca="false">CHOOSE(MONTH(K354),"Jan","Feb","Mar","Apr","May","Jun","Jul","Aug","Sep","Oct","Nov","Dec")</f>
        <v>Mar</v>
      </c>
      <c r="R354" s="41" t="n">
        <f aca="false">INT((K354-setMinDate)/7)+1</f>
        <v>11</v>
      </c>
      <c r="S354" s="41" t="n">
        <f aca="false">HOUR(L354)</f>
        <v>19</v>
      </c>
      <c r="T354" s="41" t="str">
        <f aca="false">IF(S354&lt;setMorningEnd,"Morning",IF(S354&lt;setAfternoonEnd,"Afternoon","Evening"))</f>
        <v>Evening</v>
      </c>
      <c r="U354" s="41" t="str">
        <f aca="false">IF(J354&gt;=setLarge,"Large",IF(J354&gt;=setMedium,"Medium","Small"))</f>
        <v>Medium</v>
      </c>
      <c r="V354" s="41" t="str">
        <f aca="false">IF(P354&gt;=setExc,"Excellent",IF(P354&gt;=setGood,"Good",IF(P354&gt;=setAvg,"Average","Poor")))</f>
        <v>Good</v>
      </c>
    </row>
    <row r="355" customFormat="false" ht="15" hidden="false" customHeight="false" outlineLevel="0" collapsed="false">
      <c r="A355" s="41" t="s">
        <v>533</v>
      </c>
      <c r="B355" s="41" t="s">
        <v>189</v>
      </c>
      <c r="C355" s="41" t="s">
        <v>86</v>
      </c>
      <c r="D355" s="41" t="s">
        <v>104</v>
      </c>
      <c r="E355" s="41" t="s">
        <v>103</v>
      </c>
      <c r="F355" s="41" t="s">
        <v>80</v>
      </c>
      <c r="G355" s="42" t="n">
        <v>27</v>
      </c>
      <c r="H355" s="41" t="n">
        <v>9</v>
      </c>
      <c r="I355" s="42" t="n">
        <v>12.15</v>
      </c>
      <c r="J355" s="42" t="n">
        <v>255.15</v>
      </c>
      <c r="K355" s="43" t="n">
        <v>43526</v>
      </c>
      <c r="L355" s="44" t="n">
        <v>0.594444444444444</v>
      </c>
      <c r="M355" s="41" t="s">
        <v>97</v>
      </c>
      <c r="N355" s="42" t="n">
        <v>243</v>
      </c>
      <c r="O355" s="42" t="n">
        <v>12.15</v>
      </c>
      <c r="P355" s="45" t="n">
        <v>4.8</v>
      </c>
      <c r="Q355" s="41" t="str">
        <f aca="false">CHOOSE(MONTH(K355),"Jan","Feb","Mar","Apr","May","Jun","Jul","Aug","Sep","Oct","Nov","Dec")</f>
        <v>Mar</v>
      </c>
      <c r="R355" s="41" t="n">
        <f aca="false">INT((K355-setMinDate)/7)+1</f>
        <v>9</v>
      </c>
      <c r="S355" s="41" t="n">
        <f aca="false">HOUR(L355)</f>
        <v>14</v>
      </c>
      <c r="T355" s="41" t="str">
        <f aca="false">IF(S355&lt;setMorningEnd,"Morning",IF(S355&lt;setAfternoonEnd,"Afternoon","Evening"))</f>
        <v>Afternoon</v>
      </c>
      <c r="U355" s="41" t="str">
        <f aca="false">IF(J355&gt;=setLarge,"Large",IF(J355&gt;=setMedium,"Medium","Small"))</f>
        <v>Medium</v>
      </c>
      <c r="V355" s="41" t="str">
        <f aca="false">IF(P355&gt;=setExc,"Excellent",IF(P355&gt;=setGood,"Good",IF(P355&gt;=setAvg,"Average","Poor")))</f>
        <v>Poor</v>
      </c>
    </row>
    <row r="356" customFormat="false" ht="15" hidden="false" customHeight="false" outlineLevel="0" collapsed="false">
      <c r="A356" s="41" t="s">
        <v>534</v>
      </c>
      <c r="B356" s="41" t="s">
        <v>180</v>
      </c>
      <c r="C356" s="41" t="s">
        <v>87</v>
      </c>
      <c r="D356" s="41" t="s">
        <v>105</v>
      </c>
      <c r="E356" s="41" t="s">
        <v>102</v>
      </c>
      <c r="F356" s="41" t="s">
        <v>78</v>
      </c>
      <c r="G356" s="42" t="n">
        <v>30.24</v>
      </c>
      <c r="H356" s="41" t="n">
        <v>1</v>
      </c>
      <c r="I356" s="42" t="n">
        <v>1.512</v>
      </c>
      <c r="J356" s="42" t="n">
        <v>31.752</v>
      </c>
      <c r="K356" s="43" t="n">
        <v>43528</v>
      </c>
      <c r="L356" s="44" t="n">
        <v>0.655555555555556</v>
      </c>
      <c r="M356" s="41" t="s">
        <v>97</v>
      </c>
      <c r="N356" s="42" t="n">
        <v>30.24</v>
      </c>
      <c r="O356" s="42" t="n">
        <v>1.512</v>
      </c>
      <c r="P356" s="45" t="n">
        <v>8.4</v>
      </c>
      <c r="Q356" s="41" t="str">
        <f aca="false">CHOOSE(MONTH(K356),"Jan","Feb","Mar","Apr","May","Jun","Jul","Aug","Sep","Oct","Nov","Dec")</f>
        <v>Mar</v>
      </c>
      <c r="R356" s="41" t="n">
        <f aca="false">INT((K356-setMinDate)/7)+1</f>
        <v>9</v>
      </c>
      <c r="S356" s="41" t="n">
        <f aca="false">HOUR(L356)</f>
        <v>15</v>
      </c>
      <c r="T356" s="41" t="str">
        <f aca="false">IF(S356&lt;setMorningEnd,"Morning",IF(S356&lt;setAfternoonEnd,"Afternoon","Evening"))</f>
        <v>Afternoon</v>
      </c>
      <c r="U356" s="41" t="str">
        <f aca="false">IF(J356&gt;=setLarge,"Large",IF(J356&gt;=setMedium,"Medium","Small"))</f>
        <v>Small</v>
      </c>
      <c r="V356" s="41" t="str">
        <f aca="false">IF(P356&gt;=setExc,"Excellent",IF(P356&gt;=setGood,"Good",IF(P356&gt;=setAvg,"Average","Poor")))</f>
        <v>Good</v>
      </c>
    </row>
    <row r="357" customFormat="false" ht="15" hidden="false" customHeight="false" outlineLevel="0" collapsed="false">
      <c r="A357" s="41" t="s">
        <v>535</v>
      </c>
      <c r="B357" s="41" t="s">
        <v>189</v>
      </c>
      <c r="C357" s="41" t="s">
        <v>86</v>
      </c>
      <c r="D357" s="41" t="s">
        <v>104</v>
      </c>
      <c r="E357" s="41" t="s">
        <v>102</v>
      </c>
      <c r="F357" s="41" t="s">
        <v>76</v>
      </c>
      <c r="G357" s="42" t="n">
        <v>89.14</v>
      </c>
      <c r="H357" s="41" t="n">
        <v>4</v>
      </c>
      <c r="I357" s="42" t="n">
        <v>17.828</v>
      </c>
      <c r="J357" s="42" t="n">
        <v>374.388</v>
      </c>
      <c r="K357" s="43" t="n">
        <v>43472</v>
      </c>
      <c r="L357" s="44" t="n">
        <v>0.513888888888889</v>
      </c>
      <c r="M357" s="41" t="s">
        <v>99</v>
      </c>
      <c r="N357" s="42" t="n">
        <v>356.56</v>
      </c>
      <c r="O357" s="42" t="n">
        <v>17.828</v>
      </c>
      <c r="P357" s="45" t="n">
        <v>7.8</v>
      </c>
      <c r="Q357" s="41" t="str">
        <f aca="false">CHOOSE(MONTH(K357),"Jan","Feb","Mar","Apr","May","Jun","Jul","Aug","Sep","Oct","Nov","Dec")</f>
        <v>Jan</v>
      </c>
      <c r="R357" s="41" t="n">
        <f aca="false">INT((K357-setMinDate)/7)+1</f>
        <v>1</v>
      </c>
      <c r="S357" s="41" t="n">
        <f aca="false">HOUR(L357)</f>
        <v>12</v>
      </c>
      <c r="T357" s="41" t="str">
        <f aca="false">IF(S357&lt;setMorningEnd,"Morning",IF(S357&lt;setAfternoonEnd,"Afternoon","Evening"))</f>
        <v>Afternoon</v>
      </c>
      <c r="U357" s="41" t="str">
        <f aca="false">IF(J357&gt;=setLarge,"Large",IF(J357&gt;=setMedium,"Medium","Small"))</f>
        <v>Medium</v>
      </c>
      <c r="V357" s="41" t="str">
        <f aca="false">IF(P357&gt;=setExc,"Excellent",IF(P357&gt;=setGood,"Good",IF(P357&gt;=setAvg,"Average","Poor")))</f>
        <v>Good</v>
      </c>
    </row>
    <row r="358" customFormat="false" ht="15" hidden="false" customHeight="false" outlineLevel="0" collapsed="false">
      <c r="A358" s="41" t="s">
        <v>536</v>
      </c>
      <c r="B358" s="41" t="s">
        <v>180</v>
      </c>
      <c r="C358" s="41" t="s">
        <v>87</v>
      </c>
      <c r="D358" s="41" t="s">
        <v>105</v>
      </c>
      <c r="E358" s="41" t="s">
        <v>102</v>
      </c>
      <c r="F358" s="41" t="s">
        <v>79</v>
      </c>
      <c r="G358" s="42" t="n">
        <v>37.55</v>
      </c>
      <c r="H358" s="41" t="n">
        <v>10</v>
      </c>
      <c r="I358" s="42" t="n">
        <v>18.775</v>
      </c>
      <c r="J358" s="42" t="n">
        <v>394.275</v>
      </c>
      <c r="K358" s="43" t="n">
        <v>43532</v>
      </c>
      <c r="L358" s="44" t="n">
        <v>0.834027777777778</v>
      </c>
      <c r="M358" s="41" t="s">
        <v>99</v>
      </c>
      <c r="N358" s="42" t="n">
        <v>375.5</v>
      </c>
      <c r="O358" s="42" t="n">
        <v>18.775</v>
      </c>
      <c r="P358" s="45" t="n">
        <v>9.3</v>
      </c>
      <c r="Q358" s="41" t="str">
        <f aca="false">CHOOSE(MONTH(K358),"Jan","Feb","Mar","Apr","May","Jun","Jul","Aug","Sep","Oct","Nov","Dec")</f>
        <v>Mar</v>
      </c>
      <c r="R358" s="41" t="n">
        <f aca="false">INT((K358-setMinDate)/7)+1</f>
        <v>10</v>
      </c>
      <c r="S358" s="41" t="n">
        <f aca="false">HOUR(L358)</f>
        <v>20</v>
      </c>
      <c r="T358" s="41" t="str">
        <f aca="false">IF(S358&lt;setMorningEnd,"Morning",IF(S358&lt;setAfternoonEnd,"Afternoon","Evening"))</f>
        <v>Evening</v>
      </c>
      <c r="U358" s="41" t="str">
        <f aca="false">IF(J358&gt;=setLarge,"Large",IF(J358&gt;=setMedium,"Medium","Small"))</f>
        <v>Medium</v>
      </c>
      <c r="V358" s="41" t="str">
        <f aca="false">IF(P358&gt;=setExc,"Excellent",IF(P358&gt;=setGood,"Good",IF(P358&gt;=setAvg,"Average","Poor")))</f>
        <v>Excellent</v>
      </c>
    </row>
    <row r="359" customFormat="false" ht="15" hidden="false" customHeight="false" outlineLevel="0" collapsed="false">
      <c r="A359" s="41" t="s">
        <v>537</v>
      </c>
      <c r="B359" s="41" t="s">
        <v>180</v>
      </c>
      <c r="C359" s="41" t="s">
        <v>87</v>
      </c>
      <c r="D359" s="41" t="s">
        <v>105</v>
      </c>
      <c r="E359" s="41" t="s">
        <v>102</v>
      </c>
      <c r="F359" s="41" t="s">
        <v>77</v>
      </c>
      <c r="G359" s="42" t="n">
        <v>95.44</v>
      </c>
      <c r="H359" s="41" t="n">
        <v>10</v>
      </c>
      <c r="I359" s="42" t="n">
        <v>47.72</v>
      </c>
      <c r="J359" s="42" t="n">
        <v>1002.12</v>
      </c>
      <c r="K359" s="43" t="n">
        <v>43474</v>
      </c>
      <c r="L359" s="44" t="n">
        <v>0.572916666666667</v>
      </c>
      <c r="M359" s="41" t="s">
        <v>97</v>
      </c>
      <c r="N359" s="42" t="n">
        <v>954.4</v>
      </c>
      <c r="O359" s="42" t="n">
        <v>47.72</v>
      </c>
      <c r="P359" s="45" t="n">
        <v>5.2</v>
      </c>
      <c r="Q359" s="41" t="str">
        <f aca="false">CHOOSE(MONTH(K359),"Jan","Feb","Mar","Apr","May","Jun","Jul","Aug","Sep","Oct","Nov","Dec")</f>
        <v>Jan</v>
      </c>
      <c r="R359" s="41" t="n">
        <f aca="false">INT((K359-setMinDate)/7)+1</f>
        <v>2</v>
      </c>
      <c r="S359" s="41" t="n">
        <f aca="false">HOUR(L359)</f>
        <v>13</v>
      </c>
      <c r="T359" s="41" t="str">
        <f aca="false">IF(S359&lt;setMorningEnd,"Morning",IF(S359&lt;setAfternoonEnd,"Afternoon","Evening"))</f>
        <v>Afternoon</v>
      </c>
      <c r="U359" s="41" t="str">
        <f aca="false">IF(J359&gt;=setLarge,"Large",IF(J359&gt;=setMedium,"Medium","Small"))</f>
        <v>Large</v>
      </c>
      <c r="V359" s="41" t="str">
        <f aca="false">IF(P359&gt;=setExc,"Excellent",IF(P359&gt;=setGood,"Good",IF(P359&gt;=setAvg,"Average","Poor")))</f>
        <v>Average</v>
      </c>
    </row>
    <row r="360" customFormat="false" ht="15" hidden="false" customHeight="false" outlineLevel="0" collapsed="false">
      <c r="A360" s="41" t="s">
        <v>538</v>
      </c>
      <c r="B360" s="41" t="s">
        <v>189</v>
      </c>
      <c r="C360" s="41" t="s">
        <v>86</v>
      </c>
      <c r="D360" s="41" t="s">
        <v>105</v>
      </c>
      <c r="E360" s="41" t="s">
        <v>103</v>
      </c>
      <c r="F360" s="41" t="s">
        <v>78</v>
      </c>
      <c r="G360" s="42" t="n">
        <v>27.5</v>
      </c>
      <c r="H360" s="41" t="n">
        <v>3</v>
      </c>
      <c r="I360" s="42" t="n">
        <v>4.125</v>
      </c>
      <c r="J360" s="42" t="n">
        <v>86.625</v>
      </c>
      <c r="K360" s="43" t="n">
        <v>43525</v>
      </c>
      <c r="L360" s="44" t="n">
        <v>0.652777777777778</v>
      </c>
      <c r="M360" s="41" t="s">
        <v>98</v>
      </c>
      <c r="N360" s="42" t="n">
        <v>82.5</v>
      </c>
      <c r="O360" s="42" t="n">
        <v>4.125</v>
      </c>
      <c r="P360" s="45" t="n">
        <v>6.5</v>
      </c>
      <c r="Q360" s="41" t="str">
        <f aca="false">CHOOSE(MONTH(K360),"Jan","Feb","Mar","Apr","May","Jun","Jul","Aug","Sep","Oct","Nov","Dec")</f>
        <v>Mar</v>
      </c>
      <c r="R360" s="41" t="n">
        <f aca="false">INT((K360-setMinDate)/7)+1</f>
        <v>9</v>
      </c>
      <c r="S360" s="41" t="n">
        <f aca="false">HOUR(L360)</f>
        <v>15</v>
      </c>
      <c r="T360" s="41" t="str">
        <f aca="false">IF(S360&lt;setMorningEnd,"Morning",IF(S360&lt;setAfternoonEnd,"Afternoon","Evening"))</f>
        <v>Afternoon</v>
      </c>
      <c r="U360" s="41" t="str">
        <f aca="false">IF(J360&gt;=setLarge,"Large",IF(J360&gt;=setMedium,"Medium","Small"))</f>
        <v>Small</v>
      </c>
      <c r="V360" s="41" t="str">
        <f aca="false">IF(P360&gt;=setExc,"Excellent",IF(P360&gt;=setGood,"Good",IF(P360&gt;=setAvg,"Average","Poor")))</f>
        <v>Average</v>
      </c>
    </row>
    <row r="361" customFormat="false" ht="15" hidden="false" customHeight="false" outlineLevel="0" collapsed="false">
      <c r="A361" s="41" t="s">
        <v>539</v>
      </c>
      <c r="B361" s="41" t="s">
        <v>189</v>
      </c>
      <c r="C361" s="41" t="s">
        <v>86</v>
      </c>
      <c r="D361" s="41" t="s">
        <v>105</v>
      </c>
      <c r="E361" s="41" t="s">
        <v>103</v>
      </c>
      <c r="F361" s="41" t="s">
        <v>77</v>
      </c>
      <c r="G361" s="42" t="n">
        <v>74.97</v>
      </c>
      <c r="H361" s="41" t="n">
        <v>1</v>
      </c>
      <c r="I361" s="42" t="n">
        <v>3.7485</v>
      </c>
      <c r="J361" s="42" t="n">
        <v>78.7185</v>
      </c>
      <c r="K361" s="43" t="n">
        <v>43540</v>
      </c>
      <c r="L361" s="44" t="n">
        <v>0.706944444444445</v>
      </c>
      <c r="M361" s="41" t="s">
        <v>97</v>
      </c>
      <c r="N361" s="42" t="n">
        <v>74.97</v>
      </c>
      <c r="O361" s="42" t="n">
        <v>3.7485</v>
      </c>
      <c r="P361" s="45" t="n">
        <v>5.6</v>
      </c>
      <c r="Q361" s="41" t="str">
        <f aca="false">CHOOSE(MONTH(K361),"Jan","Feb","Mar","Apr","May","Jun","Jul","Aug","Sep","Oct","Nov","Dec")</f>
        <v>Mar</v>
      </c>
      <c r="R361" s="41" t="n">
        <f aca="false">INT((K361-setMinDate)/7)+1</f>
        <v>11</v>
      </c>
      <c r="S361" s="41" t="n">
        <f aca="false">HOUR(L361)</f>
        <v>16</v>
      </c>
      <c r="T361" s="41" t="str">
        <f aca="false">IF(S361&lt;setMorningEnd,"Morning",IF(S361&lt;setAfternoonEnd,"Afternoon","Evening"))</f>
        <v>Afternoon</v>
      </c>
      <c r="U361" s="41" t="str">
        <f aca="false">IF(J361&gt;=setLarge,"Large",IF(J361&gt;=setMedium,"Medium","Small"))</f>
        <v>Small</v>
      </c>
      <c r="V361" s="41" t="str">
        <f aca="false">IF(P361&gt;=setExc,"Excellent",IF(P361&gt;=setGood,"Good",IF(P361&gt;=setAvg,"Average","Poor")))</f>
        <v>Average</v>
      </c>
    </row>
    <row r="362" customFormat="false" ht="15" hidden="false" customHeight="false" outlineLevel="0" collapsed="false">
      <c r="A362" s="41" t="s">
        <v>540</v>
      </c>
      <c r="B362" s="41" t="s">
        <v>178</v>
      </c>
      <c r="C362" s="41" t="s">
        <v>85</v>
      </c>
      <c r="D362" s="41" t="s">
        <v>104</v>
      </c>
      <c r="E362" s="41" t="s">
        <v>103</v>
      </c>
      <c r="F362" s="41" t="s">
        <v>76</v>
      </c>
      <c r="G362" s="42" t="n">
        <v>80.96</v>
      </c>
      <c r="H362" s="41" t="n">
        <v>8</v>
      </c>
      <c r="I362" s="42" t="n">
        <v>32.384</v>
      </c>
      <c r="J362" s="42" t="n">
        <v>680.064</v>
      </c>
      <c r="K362" s="43" t="n">
        <v>43513</v>
      </c>
      <c r="L362" s="44" t="n">
        <v>0.466666666666667</v>
      </c>
      <c r="M362" s="41" t="s">
        <v>99</v>
      </c>
      <c r="N362" s="42" t="n">
        <v>647.68</v>
      </c>
      <c r="O362" s="42" t="n">
        <v>32.384</v>
      </c>
      <c r="P362" s="45" t="n">
        <v>7.4</v>
      </c>
      <c r="Q362" s="41" t="str">
        <f aca="false">CHOOSE(MONTH(K362),"Jan","Feb","Mar","Apr","May","Jun","Jul","Aug","Sep","Oct","Nov","Dec")</f>
        <v>Feb</v>
      </c>
      <c r="R362" s="41" t="n">
        <f aca="false">INT((K362-setMinDate)/7)+1</f>
        <v>7</v>
      </c>
      <c r="S362" s="41" t="n">
        <f aca="false">HOUR(L362)</f>
        <v>11</v>
      </c>
      <c r="T362" s="41" t="str">
        <f aca="false">IF(S362&lt;setMorningEnd,"Morning",IF(S362&lt;setAfternoonEnd,"Afternoon","Evening"))</f>
        <v>Morning</v>
      </c>
      <c r="U362" s="41" t="str">
        <f aca="false">IF(J362&gt;=setLarge,"Large",IF(J362&gt;=setMedium,"Medium","Small"))</f>
        <v>Large</v>
      </c>
      <c r="V362" s="41" t="str">
        <f aca="false">IF(P362&gt;=setExc,"Excellent",IF(P362&gt;=setGood,"Good",IF(P362&gt;=setAvg,"Average","Poor")))</f>
        <v>Good</v>
      </c>
    </row>
    <row r="363" customFormat="false" ht="15" hidden="false" customHeight="false" outlineLevel="0" collapsed="false">
      <c r="A363" s="41" t="s">
        <v>541</v>
      </c>
      <c r="B363" s="41" t="s">
        <v>180</v>
      </c>
      <c r="C363" s="41" t="s">
        <v>87</v>
      </c>
      <c r="D363" s="41" t="s">
        <v>105</v>
      </c>
      <c r="E363" s="41" t="s">
        <v>102</v>
      </c>
      <c r="F363" s="41" t="s">
        <v>76</v>
      </c>
      <c r="G363" s="42" t="n">
        <v>94.47</v>
      </c>
      <c r="H363" s="41" t="n">
        <v>8</v>
      </c>
      <c r="I363" s="42" t="n">
        <v>37.788</v>
      </c>
      <c r="J363" s="42" t="n">
        <v>793.548</v>
      </c>
      <c r="K363" s="43" t="n">
        <v>43523</v>
      </c>
      <c r="L363" s="44" t="n">
        <v>0.633333333333333</v>
      </c>
      <c r="M363" s="41" t="s">
        <v>97</v>
      </c>
      <c r="N363" s="42" t="n">
        <v>755.76</v>
      </c>
      <c r="O363" s="42" t="n">
        <v>37.788</v>
      </c>
      <c r="P363" s="45" t="n">
        <v>9.1</v>
      </c>
      <c r="Q363" s="41" t="str">
        <f aca="false">CHOOSE(MONTH(K363),"Jan","Feb","Mar","Apr","May","Jun","Jul","Aug","Sep","Oct","Nov","Dec")</f>
        <v>Feb</v>
      </c>
      <c r="R363" s="41" t="n">
        <f aca="false">INT((K363-setMinDate)/7)+1</f>
        <v>9</v>
      </c>
      <c r="S363" s="41" t="n">
        <f aca="false">HOUR(L363)</f>
        <v>15</v>
      </c>
      <c r="T363" s="41" t="str">
        <f aca="false">IF(S363&lt;setMorningEnd,"Morning",IF(S363&lt;setAfternoonEnd,"Afternoon","Evening"))</f>
        <v>Afternoon</v>
      </c>
      <c r="U363" s="41" t="str">
        <f aca="false">IF(J363&gt;=setLarge,"Large",IF(J363&gt;=setMedium,"Medium","Small"))</f>
        <v>Large</v>
      </c>
      <c r="V363" s="41" t="str">
        <f aca="false">IF(P363&gt;=setExc,"Excellent",IF(P363&gt;=setGood,"Good",IF(P363&gt;=setAvg,"Average","Poor")))</f>
        <v>Excellent</v>
      </c>
    </row>
    <row r="364" customFormat="false" ht="15" hidden="false" customHeight="false" outlineLevel="0" collapsed="false">
      <c r="A364" s="41" t="s">
        <v>542</v>
      </c>
      <c r="B364" s="41" t="s">
        <v>180</v>
      </c>
      <c r="C364" s="41" t="s">
        <v>87</v>
      </c>
      <c r="D364" s="41" t="s">
        <v>105</v>
      </c>
      <c r="E364" s="41" t="s">
        <v>103</v>
      </c>
      <c r="F364" s="41" t="s">
        <v>76</v>
      </c>
      <c r="G364" s="42" t="n">
        <v>99.79</v>
      </c>
      <c r="H364" s="41" t="n">
        <v>2</v>
      </c>
      <c r="I364" s="42" t="n">
        <v>9.979</v>
      </c>
      <c r="J364" s="42" t="n">
        <v>209.559</v>
      </c>
      <c r="K364" s="43" t="n">
        <v>43531</v>
      </c>
      <c r="L364" s="44" t="n">
        <v>0.859027777777778</v>
      </c>
      <c r="M364" s="41" t="s">
        <v>98</v>
      </c>
      <c r="N364" s="42" t="n">
        <v>199.58</v>
      </c>
      <c r="O364" s="42" t="n">
        <v>9.979</v>
      </c>
      <c r="P364" s="45" t="n">
        <v>8</v>
      </c>
      <c r="Q364" s="41" t="str">
        <f aca="false">CHOOSE(MONTH(K364),"Jan","Feb","Mar","Apr","May","Jun","Jul","Aug","Sep","Oct","Nov","Dec")</f>
        <v>Mar</v>
      </c>
      <c r="R364" s="41" t="n">
        <f aca="false">INT((K364-setMinDate)/7)+1</f>
        <v>10</v>
      </c>
      <c r="S364" s="41" t="n">
        <f aca="false">HOUR(L364)</f>
        <v>20</v>
      </c>
      <c r="T364" s="41" t="str">
        <f aca="false">IF(S364&lt;setMorningEnd,"Morning",IF(S364&lt;setAfternoonEnd,"Afternoon","Evening"))</f>
        <v>Evening</v>
      </c>
      <c r="U364" s="41" t="str">
        <f aca="false">IF(J364&gt;=setLarge,"Large",IF(J364&gt;=setMedium,"Medium","Small"))</f>
        <v>Small</v>
      </c>
      <c r="V364" s="41" t="str">
        <f aca="false">IF(P364&gt;=setExc,"Excellent",IF(P364&gt;=setGood,"Good",IF(P364&gt;=setAvg,"Average","Poor")))</f>
        <v>Good</v>
      </c>
    </row>
    <row r="365" customFormat="false" ht="15" hidden="false" customHeight="false" outlineLevel="0" collapsed="false">
      <c r="A365" s="41" t="s">
        <v>543</v>
      </c>
      <c r="B365" s="41" t="s">
        <v>178</v>
      </c>
      <c r="C365" s="41" t="s">
        <v>85</v>
      </c>
      <c r="D365" s="41" t="s">
        <v>105</v>
      </c>
      <c r="E365" s="41" t="s">
        <v>103</v>
      </c>
      <c r="F365" s="41" t="s">
        <v>80</v>
      </c>
      <c r="G365" s="42" t="n">
        <v>73.22</v>
      </c>
      <c r="H365" s="41" t="n">
        <v>6</v>
      </c>
      <c r="I365" s="42" t="n">
        <v>21.966</v>
      </c>
      <c r="J365" s="42" t="n">
        <v>461.286</v>
      </c>
      <c r="K365" s="43" t="n">
        <v>43486</v>
      </c>
      <c r="L365" s="44" t="n">
        <v>0.738888888888889</v>
      </c>
      <c r="M365" s="41" t="s">
        <v>97</v>
      </c>
      <c r="N365" s="42" t="n">
        <v>439.32</v>
      </c>
      <c r="O365" s="42" t="n">
        <v>21.966</v>
      </c>
      <c r="P365" s="45" t="n">
        <v>7.2</v>
      </c>
      <c r="Q365" s="41" t="str">
        <f aca="false">CHOOSE(MONTH(K365),"Jan","Feb","Mar","Apr","May","Jun","Jul","Aug","Sep","Oct","Nov","Dec")</f>
        <v>Jan</v>
      </c>
      <c r="R365" s="41" t="n">
        <f aca="false">INT((K365-setMinDate)/7)+1</f>
        <v>3</v>
      </c>
      <c r="S365" s="41" t="n">
        <f aca="false">HOUR(L365)</f>
        <v>17</v>
      </c>
      <c r="T365" s="41" t="str">
        <f aca="false">IF(S365&lt;setMorningEnd,"Morning",IF(S365&lt;setAfternoonEnd,"Afternoon","Evening"))</f>
        <v>Evening</v>
      </c>
      <c r="U365" s="41" t="str">
        <f aca="false">IF(J365&gt;=setLarge,"Large",IF(J365&gt;=setMedium,"Medium","Small"))</f>
        <v>Medium</v>
      </c>
      <c r="V365" s="41" t="str">
        <f aca="false">IF(P365&gt;=setExc,"Excellent",IF(P365&gt;=setGood,"Good",IF(P365&gt;=setAvg,"Average","Poor")))</f>
        <v>Good</v>
      </c>
    </row>
    <row r="366" customFormat="false" ht="15" hidden="false" customHeight="false" outlineLevel="0" collapsed="false">
      <c r="A366" s="41" t="s">
        <v>544</v>
      </c>
      <c r="B366" s="41" t="s">
        <v>180</v>
      </c>
      <c r="C366" s="41" t="s">
        <v>87</v>
      </c>
      <c r="D366" s="41" t="s">
        <v>105</v>
      </c>
      <c r="E366" s="41" t="s">
        <v>102</v>
      </c>
      <c r="F366" s="41" t="s">
        <v>76</v>
      </c>
      <c r="G366" s="42" t="n">
        <v>41.24</v>
      </c>
      <c r="H366" s="41" t="n">
        <v>4</v>
      </c>
      <c r="I366" s="42" t="n">
        <v>8.248</v>
      </c>
      <c r="J366" s="42" t="n">
        <v>173.208</v>
      </c>
      <c r="K366" s="43" t="n">
        <v>43515</v>
      </c>
      <c r="L366" s="44" t="n">
        <v>0.682638888888889</v>
      </c>
      <c r="M366" s="41" t="s">
        <v>97</v>
      </c>
      <c r="N366" s="42" t="n">
        <v>164.96</v>
      </c>
      <c r="O366" s="42" t="n">
        <v>8.248</v>
      </c>
      <c r="P366" s="45" t="n">
        <v>7.1</v>
      </c>
      <c r="Q366" s="41" t="str">
        <f aca="false">CHOOSE(MONTH(K366),"Jan","Feb","Mar","Apr","May","Jun","Jul","Aug","Sep","Oct","Nov","Dec")</f>
        <v>Feb</v>
      </c>
      <c r="R366" s="41" t="n">
        <f aca="false">INT((K366-setMinDate)/7)+1</f>
        <v>8</v>
      </c>
      <c r="S366" s="41" t="n">
        <f aca="false">HOUR(L366)</f>
        <v>16</v>
      </c>
      <c r="T366" s="41" t="str">
        <f aca="false">IF(S366&lt;setMorningEnd,"Morning",IF(S366&lt;setAfternoonEnd,"Afternoon","Evening"))</f>
        <v>Afternoon</v>
      </c>
      <c r="U366" s="41" t="str">
        <f aca="false">IF(J366&gt;=setLarge,"Large",IF(J366&gt;=setMedium,"Medium","Small"))</f>
        <v>Small</v>
      </c>
      <c r="V366" s="41" t="str">
        <f aca="false">IF(P366&gt;=setExc,"Excellent",IF(P366&gt;=setGood,"Good",IF(P366&gt;=setAvg,"Average","Poor")))</f>
        <v>Good</v>
      </c>
    </row>
    <row r="367" customFormat="false" ht="15" hidden="false" customHeight="false" outlineLevel="0" collapsed="false">
      <c r="A367" s="41" t="s">
        <v>545</v>
      </c>
      <c r="B367" s="41" t="s">
        <v>180</v>
      </c>
      <c r="C367" s="41" t="s">
        <v>87</v>
      </c>
      <c r="D367" s="41" t="s">
        <v>105</v>
      </c>
      <c r="E367" s="41" t="s">
        <v>102</v>
      </c>
      <c r="F367" s="41" t="s">
        <v>79</v>
      </c>
      <c r="G367" s="42" t="n">
        <v>81.68</v>
      </c>
      <c r="H367" s="41" t="n">
        <v>4</v>
      </c>
      <c r="I367" s="42" t="n">
        <v>16.336</v>
      </c>
      <c r="J367" s="42" t="n">
        <v>343.056</v>
      </c>
      <c r="K367" s="43" t="n">
        <v>43471</v>
      </c>
      <c r="L367" s="44" t="n">
        <v>0.508333333333333</v>
      </c>
      <c r="M367" s="41" t="s">
        <v>97</v>
      </c>
      <c r="N367" s="42" t="n">
        <v>326.72</v>
      </c>
      <c r="O367" s="42" t="n">
        <v>16.336</v>
      </c>
      <c r="P367" s="45" t="n">
        <v>9.1</v>
      </c>
      <c r="Q367" s="41" t="str">
        <f aca="false">CHOOSE(MONTH(K367),"Jan","Feb","Mar","Apr","May","Jun","Jul","Aug","Sep","Oct","Nov","Dec")</f>
        <v>Jan</v>
      </c>
      <c r="R367" s="41" t="n">
        <f aca="false">INT((K367-setMinDate)/7)+1</f>
        <v>1</v>
      </c>
      <c r="S367" s="41" t="n">
        <f aca="false">HOUR(L367)</f>
        <v>12</v>
      </c>
      <c r="T367" s="41" t="str">
        <f aca="false">IF(S367&lt;setMorningEnd,"Morning",IF(S367&lt;setAfternoonEnd,"Afternoon","Evening"))</f>
        <v>Afternoon</v>
      </c>
      <c r="U367" s="41" t="str">
        <f aca="false">IF(J367&gt;=setLarge,"Large",IF(J367&gt;=setMedium,"Medium","Small"))</f>
        <v>Medium</v>
      </c>
      <c r="V367" s="41" t="str">
        <f aca="false">IF(P367&gt;=setExc,"Excellent",IF(P367&gt;=setGood,"Good",IF(P367&gt;=setAvg,"Average","Poor")))</f>
        <v>Excellent</v>
      </c>
    </row>
    <row r="368" customFormat="false" ht="15" hidden="false" customHeight="false" outlineLevel="0" collapsed="false">
      <c r="A368" s="41" t="s">
        <v>546</v>
      </c>
      <c r="B368" s="41" t="s">
        <v>180</v>
      </c>
      <c r="C368" s="41" t="s">
        <v>87</v>
      </c>
      <c r="D368" s="41" t="s">
        <v>105</v>
      </c>
      <c r="E368" s="41" t="s">
        <v>102</v>
      </c>
      <c r="F368" s="41" t="s">
        <v>78</v>
      </c>
      <c r="G368" s="42" t="n">
        <v>51.32</v>
      </c>
      <c r="H368" s="41" t="n">
        <v>9</v>
      </c>
      <c r="I368" s="42" t="n">
        <v>23.094</v>
      </c>
      <c r="J368" s="42" t="n">
        <v>484.974</v>
      </c>
      <c r="K368" s="43" t="n">
        <v>43538</v>
      </c>
      <c r="L368" s="44" t="n">
        <v>0.814583333333333</v>
      </c>
      <c r="M368" s="41" t="s">
        <v>97</v>
      </c>
      <c r="N368" s="42" t="n">
        <v>461.88</v>
      </c>
      <c r="O368" s="42" t="n">
        <v>23.094</v>
      </c>
      <c r="P368" s="45" t="n">
        <v>5.6</v>
      </c>
      <c r="Q368" s="41" t="str">
        <f aca="false">CHOOSE(MONTH(K368),"Jan","Feb","Mar","Apr","May","Jun","Jul","Aug","Sep","Oct","Nov","Dec")</f>
        <v>Mar</v>
      </c>
      <c r="R368" s="41" t="n">
        <f aca="false">INT((K368-setMinDate)/7)+1</f>
        <v>11</v>
      </c>
      <c r="S368" s="41" t="n">
        <f aca="false">HOUR(L368)</f>
        <v>19</v>
      </c>
      <c r="T368" s="41" t="str">
        <f aca="false">IF(S368&lt;setMorningEnd,"Morning",IF(S368&lt;setAfternoonEnd,"Afternoon","Evening"))</f>
        <v>Evening</v>
      </c>
      <c r="U368" s="41" t="str">
        <f aca="false">IF(J368&gt;=setLarge,"Large",IF(J368&gt;=setMedium,"Medium","Small"))</f>
        <v>Medium</v>
      </c>
      <c r="V368" s="41" t="str">
        <f aca="false">IF(P368&gt;=setExc,"Excellent",IF(P368&gt;=setGood,"Good",IF(P368&gt;=setAvg,"Average","Poor")))</f>
        <v>Average</v>
      </c>
    </row>
    <row r="369" customFormat="false" ht="15" hidden="false" customHeight="false" outlineLevel="0" collapsed="false">
      <c r="A369" s="41" t="s">
        <v>547</v>
      </c>
      <c r="B369" s="41" t="s">
        <v>178</v>
      </c>
      <c r="C369" s="41" t="s">
        <v>85</v>
      </c>
      <c r="D369" s="41" t="s">
        <v>104</v>
      </c>
      <c r="E369" s="41" t="s">
        <v>103</v>
      </c>
      <c r="F369" s="41" t="s">
        <v>80</v>
      </c>
      <c r="G369" s="42" t="n">
        <v>65.94</v>
      </c>
      <c r="H369" s="41" t="n">
        <v>4</v>
      </c>
      <c r="I369" s="42" t="n">
        <v>13.188</v>
      </c>
      <c r="J369" s="42" t="n">
        <v>276.948</v>
      </c>
      <c r="K369" s="43" t="n">
        <v>43548</v>
      </c>
      <c r="L369" s="44" t="n">
        <v>0.436805555555556</v>
      </c>
      <c r="M369" s="41" t="s">
        <v>97</v>
      </c>
      <c r="N369" s="42" t="n">
        <v>263.76</v>
      </c>
      <c r="O369" s="42" t="n">
        <v>13.188</v>
      </c>
      <c r="P369" s="45" t="n">
        <v>6</v>
      </c>
      <c r="Q369" s="41" t="str">
        <f aca="false">CHOOSE(MONTH(K369),"Jan","Feb","Mar","Apr","May","Jun","Jul","Aug","Sep","Oct","Nov","Dec")</f>
        <v>Mar</v>
      </c>
      <c r="R369" s="41" t="n">
        <f aca="false">INT((K369-setMinDate)/7)+1</f>
        <v>12</v>
      </c>
      <c r="S369" s="41" t="n">
        <f aca="false">HOUR(L369)</f>
        <v>10</v>
      </c>
      <c r="T369" s="41" t="str">
        <f aca="false">IF(S369&lt;setMorningEnd,"Morning",IF(S369&lt;setAfternoonEnd,"Afternoon","Evening"))</f>
        <v>Morning</v>
      </c>
      <c r="U369" s="41" t="str">
        <f aca="false">IF(J369&gt;=setLarge,"Large",IF(J369&gt;=setMedium,"Medium","Small"))</f>
        <v>Medium</v>
      </c>
      <c r="V369" s="41" t="str">
        <f aca="false">IF(P369&gt;=setExc,"Excellent",IF(P369&gt;=setGood,"Good",IF(P369&gt;=setAvg,"Average","Poor")))</f>
        <v>Average</v>
      </c>
    </row>
    <row r="370" customFormat="false" ht="15" hidden="false" customHeight="false" outlineLevel="0" collapsed="false">
      <c r="A370" s="41" t="s">
        <v>548</v>
      </c>
      <c r="B370" s="41" t="s">
        <v>180</v>
      </c>
      <c r="C370" s="41" t="s">
        <v>87</v>
      </c>
      <c r="D370" s="41" t="s">
        <v>105</v>
      </c>
      <c r="E370" s="41" t="s">
        <v>102</v>
      </c>
      <c r="F370" s="41" t="s">
        <v>77</v>
      </c>
      <c r="G370" s="42" t="n">
        <v>14.36</v>
      </c>
      <c r="H370" s="41" t="n">
        <v>10</v>
      </c>
      <c r="I370" s="42" t="n">
        <v>7.18</v>
      </c>
      <c r="J370" s="42" t="n">
        <v>150.78</v>
      </c>
      <c r="K370" s="43" t="n">
        <v>43492</v>
      </c>
      <c r="L370" s="44" t="n">
        <v>0.602777777777778</v>
      </c>
      <c r="M370" s="41" t="s">
        <v>97</v>
      </c>
      <c r="N370" s="42" t="n">
        <v>143.6</v>
      </c>
      <c r="O370" s="42" t="n">
        <v>7.18</v>
      </c>
      <c r="P370" s="45" t="n">
        <v>5.4</v>
      </c>
      <c r="Q370" s="41" t="str">
        <f aca="false">CHOOSE(MONTH(K370),"Jan","Feb","Mar","Apr","May","Jun","Jul","Aug","Sep","Oct","Nov","Dec")</f>
        <v>Jan</v>
      </c>
      <c r="R370" s="41" t="n">
        <f aca="false">INT((K370-setMinDate)/7)+1</f>
        <v>4</v>
      </c>
      <c r="S370" s="41" t="n">
        <f aca="false">HOUR(L370)</f>
        <v>14</v>
      </c>
      <c r="T370" s="41" t="str">
        <f aca="false">IF(S370&lt;setMorningEnd,"Morning",IF(S370&lt;setAfternoonEnd,"Afternoon","Evening"))</f>
        <v>Afternoon</v>
      </c>
      <c r="U370" s="41" t="str">
        <f aca="false">IF(J370&gt;=setLarge,"Large",IF(J370&gt;=setMedium,"Medium","Small"))</f>
        <v>Small</v>
      </c>
      <c r="V370" s="41" t="str">
        <f aca="false">IF(P370&gt;=setExc,"Excellent",IF(P370&gt;=setGood,"Good",IF(P370&gt;=setAvg,"Average","Poor")))</f>
        <v>Average</v>
      </c>
    </row>
    <row r="371" customFormat="false" ht="15" hidden="false" customHeight="false" outlineLevel="0" collapsed="false">
      <c r="A371" s="41" t="s">
        <v>549</v>
      </c>
      <c r="B371" s="41" t="s">
        <v>178</v>
      </c>
      <c r="C371" s="41" t="s">
        <v>85</v>
      </c>
      <c r="D371" s="41" t="s">
        <v>104</v>
      </c>
      <c r="E371" s="41" t="s">
        <v>103</v>
      </c>
      <c r="F371" s="41" t="s">
        <v>78</v>
      </c>
      <c r="G371" s="42" t="n">
        <v>21.5</v>
      </c>
      <c r="H371" s="41" t="n">
        <v>9</v>
      </c>
      <c r="I371" s="42" t="n">
        <v>9.675</v>
      </c>
      <c r="J371" s="42" t="n">
        <v>203.175</v>
      </c>
      <c r="K371" s="43" t="n">
        <v>43530</v>
      </c>
      <c r="L371" s="44" t="n">
        <v>0.531944444444444</v>
      </c>
      <c r="M371" s="41" t="s">
        <v>99</v>
      </c>
      <c r="N371" s="42" t="n">
        <v>193.5</v>
      </c>
      <c r="O371" s="42" t="n">
        <v>9.675</v>
      </c>
      <c r="P371" s="45" t="n">
        <v>7.8</v>
      </c>
      <c r="Q371" s="41" t="str">
        <f aca="false">CHOOSE(MONTH(K371),"Jan","Feb","Mar","Apr","May","Jun","Jul","Aug","Sep","Oct","Nov","Dec")</f>
        <v>Mar</v>
      </c>
      <c r="R371" s="41" t="n">
        <f aca="false">INT((K371-setMinDate)/7)+1</f>
        <v>10</v>
      </c>
      <c r="S371" s="41" t="n">
        <f aca="false">HOUR(L371)</f>
        <v>12</v>
      </c>
      <c r="T371" s="41" t="str">
        <f aca="false">IF(S371&lt;setMorningEnd,"Morning",IF(S371&lt;setAfternoonEnd,"Afternoon","Evening"))</f>
        <v>Afternoon</v>
      </c>
      <c r="U371" s="41" t="str">
        <f aca="false">IF(J371&gt;=setLarge,"Large",IF(J371&gt;=setMedium,"Medium","Small"))</f>
        <v>Small</v>
      </c>
      <c r="V371" s="41" t="str">
        <f aca="false">IF(P371&gt;=setExc,"Excellent",IF(P371&gt;=setGood,"Good",IF(P371&gt;=setAvg,"Average","Poor")))</f>
        <v>Good</v>
      </c>
    </row>
    <row r="372" customFormat="false" ht="15" hidden="false" customHeight="false" outlineLevel="0" collapsed="false">
      <c r="A372" s="41" t="s">
        <v>550</v>
      </c>
      <c r="B372" s="41" t="s">
        <v>189</v>
      </c>
      <c r="C372" s="41" t="s">
        <v>86</v>
      </c>
      <c r="D372" s="41" t="s">
        <v>104</v>
      </c>
      <c r="E372" s="41" t="s">
        <v>102</v>
      </c>
      <c r="F372" s="41" t="s">
        <v>78</v>
      </c>
      <c r="G372" s="42" t="n">
        <v>26.26</v>
      </c>
      <c r="H372" s="41" t="n">
        <v>7</v>
      </c>
      <c r="I372" s="42" t="n">
        <v>9.191</v>
      </c>
      <c r="J372" s="42" t="n">
        <v>193.011</v>
      </c>
      <c r="K372" s="43" t="n">
        <v>43498</v>
      </c>
      <c r="L372" s="44" t="n">
        <v>0.819444444444444</v>
      </c>
      <c r="M372" s="41" t="s">
        <v>97</v>
      </c>
      <c r="N372" s="42" t="n">
        <v>183.82</v>
      </c>
      <c r="O372" s="42" t="n">
        <v>9.191</v>
      </c>
      <c r="P372" s="45" t="n">
        <v>9.9</v>
      </c>
      <c r="Q372" s="41" t="str">
        <f aca="false">CHOOSE(MONTH(K372),"Jan","Feb","Mar","Apr","May","Jun","Jul","Aug","Sep","Oct","Nov","Dec")</f>
        <v>Feb</v>
      </c>
      <c r="R372" s="41" t="n">
        <f aca="false">INT((K372-setMinDate)/7)+1</f>
        <v>5</v>
      </c>
      <c r="S372" s="41" t="n">
        <f aca="false">HOUR(L372)</f>
        <v>19</v>
      </c>
      <c r="T372" s="41" t="str">
        <f aca="false">IF(S372&lt;setMorningEnd,"Morning",IF(S372&lt;setAfternoonEnd,"Afternoon","Evening"))</f>
        <v>Evening</v>
      </c>
      <c r="U372" s="41" t="str">
        <f aca="false">IF(J372&gt;=setLarge,"Large",IF(J372&gt;=setMedium,"Medium","Small"))</f>
        <v>Small</v>
      </c>
      <c r="V372" s="41" t="str">
        <f aca="false">IF(P372&gt;=setExc,"Excellent",IF(P372&gt;=setGood,"Good",IF(P372&gt;=setAvg,"Average","Poor")))</f>
        <v>Excellent</v>
      </c>
    </row>
    <row r="373" customFormat="false" ht="15" hidden="false" customHeight="false" outlineLevel="0" collapsed="false">
      <c r="A373" s="41" t="s">
        <v>551</v>
      </c>
      <c r="B373" s="41" t="s">
        <v>189</v>
      </c>
      <c r="C373" s="41" t="s">
        <v>86</v>
      </c>
      <c r="D373" s="41" t="s">
        <v>105</v>
      </c>
      <c r="E373" s="41" t="s">
        <v>102</v>
      </c>
      <c r="F373" s="41" t="s">
        <v>79</v>
      </c>
      <c r="G373" s="42" t="n">
        <v>60.96</v>
      </c>
      <c r="H373" s="41" t="n">
        <v>2</v>
      </c>
      <c r="I373" s="42" t="n">
        <v>6.096</v>
      </c>
      <c r="J373" s="42" t="n">
        <v>128.016</v>
      </c>
      <c r="K373" s="43" t="n">
        <v>43490</v>
      </c>
      <c r="L373" s="44" t="n">
        <v>0.81875</v>
      </c>
      <c r="M373" s="41" t="s">
        <v>99</v>
      </c>
      <c r="N373" s="42" t="n">
        <v>121.92</v>
      </c>
      <c r="O373" s="42" t="n">
        <v>6.096</v>
      </c>
      <c r="P373" s="45" t="n">
        <v>4.9</v>
      </c>
      <c r="Q373" s="41" t="str">
        <f aca="false">CHOOSE(MONTH(K373),"Jan","Feb","Mar","Apr","May","Jun","Jul","Aug","Sep","Oct","Nov","Dec")</f>
        <v>Jan</v>
      </c>
      <c r="R373" s="41" t="n">
        <f aca="false">INT((K373-setMinDate)/7)+1</f>
        <v>4</v>
      </c>
      <c r="S373" s="41" t="n">
        <f aca="false">HOUR(L373)</f>
        <v>19</v>
      </c>
      <c r="T373" s="41" t="str">
        <f aca="false">IF(S373&lt;setMorningEnd,"Morning",IF(S373&lt;setAfternoonEnd,"Afternoon","Evening"))</f>
        <v>Evening</v>
      </c>
      <c r="U373" s="41" t="str">
        <f aca="false">IF(J373&gt;=setLarge,"Large",IF(J373&gt;=setMedium,"Medium","Small"))</f>
        <v>Small</v>
      </c>
      <c r="V373" s="41" t="str">
        <f aca="false">IF(P373&gt;=setExc,"Excellent",IF(P373&gt;=setGood,"Good",IF(P373&gt;=setAvg,"Average","Poor")))</f>
        <v>Poor</v>
      </c>
    </row>
    <row r="374" customFormat="false" ht="15" hidden="false" customHeight="false" outlineLevel="0" collapsed="false">
      <c r="A374" s="41" t="s">
        <v>552</v>
      </c>
      <c r="B374" s="41" t="s">
        <v>180</v>
      </c>
      <c r="C374" s="41" t="s">
        <v>87</v>
      </c>
      <c r="D374" s="41" t="s">
        <v>105</v>
      </c>
      <c r="E374" s="41" t="s">
        <v>102</v>
      </c>
      <c r="F374" s="41" t="s">
        <v>80</v>
      </c>
      <c r="G374" s="42" t="n">
        <v>70.11</v>
      </c>
      <c r="H374" s="41" t="n">
        <v>6</v>
      </c>
      <c r="I374" s="42" t="n">
        <v>21.033</v>
      </c>
      <c r="J374" s="42" t="n">
        <v>441.693</v>
      </c>
      <c r="K374" s="43" t="n">
        <v>43538</v>
      </c>
      <c r="L374" s="44" t="n">
        <v>0.745833333333333</v>
      </c>
      <c r="M374" s="41" t="s">
        <v>98</v>
      </c>
      <c r="N374" s="42" t="n">
        <v>420.66</v>
      </c>
      <c r="O374" s="42" t="n">
        <v>21.033</v>
      </c>
      <c r="P374" s="45" t="n">
        <v>5.2</v>
      </c>
      <c r="Q374" s="41" t="str">
        <f aca="false">CHOOSE(MONTH(K374),"Jan","Feb","Mar","Apr","May","Jun","Jul","Aug","Sep","Oct","Nov","Dec")</f>
        <v>Mar</v>
      </c>
      <c r="R374" s="41" t="n">
        <f aca="false">INT((K374-setMinDate)/7)+1</f>
        <v>11</v>
      </c>
      <c r="S374" s="41" t="n">
        <f aca="false">HOUR(L374)</f>
        <v>17</v>
      </c>
      <c r="T374" s="41" t="str">
        <f aca="false">IF(S374&lt;setMorningEnd,"Morning",IF(S374&lt;setAfternoonEnd,"Afternoon","Evening"))</f>
        <v>Evening</v>
      </c>
      <c r="U374" s="41" t="str">
        <f aca="false">IF(J374&gt;=setLarge,"Large",IF(J374&gt;=setMedium,"Medium","Small"))</f>
        <v>Medium</v>
      </c>
      <c r="V374" s="41" t="str">
        <f aca="false">IF(P374&gt;=setExc,"Excellent",IF(P374&gt;=setGood,"Good",IF(P374&gt;=setAvg,"Average","Poor")))</f>
        <v>Average</v>
      </c>
    </row>
    <row r="375" customFormat="false" ht="15" hidden="false" customHeight="false" outlineLevel="0" collapsed="false">
      <c r="A375" s="41" t="s">
        <v>553</v>
      </c>
      <c r="B375" s="41" t="s">
        <v>180</v>
      </c>
      <c r="C375" s="41" t="s">
        <v>87</v>
      </c>
      <c r="D375" s="41" t="s">
        <v>105</v>
      </c>
      <c r="E375" s="41" t="s">
        <v>103</v>
      </c>
      <c r="F375" s="41" t="s">
        <v>79</v>
      </c>
      <c r="G375" s="42" t="n">
        <v>42.08</v>
      </c>
      <c r="H375" s="41" t="n">
        <v>6</v>
      </c>
      <c r="I375" s="42" t="n">
        <v>12.624</v>
      </c>
      <c r="J375" s="42" t="n">
        <v>265.104</v>
      </c>
      <c r="K375" s="43" t="n">
        <v>43494</v>
      </c>
      <c r="L375" s="44" t="n">
        <v>0.517361111111111</v>
      </c>
      <c r="M375" s="41" t="s">
        <v>97</v>
      </c>
      <c r="N375" s="42" t="n">
        <v>252.48</v>
      </c>
      <c r="O375" s="42" t="n">
        <v>12.624</v>
      </c>
      <c r="P375" s="45" t="n">
        <v>8.9</v>
      </c>
      <c r="Q375" s="41" t="str">
        <f aca="false">CHOOSE(MONTH(K375),"Jan","Feb","Mar","Apr","May","Jun","Jul","Aug","Sep","Oct","Nov","Dec")</f>
        <v>Jan</v>
      </c>
      <c r="R375" s="41" t="n">
        <f aca="false">INT((K375-setMinDate)/7)+1</f>
        <v>5</v>
      </c>
      <c r="S375" s="41" t="n">
        <f aca="false">HOUR(L375)</f>
        <v>12</v>
      </c>
      <c r="T375" s="41" t="str">
        <f aca="false">IF(S375&lt;setMorningEnd,"Morning",IF(S375&lt;setAfternoonEnd,"Afternoon","Evening"))</f>
        <v>Afternoon</v>
      </c>
      <c r="U375" s="41" t="str">
        <f aca="false">IF(J375&gt;=setLarge,"Large",IF(J375&gt;=setMedium,"Medium","Small"))</f>
        <v>Medium</v>
      </c>
      <c r="V375" s="41" t="str">
        <f aca="false">IF(P375&gt;=setExc,"Excellent",IF(P375&gt;=setGood,"Good",IF(P375&gt;=setAvg,"Average","Poor")))</f>
        <v>Good</v>
      </c>
    </row>
    <row r="376" customFormat="false" ht="15" hidden="false" customHeight="false" outlineLevel="0" collapsed="false">
      <c r="A376" s="41" t="s">
        <v>554</v>
      </c>
      <c r="B376" s="41" t="s">
        <v>178</v>
      </c>
      <c r="C376" s="41" t="s">
        <v>85</v>
      </c>
      <c r="D376" s="41" t="s">
        <v>105</v>
      </c>
      <c r="E376" s="41" t="s">
        <v>102</v>
      </c>
      <c r="F376" s="41" t="s">
        <v>80</v>
      </c>
      <c r="G376" s="42" t="n">
        <v>67.09</v>
      </c>
      <c r="H376" s="41" t="n">
        <v>5</v>
      </c>
      <c r="I376" s="42" t="n">
        <v>16.7725</v>
      </c>
      <c r="J376" s="42" t="n">
        <v>352.2225</v>
      </c>
      <c r="K376" s="43" t="n">
        <v>43468</v>
      </c>
      <c r="L376" s="44" t="n">
        <v>0.699305555555556</v>
      </c>
      <c r="M376" s="41" t="s">
        <v>99</v>
      </c>
      <c r="N376" s="42" t="n">
        <v>335.45</v>
      </c>
      <c r="O376" s="42" t="n">
        <v>16.7725</v>
      </c>
      <c r="P376" s="45" t="n">
        <v>9.1</v>
      </c>
      <c r="Q376" s="41" t="str">
        <f aca="false">CHOOSE(MONTH(K376),"Jan","Feb","Mar","Apr","May","Jun","Jul","Aug","Sep","Oct","Nov","Dec")</f>
        <v>Jan</v>
      </c>
      <c r="R376" s="41" t="n">
        <f aca="false">INT((K376-setMinDate)/7)+1</f>
        <v>1</v>
      </c>
      <c r="S376" s="41" t="n">
        <f aca="false">HOUR(L376)</f>
        <v>16</v>
      </c>
      <c r="T376" s="41" t="str">
        <f aca="false">IF(S376&lt;setMorningEnd,"Morning",IF(S376&lt;setAfternoonEnd,"Afternoon","Evening"))</f>
        <v>Afternoon</v>
      </c>
      <c r="U376" s="41" t="str">
        <f aca="false">IF(J376&gt;=setLarge,"Large",IF(J376&gt;=setMedium,"Medium","Small"))</f>
        <v>Medium</v>
      </c>
      <c r="V376" s="41" t="str">
        <f aca="false">IF(P376&gt;=setExc,"Excellent",IF(P376&gt;=setGood,"Good",IF(P376&gt;=setAvg,"Average","Poor")))</f>
        <v>Excellent</v>
      </c>
    </row>
    <row r="377" customFormat="false" ht="15" hidden="false" customHeight="false" outlineLevel="0" collapsed="false">
      <c r="A377" s="41" t="s">
        <v>555</v>
      </c>
      <c r="B377" s="41" t="s">
        <v>178</v>
      </c>
      <c r="C377" s="41" t="s">
        <v>85</v>
      </c>
      <c r="D377" s="41" t="s">
        <v>104</v>
      </c>
      <c r="E377" s="41" t="s">
        <v>102</v>
      </c>
      <c r="F377" s="41" t="s">
        <v>79</v>
      </c>
      <c r="G377" s="42" t="n">
        <v>96.7</v>
      </c>
      <c r="H377" s="41" t="n">
        <v>5</v>
      </c>
      <c r="I377" s="42" t="n">
        <v>24.175</v>
      </c>
      <c r="J377" s="42" t="n">
        <v>507.675</v>
      </c>
      <c r="K377" s="43" t="n">
        <v>43479</v>
      </c>
      <c r="L377" s="44" t="n">
        <v>0.536111111111111</v>
      </c>
      <c r="M377" s="41" t="s">
        <v>98</v>
      </c>
      <c r="N377" s="42" t="n">
        <v>483.5</v>
      </c>
      <c r="O377" s="42" t="n">
        <v>24.175</v>
      </c>
      <c r="P377" s="45" t="n">
        <v>7</v>
      </c>
      <c r="Q377" s="41" t="str">
        <f aca="false">CHOOSE(MONTH(K377),"Jan","Feb","Mar","Apr","May","Jun","Jul","Aug","Sep","Oct","Nov","Dec")</f>
        <v>Jan</v>
      </c>
      <c r="R377" s="41" t="n">
        <f aca="false">INT((K377-setMinDate)/7)+1</f>
        <v>2</v>
      </c>
      <c r="S377" s="41" t="n">
        <f aca="false">HOUR(L377)</f>
        <v>12</v>
      </c>
      <c r="T377" s="41" t="str">
        <f aca="false">IF(S377&lt;setMorningEnd,"Morning",IF(S377&lt;setAfternoonEnd,"Afternoon","Evening"))</f>
        <v>Afternoon</v>
      </c>
      <c r="U377" s="41" t="str">
        <f aca="false">IF(J377&gt;=setLarge,"Large",IF(J377&gt;=setMedium,"Medium","Small"))</f>
        <v>Medium</v>
      </c>
      <c r="V377" s="41" t="str">
        <f aca="false">IF(P377&gt;=setExc,"Excellent",IF(P377&gt;=setGood,"Good",IF(P377&gt;=setAvg,"Average","Poor")))</f>
        <v>Good</v>
      </c>
    </row>
    <row r="378" customFormat="false" ht="15" hidden="false" customHeight="false" outlineLevel="0" collapsed="false">
      <c r="A378" s="41" t="s">
        <v>556</v>
      </c>
      <c r="B378" s="41" t="s">
        <v>189</v>
      </c>
      <c r="C378" s="41" t="s">
        <v>86</v>
      </c>
      <c r="D378" s="41" t="s">
        <v>104</v>
      </c>
      <c r="E378" s="41" t="s">
        <v>102</v>
      </c>
      <c r="F378" s="41" t="s">
        <v>80</v>
      </c>
      <c r="G378" s="42" t="n">
        <v>35.38</v>
      </c>
      <c r="H378" s="41" t="n">
        <v>9</v>
      </c>
      <c r="I378" s="42" t="n">
        <v>15.921</v>
      </c>
      <c r="J378" s="42" t="n">
        <v>334.341</v>
      </c>
      <c r="K378" s="43" t="n">
        <v>43470</v>
      </c>
      <c r="L378" s="44" t="n">
        <v>0.826388888888889</v>
      </c>
      <c r="M378" s="41" t="s">
        <v>99</v>
      </c>
      <c r="N378" s="42" t="n">
        <v>318.42</v>
      </c>
      <c r="O378" s="42" t="n">
        <v>15.921</v>
      </c>
      <c r="P378" s="45" t="n">
        <v>9.6</v>
      </c>
      <c r="Q378" s="41" t="str">
        <f aca="false">CHOOSE(MONTH(K378),"Jan","Feb","Mar","Apr","May","Jun","Jul","Aug","Sep","Oct","Nov","Dec")</f>
        <v>Jan</v>
      </c>
      <c r="R378" s="41" t="n">
        <f aca="false">INT((K378-setMinDate)/7)+1</f>
        <v>1</v>
      </c>
      <c r="S378" s="41" t="n">
        <f aca="false">HOUR(L378)</f>
        <v>19</v>
      </c>
      <c r="T378" s="41" t="str">
        <f aca="false">IF(S378&lt;setMorningEnd,"Morning",IF(S378&lt;setAfternoonEnd,"Afternoon","Evening"))</f>
        <v>Evening</v>
      </c>
      <c r="U378" s="41" t="str">
        <f aca="false">IF(J378&gt;=setLarge,"Large",IF(J378&gt;=setMedium,"Medium","Small"))</f>
        <v>Medium</v>
      </c>
      <c r="V378" s="41" t="str">
        <f aca="false">IF(P378&gt;=setExc,"Excellent",IF(P378&gt;=setGood,"Good",IF(P378&gt;=setAvg,"Average","Poor")))</f>
        <v>Excellent</v>
      </c>
    </row>
    <row r="379" customFormat="false" ht="15" hidden="false" customHeight="false" outlineLevel="0" collapsed="false">
      <c r="A379" s="41" t="s">
        <v>557</v>
      </c>
      <c r="B379" s="41" t="s">
        <v>180</v>
      </c>
      <c r="C379" s="41" t="s">
        <v>87</v>
      </c>
      <c r="D379" s="41" t="s">
        <v>105</v>
      </c>
      <c r="E379" s="41" t="s">
        <v>103</v>
      </c>
      <c r="F379" s="41" t="s">
        <v>77</v>
      </c>
      <c r="G379" s="42" t="n">
        <v>95.49</v>
      </c>
      <c r="H379" s="41" t="n">
        <v>7</v>
      </c>
      <c r="I379" s="42" t="n">
        <v>33.4215</v>
      </c>
      <c r="J379" s="42" t="n">
        <v>701.8515</v>
      </c>
      <c r="K379" s="43" t="n">
        <v>43518</v>
      </c>
      <c r="L379" s="44" t="n">
        <v>0.761805555555556</v>
      </c>
      <c r="M379" s="41" t="s">
        <v>98</v>
      </c>
      <c r="N379" s="42" t="n">
        <v>668.43</v>
      </c>
      <c r="O379" s="42" t="n">
        <v>33.4215</v>
      </c>
      <c r="P379" s="45" t="n">
        <v>8.7</v>
      </c>
      <c r="Q379" s="41" t="str">
        <f aca="false">CHOOSE(MONTH(K379),"Jan","Feb","Mar","Apr","May","Jun","Jul","Aug","Sep","Oct","Nov","Dec")</f>
        <v>Feb</v>
      </c>
      <c r="R379" s="41" t="n">
        <f aca="false">INT((K379-setMinDate)/7)+1</f>
        <v>8</v>
      </c>
      <c r="S379" s="41" t="n">
        <f aca="false">HOUR(L379)</f>
        <v>18</v>
      </c>
      <c r="T379" s="41" t="str">
        <f aca="false">IF(S379&lt;setMorningEnd,"Morning",IF(S379&lt;setAfternoonEnd,"Afternoon","Evening"))</f>
        <v>Evening</v>
      </c>
      <c r="U379" s="41" t="str">
        <f aca="false">IF(J379&gt;=setLarge,"Large",IF(J379&gt;=setMedium,"Medium","Small"))</f>
        <v>Large</v>
      </c>
      <c r="V379" s="41" t="str">
        <f aca="false">IF(P379&gt;=setExc,"Excellent",IF(P379&gt;=setGood,"Good",IF(P379&gt;=setAvg,"Average","Poor")))</f>
        <v>Good</v>
      </c>
    </row>
    <row r="380" customFormat="false" ht="15" hidden="false" customHeight="false" outlineLevel="0" collapsed="false">
      <c r="A380" s="41" t="s">
        <v>558</v>
      </c>
      <c r="B380" s="41" t="s">
        <v>180</v>
      </c>
      <c r="C380" s="41" t="s">
        <v>87</v>
      </c>
      <c r="D380" s="41" t="s">
        <v>104</v>
      </c>
      <c r="E380" s="41" t="s">
        <v>103</v>
      </c>
      <c r="F380" s="41" t="s">
        <v>79</v>
      </c>
      <c r="G380" s="42" t="n">
        <v>96.98</v>
      </c>
      <c r="H380" s="41" t="n">
        <v>4</v>
      </c>
      <c r="I380" s="42" t="n">
        <v>19.396</v>
      </c>
      <c r="J380" s="42" t="n">
        <v>407.316</v>
      </c>
      <c r="K380" s="43" t="n">
        <v>43502</v>
      </c>
      <c r="L380" s="44" t="n">
        <v>0.722222222222222</v>
      </c>
      <c r="M380" s="41" t="s">
        <v>98</v>
      </c>
      <c r="N380" s="42" t="n">
        <v>387.92</v>
      </c>
      <c r="O380" s="42" t="n">
        <v>19.396</v>
      </c>
      <c r="P380" s="45" t="n">
        <v>9.4</v>
      </c>
      <c r="Q380" s="41" t="str">
        <f aca="false">CHOOSE(MONTH(K380),"Jan","Feb","Mar","Apr","May","Jun","Jul","Aug","Sep","Oct","Nov","Dec")</f>
        <v>Feb</v>
      </c>
      <c r="R380" s="41" t="n">
        <f aca="false">INT((K380-setMinDate)/7)+1</f>
        <v>6</v>
      </c>
      <c r="S380" s="41" t="n">
        <f aca="false">HOUR(L380)</f>
        <v>17</v>
      </c>
      <c r="T380" s="41" t="str">
        <f aca="false">IF(S380&lt;setMorningEnd,"Morning",IF(S380&lt;setAfternoonEnd,"Afternoon","Evening"))</f>
        <v>Evening</v>
      </c>
      <c r="U380" s="41" t="str">
        <f aca="false">IF(J380&gt;=setLarge,"Large",IF(J380&gt;=setMedium,"Medium","Small"))</f>
        <v>Medium</v>
      </c>
      <c r="V380" s="41" t="str">
        <f aca="false">IF(P380&gt;=setExc,"Excellent",IF(P380&gt;=setGood,"Good",IF(P380&gt;=setAvg,"Average","Poor")))</f>
        <v>Excellent</v>
      </c>
    </row>
    <row r="381" customFormat="false" ht="15" hidden="false" customHeight="false" outlineLevel="0" collapsed="false">
      <c r="A381" s="41" t="s">
        <v>559</v>
      </c>
      <c r="B381" s="41" t="s">
        <v>189</v>
      </c>
      <c r="C381" s="41" t="s">
        <v>86</v>
      </c>
      <c r="D381" s="41" t="s">
        <v>105</v>
      </c>
      <c r="E381" s="41" t="s">
        <v>102</v>
      </c>
      <c r="F381" s="41" t="s">
        <v>78</v>
      </c>
      <c r="G381" s="42" t="n">
        <v>23.65</v>
      </c>
      <c r="H381" s="41" t="n">
        <v>4</v>
      </c>
      <c r="I381" s="42" t="n">
        <v>4.73</v>
      </c>
      <c r="J381" s="42" t="n">
        <v>99.33</v>
      </c>
      <c r="K381" s="43" t="n">
        <v>43495</v>
      </c>
      <c r="L381" s="44" t="n">
        <v>0.563888888888889</v>
      </c>
      <c r="M381" s="41" t="s">
        <v>99</v>
      </c>
      <c r="N381" s="42" t="n">
        <v>94.6</v>
      </c>
      <c r="O381" s="42" t="n">
        <v>4.73</v>
      </c>
      <c r="P381" s="45" t="n">
        <v>4</v>
      </c>
      <c r="Q381" s="41" t="str">
        <f aca="false">CHOOSE(MONTH(K381),"Jan","Feb","Mar","Apr","May","Jun","Jul","Aug","Sep","Oct","Nov","Dec")</f>
        <v>Jan</v>
      </c>
      <c r="R381" s="41" t="n">
        <f aca="false">INT((K381-setMinDate)/7)+1</f>
        <v>5</v>
      </c>
      <c r="S381" s="41" t="n">
        <f aca="false">HOUR(L381)</f>
        <v>13</v>
      </c>
      <c r="T381" s="41" t="str">
        <f aca="false">IF(S381&lt;setMorningEnd,"Morning",IF(S381&lt;setAfternoonEnd,"Afternoon","Evening"))</f>
        <v>Afternoon</v>
      </c>
      <c r="U381" s="41" t="str">
        <f aca="false">IF(J381&gt;=setLarge,"Large",IF(J381&gt;=setMedium,"Medium","Small"))</f>
        <v>Small</v>
      </c>
      <c r="V381" s="41" t="str">
        <f aca="false">IF(P381&gt;=setExc,"Excellent",IF(P381&gt;=setGood,"Good",IF(P381&gt;=setAvg,"Average","Poor")))</f>
        <v>Poor</v>
      </c>
    </row>
    <row r="382" customFormat="false" ht="15" hidden="false" customHeight="false" outlineLevel="0" collapsed="false">
      <c r="A382" s="41" t="s">
        <v>560</v>
      </c>
      <c r="B382" s="41" t="s">
        <v>178</v>
      </c>
      <c r="C382" s="41" t="s">
        <v>85</v>
      </c>
      <c r="D382" s="41" t="s">
        <v>104</v>
      </c>
      <c r="E382" s="41" t="s">
        <v>103</v>
      </c>
      <c r="F382" s="41" t="s">
        <v>77</v>
      </c>
      <c r="G382" s="42" t="n">
        <v>82.33</v>
      </c>
      <c r="H382" s="41" t="n">
        <v>4</v>
      </c>
      <c r="I382" s="42" t="n">
        <v>16.466</v>
      </c>
      <c r="J382" s="42" t="n">
        <v>345.786</v>
      </c>
      <c r="K382" s="43" t="n">
        <v>43476</v>
      </c>
      <c r="L382" s="44" t="n">
        <v>0.442361111111111</v>
      </c>
      <c r="M382" s="41" t="s">
        <v>99</v>
      </c>
      <c r="N382" s="42" t="n">
        <v>329.32</v>
      </c>
      <c r="O382" s="42" t="n">
        <v>16.466</v>
      </c>
      <c r="P382" s="45" t="n">
        <v>7.5</v>
      </c>
      <c r="Q382" s="41" t="str">
        <f aca="false">CHOOSE(MONTH(K382),"Jan","Feb","Mar","Apr","May","Jun","Jul","Aug","Sep","Oct","Nov","Dec")</f>
        <v>Jan</v>
      </c>
      <c r="R382" s="41" t="n">
        <f aca="false">INT((K382-setMinDate)/7)+1</f>
        <v>2</v>
      </c>
      <c r="S382" s="41" t="n">
        <f aca="false">HOUR(L382)</f>
        <v>10</v>
      </c>
      <c r="T382" s="41" t="str">
        <f aca="false">IF(S382&lt;setMorningEnd,"Morning",IF(S382&lt;setAfternoonEnd,"Afternoon","Evening"))</f>
        <v>Morning</v>
      </c>
      <c r="U382" s="41" t="str">
        <f aca="false">IF(J382&gt;=setLarge,"Large",IF(J382&gt;=setMedium,"Medium","Small"))</f>
        <v>Medium</v>
      </c>
      <c r="V382" s="41" t="str">
        <f aca="false">IF(P382&gt;=setExc,"Excellent",IF(P382&gt;=setGood,"Good",IF(P382&gt;=setAvg,"Average","Poor")))</f>
        <v>Good</v>
      </c>
    </row>
    <row r="383" customFormat="false" ht="15" hidden="false" customHeight="false" outlineLevel="0" collapsed="false">
      <c r="A383" s="41" t="s">
        <v>561</v>
      </c>
      <c r="B383" s="41" t="s">
        <v>180</v>
      </c>
      <c r="C383" s="41" t="s">
        <v>87</v>
      </c>
      <c r="D383" s="41" t="s">
        <v>105</v>
      </c>
      <c r="E383" s="41" t="s">
        <v>102</v>
      </c>
      <c r="F383" s="41" t="s">
        <v>78</v>
      </c>
      <c r="G383" s="42" t="n">
        <v>26.61</v>
      </c>
      <c r="H383" s="41" t="n">
        <v>2</v>
      </c>
      <c r="I383" s="42" t="n">
        <v>2.661</v>
      </c>
      <c r="J383" s="42" t="n">
        <v>55.881</v>
      </c>
      <c r="K383" s="43" t="n">
        <v>43543</v>
      </c>
      <c r="L383" s="44" t="n">
        <v>0.607638888888889</v>
      </c>
      <c r="M383" s="41" t="s">
        <v>97</v>
      </c>
      <c r="N383" s="42" t="n">
        <v>53.22</v>
      </c>
      <c r="O383" s="42" t="n">
        <v>2.661</v>
      </c>
      <c r="P383" s="45" t="n">
        <v>4.2</v>
      </c>
      <c r="Q383" s="41" t="str">
        <f aca="false">CHOOSE(MONTH(K383),"Jan","Feb","Mar","Apr","May","Jun","Jul","Aug","Sep","Oct","Nov","Dec")</f>
        <v>Mar</v>
      </c>
      <c r="R383" s="41" t="n">
        <f aca="false">INT((K383-setMinDate)/7)+1</f>
        <v>12</v>
      </c>
      <c r="S383" s="41" t="n">
        <f aca="false">HOUR(L383)</f>
        <v>14</v>
      </c>
      <c r="T383" s="41" t="str">
        <f aca="false">IF(S383&lt;setMorningEnd,"Morning",IF(S383&lt;setAfternoonEnd,"Afternoon","Evening"))</f>
        <v>Afternoon</v>
      </c>
      <c r="U383" s="41" t="str">
        <f aca="false">IF(J383&gt;=setLarge,"Large",IF(J383&gt;=setMedium,"Medium","Small"))</f>
        <v>Small</v>
      </c>
      <c r="V383" s="41" t="str">
        <f aca="false">IF(P383&gt;=setExc,"Excellent",IF(P383&gt;=setGood,"Good",IF(P383&gt;=setAvg,"Average","Poor")))</f>
        <v>Poor</v>
      </c>
    </row>
    <row r="384" customFormat="false" ht="15" hidden="false" customHeight="false" outlineLevel="0" collapsed="false">
      <c r="A384" s="41" t="s">
        <v>562</v>
      </c>
      <c r="B384" s="41" t="s">
        <v>189</v>
      </c>
      <c r="C384" s="41" t="s">
        <v>86</v>
      </c>
      <c r="D384" s="41" t="s">
        <v>105</v>
      </c>
      <c r="E384" s="41" t="s">
        <v>102</v>
      </c>
      <c r="F384" s="41" t="s">
        <v>76</v>
      </c>
      <c r="G384" s="42" t="n">
        <v>99.69</v>
      </c>
      <c r="H384" s="41" t="n">
        <v>5</v>
      </c>
      <c r="I384" s="42" t="n">
        <v>24.9225</v>
      </c>
      <c r="J384" s="42" t="n">
        <v>523.3725</v>
      </c>
      <c r="K384" s="43" t="n">
        <v>43479</v>
      </c>
      <c r="L384" s="44" t="n">
        <v>0.50625</v>
      </c>
      <c r="M384" s="41" t="s">
        <v>97</v>
      </c>
      <c r="N384" s="42" t="n">
        <v>498.45</v>
      </c>
      <c r="O384" s="42" t="n">
        <v>24.9225</v>
      </c>
      <c r="P384" s="45" t="n">
        <v>9.9</v>
      </c>
      <c r="Q384" s="41" t="str">
        <f aca="false">CHOOSE(MONTH(K384),"Jan","Feb","Mar","Apr","May","Jun","Jul","Aug","Sep","Oct","Nov","Dec")</f>
        <v>Jan</v>
      </c>
      <c r="R384" s="41" t="n">
        <f aca="false">INT((K384-setMinDate)/7)+1</f>
        <v>2</v>
      </c>
      <c r="S384" s="41" t="n">
        <f aca="false">HOUR(L384)</f>
        <v>12</v>
      </c>
      <c r="T384" s="41" t="str">
        <f aca="false">IF(S384&lt;setMorningEnd,"Morning",IF(S384&lt;setAfternoonEnd,"Afternoon","Evening"))</f>
        <v>Afternoon</v>
      </c>
      <c r="U384" s="41" t="str">
        <f aca="false">IF(J384&gt;=setLarge,"Large",IF(J384&gt;=setMedium,"Medium","Small"))</f>
        <v>Medium</v>
      </c>
      <c r="V384" s="41" t="str">
        <f aca="false">IF(P384&gt;=setExc,"Excellent",IF(P384&gt;=setGood,"Good",IF(P384&gt;=setAvg,"Average","Poor")))</f>
        <v>Excellent</v>
      </c>
    </row>
    <row r="385" customFormat="false" ht="15" hidden="false" customHeight="false" outlineLevel="0" collapsed="false">
      <c r="A385" s="41" t="s">
        <v>563</v>
      </c>
      <c r="B385" s="41" t="s">
        <v>180</v>
      </c>
      <c r="C385" s="41" t="s">
        <v>87</v>
      </c>
      <c r="D385" s="41" t="s">
        <v>104</v>
      </c>
      <c r="E385" s="41" t="s">
        <v>102</v>
      </c>
      <c r="F385" s="41" t="s">
        <v>76</v>
      </c>
      <c r="G385" s="42" t="n">
        <v>74.89</v>
      </c>
      <c r="H385" s="41" t="n">
        <v>4</v>
      </c>
      <c r="I385" s="42" t="n">
        <v>14.978</v>
      </c>
      <c r="J385" s="42" t="n">
        <v>314.538</v>
      </c>
      <c r="K385" s="43" t="n">
        <v>43525</v>
      </c>
      <c r="L385" s="44" t="n">
        <v>0.647222222222222</v>
      </c>
      <c r="M385" s="41" t="s">
        <v>98</v>
      </c>
      <c r="N385" s="42" t="n">
        <v>299.56</v>
      </c>
      <c r="O385" s="42" t="n">
        <v>14.978</v>
      </c>
      <c r="P385" s="45" t="n">
        <v>4.2</v>
      </c>
      <c r="Q385" s="41" t="str">
        <f aca="false">CHOOSE(MONTH(K385),"Jan","Feb","Mar","Apr","May","Jun","Jul","Aug","Sep","Oct","Nov","Dec")</f>
        <v>Mar</v>
      </c>
      <c r="R385" s="41" t="n">
        <f aca="false">INT((K385-setMinDate)/7)+1</f>
        <v>9</v>
      </c>
      <c r="S385" s="41" t="n">
        <f aca="false">HOUR(L385)</f>
        <v>15</v>
      </c>
      <c r="T385" s="41" t="str">
        <f aca="false">IF(S385&lt;setMorningEnd,"Morning",IF(S385&lt;setAfternoonEnd,"Afternoon","Evening"))</f>
        <v>Afternoon</v>
      </c>
      <c r="U385" s="41" t="str">
        <f aca="false">IF(J385&gt;=setLarge,"Large",IF(J385&gt;=setMedium,"Medium","Small"))</f>
        <v>Medium</v>
      </c>
      <c r="V385" s="41" t="str">
        <f aca="false">IF(P385&gt;=setExc,"Excellent",IF(P385&gt;=setGood,"Good",IF(P385&gt;=setAvg,"Average","Poor")))</f>
        <v>Poor</v>
      </c>
    </row>
    <row r="386" customFormat="false" ht="15" hidden="false" customHeight="false" outlineLevel="0" collapsed="false">
      <c r="A386" s="41" t="s">
        <v>564</v>
      </c>
      <c r="B386" s="41" t="s">
        <v>178</v>
      </c>
      <c r="C386" s="41" t="s">
        <v>85</v>
      </c>
      <c r="D386" s="41" t="s">
        <v>105</v>
      </c>
      <c r="E386" s="41" t="s">
        <v>102</v>
      </c>
      <c r="F386" s="41" t="s">
        <v>76</v>
      </c>
      <c r="G386" s="42" t="n">
        <v>40.94</v>
      </c>
      <c r="H386" s="41" t="n">
        <v>5</v>
      </c>
      <c r="I386" s="42" t="n">
        <v>10.235</v>
      </c>
      <c r="J386" s="42" t="n">
        <v>214.935</v>
      </c>
      <c r="K386" s="43" t="n">
        <v>43471</v>
      </c>
      <c r="L386" s="44" t="n">
        <v>0.581944444444445</v>
      </c>
      <c r="M386" s="41" t="s">
        <v>98</v>
      </c>
      <c r="N386" s="42" t="n">
        <v>204.7</v>
      </c>
      <c r="O386" s="42" t="n">
        <v>10.235</v>
      </c>
      <c r="P386" s="45" t="n">
        <v>9.9</v>
      </c>
      <c r="Q386" s="41" t="str">
        <f aca="false">CHOOSE(MONTH(K386),"Jan","Feb","Mar","Apr","May","Jun","Jul","Aug","Sep","Oct","Nov","Dec")</f>
        <v>Jan</v>
      </c>
      <c r="R386" s="41" t="n">
        <f aca="false">INT((K386-setMinDate)/7)+1</f>
        <v>1</v>
      </c>
      <c r="S386" s="41" t="n">
        <f aca="false">HOUR(L386)</f>
        <v>13</v>
      </c>
      <c r="T386" s="41" t="str">
        <f aca="false">IF(S386&lt;setMorningEnd,"Morning",IF(S386&lt;setAfternoonEnd,"Afternoon","Evening"))</f>
        <v>Afternoon</v>
      </c>
      <c r="U386" s="41" t="str">
        <f aca="false">IF(J386&gt;=setLarge,"Large",IF(J386&gt;=setMedium,"Medium","Small"))</f>
        <v>Small</v>
      </c>
      <c r="V386" s="41" t="str">
        <f aca="false">IF(P386&gt;=setExc,"Excellent",IF(P386&gt;=setGood,"Good",IF(P386&gt;=setAvg,"Average","Poor")))</f>
        <v>Excellent</v>
      </c>
    </row>
    <row r="387" customFormat="false" ht="15" hidden="false" customHeight="false" outlineLevel="0" collapsed="false">
      <c r="A387" s="41" t="s">
        <v>565</v>
      </c>
      <c r="B387" s="41" t="s">
        <v>189</v>
      </c>
      <c r="C387" s="41" t="s">
        <v>86</v>
      </c>
      <c r="D387" s="41" t="s">
        <v>104</v>
      </c>
      <c r="E387" s="41" t="s">
        <v>103</v>
      </c>
      <c r="F387" s="41" t="s">
        <v>77</v>
      </c>
      <c r="G387" s="42" t="n">
        <v>75.82</v>
      </c>
      <c r="H387" s="41" t="n">
        <v>1</v>
      </c>
      <c r="I387" s="42" t="n">
        <v>3.791</v>
      </c>
      <c r="J387" s="42" t="n">
        <v>79.611</v>
      </c>
      <c r="K387" s="43" t="n">
        <v>43496</v>
      </c>
      <c r="L387" s="44" t="n">
        <v>0.554861111111111</v>
      </c>
      <c r="M387" s="41" t="s">
        <v>97</v>
      </c>
      <c r="N387" s="42" t="n">
        <v>75.82</v>
      </c>
      <c r="O387" s="42" t="n">
        <v>3.791</v>
      </c>
      <c r="P387" s="45" t="n">
        <v>5.8</v>
      </c>
      <c r="Q387" s="41" t="str">
        <f aca="false">CHOOSE(MONTH(K387),"Jan","Feb","Mar","Apr","May","Jun","Jul","Aug","Sep","Oct","Nov","Dec")</f>
        <v>Jan</v>
      </c>
      <c r="R387" s="41" t="n">
        <f aca="false">INT((K387-setMinDate)/7)+1</f>
        <v>5</v>
      </c>
      <c r="S387" s="41" t="n">
        <f aca="false">HOUR(L387)</f>
        <v>13</v>
      </c>
      <c r="T387" s="41" t="str">
        <f aca="false">IF(S387&lt;setMorningEnd,"Morning",IF(S387&lt;setAfternoonEnd,"Afternoon","Evening"))</f>
        <v>Afternoon</v>
      </c>
      <c r="U387" s="41" t="str">
        <f aca="false">IF(J387&gt;=setLarge,"Large",IF(J387&gt;=setMedium,"Medium","Small"))</f>
        <v>Small</v>
      </c>
      <c r="V387" s="41" t="str">
        <f aca="false">IF(P387&gt;=setExc,"Excellent",IF(P387&gt;=setGood,"Good",IF(P387&gt;=setAvg,"Average","Poor")))</f>
        <v>Average</v>
      </c>
    </row>
    <row r="388" customFormat="false" ht="15" hidden="false" customHeight="false" outlineLevel="0" collapsed="false">
      <c r="A388" s="41" t="s">
        <v>566</v>
      </c>
      <c r="B388" s="41" t="s">
        <v>180</v>
      </c>
      <c r="C388" s="41" t="s">
        <v>87</v>
      </c>
      <c r="D388" s="41" t="s">
        <v>105</v>
      </c>
      <c r="E388" s="41" t="s">
        <v>103</v>
      </c>
      <c r="F388" s="41" t="s">
        <v>76</v>
      </c>
      <c r="G388" s="42" t="n">
        <v>46.77</v>
      </c>
      <c r="H388" s="41" t="n">
        <v>6</v>
      </c>
      <c r="I388" s="42" t="n">
        <v>14.031</v>
      </c>
      <c r="J388" s="42" t="n">
        <v>294.651</v>
      </c>
      <c r="K388" s="43" t="n">
        <v>43535</v>
      </c>
      <c r="L388" s="44" t="n">
        <v>0.567361111111111</v>
      </c>
      <c r="M388" s="41" t="s">
        <v>97</v>
      </c>
      <c r="N388" s="42" t="n">
        <v>280.62</v>
      </c>
      <c r="O388" s="42" t="n">
        <v>14.031</v>
      </c>
      <c r="P388" s="45" t="n">
        <v>6</v>
      </c>
      <c r="Q388" s="41" t="str">
        <f aca="false">CHOOSE(MONTH(K388),"Jan","Feb","Mar","Apr","May","Jun","Jul","Aug","Sep","Oct","Nov","Dec")</f>
        <v>Mar</v>
      </c>
      <c r="R388" s="41" t="n">
        <f aca="false">INT((K388-setMinDate)/7)+1</f>
        <v>10</v>
      </c>
      <c r="S388" s="41" t="n">
        <f aca="false">HOUR(L388)</f>
        <v>13</v>
      </c>
      <c r="T388" s="41" t="str">
        <f aca="false">IF(S388&lt;setMorningEnd,"Morning",IF(S388&lt;setAfternoonEnd,"Afternoon","Evening"))</f>
        <v>Afternoon</v>
      </c>
      <c r="U388" s="41" t="str">
        <f aca="false">IF(J388&gt;=setLarge,"Large",IF(J388&gt;=setMedium,"Medium","Small"))</f>
        <v>Medium</v>
      </c>
      <c r="V388" s="41" t="str">
        <f aca="false">IF(P388&gt;=setExc,"Excellent",IF(P388&gt;=setGood,"Good",IF(P388&gt;=setAvg,"Average","Poor")))</f>
        <v>Average</v>
      </c>
    </row>
    <row r="389" customFormat="false" ht="15" hidden="false" customHeight="false" outlineLevel="0" collapsed="false">
      <c r="A389" s="41" t="s">
        <v>567</v>
      </c>
      <c r="B389" s="41" t="s">
        <v>178</v>
      </c>
      <c r="C389" s="41" t="s">
        <v>85</v>
      </c>
      <c r="D389" s="41" t="s">
        <v>105</v>
      </c>
      <c r="E389" s="41" t="s">
        <v>102</v>
      </c>
      <c r="F389" s="41" t="s">
        <v>81</v>
      </c>
      <c r="G389" s="42" t="n">
        <v>32.32</v>
      </c>
      <c r="H389" s="41" t="n">
        <v>10</v>
      </c>
      <c r="I389" s="42" t="n">
        <v>16.16</v>
      </c>
      <c r="J389" s="42" t="n">
        <v>339.36</v>
      </c>
      <c r="K389" s="43" t="n">
        <v>43516</v>
      </c>
      <c r="L389" s="44" t="n">
        <v>0.700694444444444</v>
      </c>
      <c r="M389" s="41" t="s">
        <v>99</v>
      </c>
      <c r="N389" s="42" t="n">
        <v>323.2</v>
      </c>
      <c r="O389" s="42" t="n">
        <v>16.16</v>
      </c>
      <c r="P389" s="45" t="n">
        <v>10</v>
      </c>
      <c r="Q389" s="41" t="str">
        <f aca="false">CHOOSE(MONTH(K389),"Jan","Feb","Mar","Apr","May","Jun","Jul","Aug","Sep","Oct","Nov","Dec")</f>
        <v>Feb</v>
      </c>
      <c r="R389" s="41" t="n">
        <f aca="false">INT((K389-setMinDate)/7)+1</f>
        <v>8</v>
      </c>
      <c r="S389" s="41" t="n">
        <f aca="false">HOUR(L389)</f>
        <v>16</v>
      </c>
      <c r="T389" s="41" t="str">
        <f aca="false">IF(S389&lt;setMorningEnd,"Morning",IF(S389&lt;setAfternoonEnd,"Afternoon","Evening"))</f>
        <v>Afternoon</v>
      </c>
      <c r="U389" s="41" t="str">
        <f aca="false">IF(J389&gt;=setLarge,"Large",IF(J389&gt;=setMedium,"Medium","Small"))</f>
        <v>Medium</v>
      </c>
      <c r="V389" s="41" t="str">
        <f aca="false">IF(P389&gt;=setExc,"Excellent",IF(P389&gt;=setGood,"Good",IF(P389&gt;=setAvg,"Average","Poor")))</f>
        <v>Excellent</v>
      </c>
    </row>
    <row r="390" customFormat="false" ht="15" hidden="false" customHeight="false" outlineLevel="0" collapsed="false">
      <c r="A390" s="41" t="s">
        <v>568</v>
      </c>
      <c r="B390" s="41" t="s">
        <v>180</v>
      </c>
      <c r="C390" s="41" t="s">
        <v>87</v>
      </c>
      <c r="D390" s="41" t="s">
        <v>104</v>
      </c>
      <c r="E390" s="41" t="s">
        <v>102</v>
      </c>
      <c r="F390" s="41" t="s">
        <v>79</v>
      </c>
      <c r="G390" s="42" t="n">
        <v>54.07</v>
      </c>
      <c r="H390" s="41" t="n">
        <v>9</v>
      </c>
      <c r="I390" s="42" t="n">
        <v>24.3315</v>
      </c>
      <c r="J390" s="42" t="n">
        <v>510.9615</v>
      </c>
      <c r="K390" s="43" t="n">
        <v>43492</v>
      </c>
      <c r="L390" s="44" t="n">
        <v>0.621527777777778</v>
      </c>
      <c r="M390" s="41" t="s">
        <v>98</v>
      </c>
      <c r="N390" s="42" t="n">
        <v>486.63</v>
      </c>
      <c r="O390" s="42" t="n">
        <v>24.3315</v>
      </c>
      <c r="P390" s="45" t="n">
        <v>9.5</v>
      </c>
      <c r="Q390" s="41" t="str">
        <f aca="false">CHOOSE(MONTH(K390),"Jan","Feb","Mar","Apr","May","Jun","Jul","Aug","Sep","Oct","Nov","Dec")</f>
        <v>Jan</v>
      </c>
      <c r="R390" s="41" t="n">
        <f aca="false">INT((K390-setMinDate)/7)+1</f>
        <v>4</v>
      </c>
      <c r="S390" s="41" t="n">
        <f aca="false">HOUR(L390)</f>
        <v>14</v>
      </c>
      <c r="T390" s="41" t="str">
        <f aca="false">IF(S390&lt;setMorningEnd,"Morning",IF(S390&lt;setAfternoonEnd,"Afternoon","Evening"))</f>
        <v>Afternoon</v>
      </c>
      <c r="U390" s="41" t="str">
        <f aca="false">IF(J390&gt;=setLarge,"Large",IF(J390&gt;=setMedium,"Medium","Small"))</f>
        <v>Medium</v>
      </c>
      <c r="V390" s="41" t="str">
        <f aca="false">IF(P390&gt;=setExc,"Excellent",IF(P390&gt;=setGood,"Good",IF(P390&gt;=setAvg,"Average","Poor")))</f>
        <v>Excellent</v>
      </c>
    </row>
    <row r="391" customFormat="false" ht="15" hidden="false" customHeight="false" outlineLevel="0" collapsed="false">
      <c r="A391" s="41" t="s">
        <v>569</v>
      </c>
      <c r="B391" s="41" t="s">
        <v>189</v>
      </c>
      <c r="C391" s="41" t="s">
        <v>86</v>
      </c>
      <c r="D391" s="41" t="s">
        <v>105</v>
      </c>
      <c r="E391" s="41" t="s">
        <v>103</v>
      </c>
      <c r="F391" s="41" t="s">
        <v>76</v>
      </c>
      <c r="G391" s="42" t="n">
        <v>18.22</v>
      </c>
      <c r="H391" s="41" t="n">
        <v>7</v>
      </c>
      <c r="I391" s="42" t="n">
        <v>6.377</v>
      </c>
      <c r="J391" s="42" t="n">
        <v>133.917</v>
      </c>
      <c r="K391" s="43" t="n">
        <v>43534</v>
      </c>
      <c r="L391" s="44" t="n">
        <v>0.586111111111111</v>
      </c>
      <c r="M391" s="41" t="s">
        <v>99</v>
      </c>
      <c r="N391" s="42" t="n">
        <v>127.54</v>
      </c>
      <c r="O391" s="42" t="n">
        <v>6.377</v>
      </c>
      <c r="P391" s="45" t="n">
        <v>6.6</v>
      </c>
      <c r="Q391" s="41" t="str">
        <f aca="false">CHOOSE(MONTH(K391),"Jan","Feb","Mar","Apr","May","Jun","Jul","Aug","Sep","Oct","Nov","Dec")</f>
        <v>Mar</v>
      </c>
      <c r="R391" s="41" t="n">
        <f aca="false">INT((K391-setMinDate)/7)+1</f>
        <v>10</v>
      </c>
      <c r="S391" s="41" t="n">
        <f aca="false">HOUR(L391)</f>
        <v>14</v>
      </c>
      <c r="T391" s="41" t="str">
        <f aca="false">IF(S391&lt;setMorningEnd,"Morning",IF(S391&lt;setAfternoonEnd,"Afternoon","Evening"))</f>
        <v>Afternoon</v>
      </c>
      <c r="U391" s="41" t="str">
        <f aca="false">IF(J391&gt;=setLarge,"Large",IF(J391&gt;=setMedium,"Medium","Small"))</f>
        <v>Small</v>
      </c>
      <c r="V391" s="41" t="str">
        <f aca="false">IF(P391&gt;=setExc,"Excellent",IF(P391&gt;=setGood,"Good",IF(P391&gt;=setAvg,"Average","Poor")))</f>
        <v>Average</v>
      </c>
    </row>
    <row r="392" customFormat="false" ht="15" hidden="false" customHeight="false" outlineLevel="0" collapsed="false">
      <c r="A392" s="41" t="s">
        <v>570</v>
      </c>
      <c r="B392" s="41" t="s">
        <v>180</v>
      </c>
      <c r="C392" s="41" t="s">
        <v>87</v>
      </c>
      <c r="D392" s="41" t="s">
        <v>104</v>
      </c>
      <c r="E392" s="41" t="s">
        <v>102</v>
      </c>
      <c r="F392" s="41" t="s">
        <v>79</v>
      </c>
      <c r="G392" s="42" t="n">
        <v>80.48</v>
      </c>
      <c r="H392" s="41" t="n">
        <v>3</v>
      </c>
      <c r="I392" s="42" t="n">
        <v>12.072</v>
      </c>
      <c r="J392" s="42" t="n">
        <v>253.512</v>
      </c>
      <c r="K392" s="43" t="n">
        <v>43511</v>
      </c>
      <c r="L392" s="44" t="n">
        <v>0.521527777777778</v>
      </c>
      <c r="M392" s="41" t="s">
        <v>97</v>
      </c>
      <c r="N392" s="42" t="n">
        <v>241.44</v>
      </c>
      <c r="O392" s="42" t="n">
        <v>12.072</v>
      </c>
      <c r="P392" s="45" t="n">
        <v>8.1</v>
      </c>
      <c r="Q392" s="41" t="str">
        <f aca="false">CHOOSE(MONTH(K392),"Jan","Feb","Mar","Apr","May","Jun","Jul","Aug","Sep","Oct","Nov","Dec")</f>
        <v>Feb</v>
      </c>
      <c r="R392" s="41" t="n">
        <f aca="false">INT((K392-setMinDate)/7)+1</f>
        <v>7</v>
      </c>
      <c r="S392" s="41" t="n">
        <f aca="false">HOUR(L392)</f>
        <v>12</v>
      </c>
      <c r="T392" s="41" t="str">
        <f aca="false">IF(S392&lt;setMorningEnd,"Morning",IF(S392&lt;setAfternoonEnd,"Afternoon","Evening"))</f>
        <v>Afternoon</v>
      </c>
      <c r="U392" s="41" t="str">
        <f aca="false">IF(J392&gt;=setLarge,"Large",IF(J392&gt;=setMedium,"Medium","Small"))</f>
        <v>Medium</v>
      </c>
      <c r="V392" s="41" t="str">
        <f aca="false">IF(P392&gt;=setExc,"Excellent",IF(P392&gt;=setGood,"Good",IF(P392&gt;=setAvg,"Average","Poor")))</f>
        <v>Good</v>
      </c>
    </row>
    <row r="393" customFormat="false" ht="15" hidden="false" customHeight="false" outlineLevel="0" collapsed="false">
      <c r="A393" s="41" t="s">
        <v>571</v>
      </c>
      <c r="B393" s="41" t="s">
        <v>189</v>
      </c>
      <c r="C393" s="41" t="s">
        <v>86</v>
      </c>
      <c r="D393" s="41" t="s">
        <v>105</v>
      </c>
      <c r="E393" s="41" t="s">
        <v>102</v>
      </c>
      <c r="F393" s="41" t="s">
        <v>79</v>
      </c>
      <c r="G393" s="42" t="n">
        <v>37.95</v>
      </c>
      <c r="H393" s="41" t="n">
        <v>10</v>
      </c>
      <c r="I393" s="42" t="n">
        <v>18.975</v>
      </c>
      <c r="J393" s="42" t="n">
        <v>398.475</v>
      </c>
      <c r="K393" s="43" t="n">
        <v>43491</v>
      </c>
      <c r="L393" s="44" t="n">
        <v>0.61875</v>
      </c>
      <c r="M393" s="41" t="s">
        <v>97</v>
      </c>
      <c r="N393" s="42" t="n">
        <v>379.5</v>
      </c>
      <c r="O393" s="42" t="n">
        <v>18.975</v>
      </c>
      <c r="P393" s="45" t="n">
        <v>9.7</v>
      </c>
      <c r="Q393" s="41" t="str">
        <f aca="false">CHOOSE(MONTH(K393),"Jan","Feb","Mar","Apr","May","Jun","Jul","Aug","Sep","Oct","Nov","Dec")</f>
        <v>Jan</v>
      </c>
      <c r="R393" s="41" t="n">
        <f aca="false">INT((K393-setMinDate)/7)+1</f>
        <v>4</v>
      </c>
      <c r="S393" s="41" t="n">
        <f aca="false">HOUR(L393)</f>
        <v>14</v>
      </c>
      <c r="T393" s="41" t="str">
        <f aca="false">IF(S393&lt;setMorningEnd,"Morning",IF(S393&lt;setAfternoonEnd,"Afternoon","Evening"))</f>
        <v>Afternoon</v>
      </c>
      <c r="U393" s="41" t="str">
        <f aca="false">IF(J393&gt;=setLarge,"Large",IF(J393&gt;=setMedium,"Medium","Small"))</f>
        <v>Medium</v>
      </c>
      <c r="V393" s="41" t="str">
        <f aca="false">IF(P393&gt;=setExc,"Excellent",IF(P393&gt;=setGood,"Good",IF(P393&gt;=setAvg,"Average","Poor")))</f>
        <v>Excellent</v>
      </c>
    </row>
    <row r="394" customFormat="false" ht="15" hidden="false" customHeight="false" outlineLevel="0" collapsed="false">
      <c r="A394" s="41" t="s">
        <v>572</v>
      </c>
      <c r="B394" s="41" t="s">
        <v>178</v>
      </c>
      <c r="C394" s="41" t="s">
        <v>85</v>
      </c>
      <c r="D394" s="41" t="s">
        <v>104</v>
      </c>
      <c r="E394" s="41" t="s">
        <v>103</v>
      </c>
      <c r="F394" s="41" t="s">
        <v>78</v>
      </c>
      <c r="G394" s="42" t="n">
        <v>76.82</v>
      </c>
      <c r="H394" s="41" t="n">
        <v>1</v>
      </c>
      <c r="I394" s="42" t="n">
        <v>3.841</v>
      </c>
      <c r="J394" s="42" t="n">
        <v>80.661</v>
      </c>
      <c r="K394" s="43" t="n">
        <v>43509</v>
      </c>
      <c r="L394" s="44" t="n">
        <v>0.76875</v>
      </c>
      <c r="M394" s="41" t="s">
        <v>98</v>
      </c>
      <c r="N394" s="42" t="n">
        <v>76.82</v>
      </c>
      <c r="O394" s="42" t="n">
        <v>3.841</v>
      </c>
      <c r="P394" s="45" t="n">
        <v>7.2</v>
      </c>
      <c r="Q394" s="41" t="str">
        <f aca="false">CHOOSE(MONTH(K394),"Jan","Feb","Mar","Apr","May","Jun","Jul","Aug","Sep","Oct","Nov","Dec")</f>
        <v>Feb</v>
      </c>
      <c r="R394" s="41" t="n">
        <f aca="false">INT((K394-setMinDate)/7)+1</f>
        <v>7</v>
      </c>
      <c r="S394" s="41" t="n">
        <f aca="false">HOUR(L394)</f>
        <v>18</v>
      </c>
      <c r="T394" s="41" t="str">
        <f aca="false">IF(S394&lt;setMorningEnd,"Morning",IF(S394&lt;setAfternoonEnd,"Afternoon","Evening"))</f>
        <v>Evening</v>
      </c>
      <c r="U394" s="41" t="str">
        <f aca="false">IF(J394&gt;=setLarge,"Large",IF(J394&gt;=setMedium,"Medium","Small"))</f>
        <v>Small</v>
      </c>
      <c r="V394" s="41" t="str">
        <f aca="false">IF(P394&gt;=setExc,"Excellent",IF(P394&gt;=setGood,"Good",IF(P394&gt;=setAvg,"Average","Poor")))</f>
        <v>Good</v>
      </c>
    </row>
    <row r="395" customFormat="false" ht="15" hidden="false" customHeight="false" outlineLevel="0" collapsed="false">
      <c r="A395" s="41" t="s">
        <v>573</v>
      </c>
      <c r="B395" s="41" t="s">
        <v>178</v>
      </c>
      <c r="C395" s="41" t="s">
        <v>85</v>
      </c>
      <c r="D395" s="41" t="s">
        <v>104</v>
      </c>
      <c r="E395" s="41" t="s">
        <v>102</v>
      </c>
      <c r="F395" s="41" t="s">
        <v>77</v>
      </c>
      <c r="G395" s="42" t="n">
        <v>52.26</v>
      </c>
      <c r="H395" s="41" t="n">
        <v>10</v>
      </c>
      <c r="I395" s="42" t="n">
        <v>26.13</v>
      </c>
      <c r="J395" s="42" t="n">
        <v>548.73</v>
      </c>
      <c r="K395" s="43" t="n">
        <v>43533</v>
      </c>
      <c r="L395" s="44" t="n">
        <v>0.53125</v>
      </c>
      <c r="M395" s="41" t="s">
        <v>99</v>
      </c>
      <c r="N395" s="42" t="n">
        <v>522.6</v>
      </c>
      <c r="O395" s="42" t="n">
        <v>26.13</v>
      </c>
      <c r="P395" s="45" t="n">
        <v>6.2</v>
      </c>
      <c r="Q395" s="41" t="str">
        <f aca="false">CHOOSE(MONTH(K395),"Jan","Feb","Mar","Apr","May","Jun","Jul","Aug","Sep","Oct","Nov","Dec")</f>
        <v>Mar</v>
      </c>
      <c r="R395" s="41" t="n">
        <f aca="false">INT((K395-setMinDate)/7)+1</f>
        <v>10</v>
      </c>
      <c r="S395" s="41" t="n">
        <f aca="false">HOUR(L395)</f>
        <v>12</v>
      </c>
      <c r="T395" s="41" t="str">
        <f aca="false">IF(S395&lt;setMorningEnd,"Morning",IF(S395&lt;setAfternoonEnd,"Afternoon","Evening"))</f>
        <v>Afternoon</v>
      </c>
      <c r="U395" s="41" t="str">
        <f aca="false">IF(J395&gt;=setLarge,"Large",IF(J395&gt;=setMedium,"Medium","Small"))</f>
        <v>Medium</v>
      </c>
      <c r="V395" s="41" t="str">
        <f aca="false">IF(P395&gt;=setExc,"Excellent",IF(P395&gt;=setGood,"Good",IF(P395&gt;=setAvg,"Average","Poor")))</f>
        <v>Average</v>
      </c>
    </row>
    <row r="396" customFormat="false" ht="15" hidden="false" customHeight="false" outlineLevel="0" collapsed="false">
      <c r="A396" s="41" t="s">
        <v>574</v>
      </c>
      <c r="B396" s="41" t="s">
        <v>178</v>
      </c>
      <c r="C396" s="41" t="s">
        <v>85</v>
      </c>
      <c r="D396" s="41" t="s">
        <v>105</v>
      </c>
      <c r="E396" s="41" t="s">
        <v>102</v>
      </c>
      <c r="F396" s="41" t="s">
        <v>81</v>
      </c>
      <c r="G396" s="42" t="n">
        <v>79.74</v>
      </c>
      <c r="H396" s="41" t="n">
        <v>1</v>
      </c>
      <c r="I396" s="42" t="n">
        <v>3.987</v>
      </c>
      <c r="J396" s="42" t="n">
        <v>83.727</v>
      </c>
      <c r="K396" s="43" t="n">
        <v>43530</v>
      </c>
      <c r="L396" s="44" t="n">
        <v>0.441666666666667</v>
      </c>
      <c r="M396" s="41" t="s">
        <v>98</v>
      </c>
      <c r="N396" s="42" t="n">
        <v>79.74</v>
      </c>
      <c r="O396" s="42" t="n">
        <v>3.987</v>
      </c>
      <c r="P396" s="45" t="n">
        <v>7.3</v>
      </c>
      <c r="Q396" s="41" t="str">
        <f aca="false">CHOOSE(MONTH(K396),"Jan","Feb","Mar","Apr","May","Jun","Jul","Aug","Sep","Oct","Nov","Dec")</f>
        <v>Mar</v>
      </c>
      <c r="R396" s="41" t="n">
        <f aca="false">INT((K396-setMinDate)/7)+1</f>
        <v>10</v>
      </c>
      <c r="S396" s="41" t="n">
        <f aca="false">HOUR(L396)</f>
        <v>10</v>
      </c>
      <c r="T396" s="41" t="str">
        <f aca="false">IF(S396&lt;setMorningEnd,"Morning",IF(S396&lt;setAfternoonEnd,"Afternoon","Evening"))</f>
        <v>Morning</v>
      </c>
      <c r="U396" s="41" t="str">
        <f aca="false">IF(J396&gt;=setLarge,"Large",IF(J396&gt;=setMedium,"Medium","Small"))</f>
        <v>Small</v>
      </c>
      <c r="V396" s="41" t="str">
        <f aca="false">IF(P396&gt;=setExc,"Excellent",IF(P396&gt;=setGood,"Good",IF(P396&gt;=setAvg,"Average","Poor")))</f>
        <v>Good</v>
      </c>
    </row>
    <row r="397" customFormat="false" ht="15" hidden="false" customHeight="false" outlineLevel="0" collapsed="false">
      <c r="A397" s="41" t="s">
        <v>575</v>
      </c>
      <c r="B397" s="41" t="s">
        <v>178</v>
      </c>
      <c r="C397" s="41" t="s">
        <v>85</v>
      </c>
      <c r="D397" s="41" t="s">
        <v>105</v>
      </c>
      <c r="E397" s="41" t="s">
        <v>102</v>
      </c>
      <c r="F397" s="41" t="s">
        <v>81</v>
      </c>
      <c r="G397" s="42" t="n">
        <v>77.5</v>
      </c>
      <c r="H397" s="41" t="n">
        <v>5</v>
      </c>
      <c r="I397" s="42" t="n">
        <v>19.375</v>
      </c>
      <c r="J397" s="42" t="n">
        <v>406.875</v>
      </c>
      <c r="K397" s="43" t="n">
        <v>43489</v>
      </c>
      <c r="L397" s="44" t="n">
        <v>0.858333333333333</v>
      </c>
      <c r="M397" s="41" t="s">
        <v>98</v>
      </c>
      <c r="N397" s="42" t="n">
        <v>387.5</v>
      </c>
      <c r="O397" s="42" t="n">
        <v>19.375</v>
      </c>
      <c r="P397" s="45" t="n">
        <v>4.3</v>
      </c>
      <c r="Q397" s="41" t="str">
        <f aca="false">CHOOSE(MONTH(K397),"Jan","Feb","Mar","Apr","May","Jun","Jul","Aug","Sep","Oct","Nov","Dec")</f>
        <v>Jan</v>
      </c>
      <c r="R397" s="41" t="n">
        <f aca="false">INT((K397-setMinDate)/7)+1</f>
        <v>4</v>
      </c>
      <c r="S397" s="41" t="n">
        <f aca="false">HOUR(L397)</f>
        <v>20</v>
      </c>
      <c r="T397" s="41" t="str">
        <f aca="false">IF(S397&lt;setMorningEnd,"Morning",IF(S397&lt;setAfternoonEnd,"Afternoon","Evening"))</f>
        <v>Evening</v>
      </c>
      <c r="U397" s="41" t="str">
        <f aca="false">IF(J397&gt;=setLarge,"Large",IF(J397&gt;=setMedium,"Medium","Small"))</f>
        <v>Medium</v>
      </c>
      <c r="V397" s="41" t="str">
        <f aca="false">IF(P397&gt;=setExc,"Excellent",IF(P397&gt;=setGood,"Good",IF(P397&gt;=setAvg,"Average","Poor")))</f>
        <v>Poor</v>
      </c>
    </row>
    <row r="398" customFormat="false" ht="15" hidden="false" customHeight="false" outlineLevel="0" collapsed="false">
      <c r="A398" s="41" t="s">
        <v>576</v>
      </c>
      <c r="B398" s="41" t="s">
        <v>178</v>
      </c>
      <c r="C398" s="41" t="s">
        <v>85</v>
      </c>
      <c r="D398" s="41" t="s">
        <v>105</v>
      </c>
      <c r="E398" s="41" t="s">
        <v>102</v>
      </c>
      <c r="F398" s="41" t="s">
        <v>76</v>
      </c>
      <c r="G398" s="42" t="n">
        <v>54.27</v>
      </c>
      <c r="H398" s="41" t="n">
        <v>5</v>
      </c>
      <c r="I398" s="42" t="n">
        <v>13.5675</v>
      </c>
      <c r="J398" s="42" t="n">
        <v>284.9175</v>
      </c>
      <c r="K398" s="43" t="n">
        <v>43537</v>
      </c>
      <c r="L398" s="44" t="n">
        <v>0.594444444444444</v>
      </c>
      <c r="M398" s="41" t="s">
        <v>98</v>
      </c>
      <c r="N398" s="42" t="n">
        <v>271.35</v>
      </c>
      <c r="O398" s="42" t="n">
        <v>13.5675</v>
      </c>
      <c r="P398" s="45" t="n">
        <v>4.6</v>
      </c>
      <c r="Q398" s="41" t="str">
        <f aca="false">CHOOSE(MONTH(K398),"Jan","Feb","Mar","Apr","May","Jun","Jul","Aug","Sep","Oct","Nov","Dec")</f>
        <v>Mar</v>
      </c>
      <c r="R398" s="41" t="n">
        <f aca="false">INT((K398-setMinDate)/7)+1</f>
        <v>11</v>
      </c>
      <c r="S398" s="41" t="n">
        <f aca="false">HOUR(L398)</f>
        <v>14</v>
      </c>
      <c r="T398" s="41" t="str">
        <f aca="false">IF(S398&lt;setMorningEnd,"Morning",IF(S398&lt;setAfternoonEnd,"Afternoon","Evening"))</f>
        <v>Afternoon</v>
      </c>
      <c r="U398" s="41" t="str">
        <f aca="false">IF(J398&gt;=setLarge,"Large",IF(J398&gt;=setMedium,"Medium","Small"))</f>
        <v>Medium</v>
      </c>
      <c r="V398" s="41" t="str">
        <f aca="false">IF(P398&gt;=setExc,"Excellent",IF(P398&gt;=setGood,"Good",IF(P398&gt;=setAvg,"Average","Poor")))</f>
        <v>Poor</v>
      </c>
    </row>
    <row r="399" customFormat="false" ht="15" hidden="false" customHeight="false" outlineLevel="0" collapsed="false">
      <c r="A399" s="41" t="s">
        <v>577</v>
      </c>
      <c r="B399" s="41" t="s">
        <v>189</v>
      </c>
      <c r="C399" s="41" t="s">
        <v>86</v>
      </c>
      <c r="D399" s="41" t="s">
        <v>105</v>
      </c>
      <c r="E399" s="41" t="s">
        <v>103</v>
      </c>
      <c r="F399" s="41" t="s">
        <v>80</v>
      </c>
      <c r="G399" s="42" t="n">
        <v>13.59</v>
      </c>
      <c r="H399" s="41" t="n">
        <v>9</v>
      </c>
      <c r="I399" s="42" t="n">
        <v>6.1155</v>
      </c>
      <c r="J399" s="42" t="n">
        <v>128.4255</v>
      </c>
      <c r="K399" s="43" t="n">
        <v>43539</v>
      </c>
      <c r="L399" s="44" t="n">
        <v>0.434722222222222</v>
      </c>
      <c r="M399" s="41" t="s">
        <v>97</v>
      </c>
      <c r="N399" s="42" t="n">
        <v>122.31</v>
      </c>
      <c r="O399" s="42" t="n">
        <v>6.1155</v>
      </c>
      <c r="P399" s="45" t="n">
        <v>5.8</v>
      </c>
      <c r="Q399" s="41" t="str">
        <f aca="false">CHOOSE(MONTH(K399),"Jan","Feb","Mar","Apr","May","Jun","Jul","Aug","Sep","Oct","Nov","Dec")</f>
        <v>Mar</v>
      </c>
      <c r="R399" s="41" t="n">
        <f aca="false">INT((K399-setMinDate)/7)+1</f>
        <v>11</v>
      </c>
      <c r="S399" s="41" t="n">
        <f aca="false">HOUR(L399)</f>
        <v>10</v>
      </c>
      <c r="T399" s="41" t="str">
        <f aca="false">IF(S399&lt;setMorningEnd,"Morning",IF(S399&lt;setAfternoonEnd,"Afternoon","Evening"))</f>
        <v>Morning</v>
      </c>
      <c r="U399" s="41" t="str">
        <f aca="false">IF(J399&gt;=setLarge,"Large",IF(J399&gt;=setMedium,"Medium","Small"))</f>
        <v>Small</v>
      </c>
      <c r="V399" s="41" t="str">
        <f aca="false">IF(P399&gt;=setExc,"Excellent",IF(P399&gt;=setGood,"Good",IF(P399&gt;=setAvg,"Average","Poor")))</f>
        <v>Average</v>
      </c>
    </row>
    <row r="400" customFormat="false" ht="15" hidden="false" customHeight="false" outlineLevel="0" collapsed="false">
      <c r="A400" s="41" t="s">
        <v>578</v>
      </c>
      <c r="B400" s="41" t="s">
        <v>189</v>
      </c>
      <c r="C400" s="41" t="s">
        <v>86</v>
      </c>
      <c r="D400" s="41" t="s">
        <v>104</v>
      </c>
      <c r="E400" s="41" t="s">
        <v>102</v>
      </c>
      <c r="F400" s="41" t="s">
        <v>81</v>
      </c>
      <c r="G400" s="42" t="n">
        <v>41.06</v>
      </c>
      <c r="H400" s="41" t="n">
        <v>6</v>
      </c>
      <c r="I400" s="42" t="n">
        <v>12.318</v>
      </c>
      <c r="J400" s="42" t="n">
        <v>258.678</v>
      </c>
      <c r="K400" s="43" t="n">
        <v>43529</v>
      </c>
      <c r="L400" s="44" t="n">
        <v>0.5625</v>
      </c>
      <c r="M400" s="41" t="s">
        <v>99</v>
      </c>
      <c r="N400" s="42" t="n">
        <v>246.36</v>
      </c>
      <c r="O400" s="42" t="n">
        <v>12.318</v>
      </c>
      <c r="P400" s="45" t="n">
        <v>8.3</v>
      </c>
      <c r="Q400" s="41" t="str">
        <f aca="false">CHOOSE(MONTH(K400),"Jan","Feb","Mar","Apr","May","Jun","Jul","Aug","Sep","Oct","Nov","Dec")</f>
        <v>Mar</v>
      </c>
      <c r="R400" s="41" t="n">
        <f aca="false">INT((K400-setMinDate)/7)+1</f>
        <v>10</v>
      </c>
      <c r="S400" s="41" t="n">
        <f aca="false">HOUR(L400)</f>
        <v>13</v>
      </c>
      <c r="T400" s="41" t="str">
        <f aca="false">IF(S400&lt;setMorningEnd,"Morning",IF(S400&lt;setAfternoonEnd,"Afternoon","Evening"))</f>
        <v>Afternoon</v>
      </c>
      <c r="U400" s="41" t="str">
        <f aca="false">IF(J400&gt;=setLarge,"Large",IF(J400&gt;=setMedium,"Medium","Small"))</f>
        <v>Medium</v>
      </c>
      <c r="V400" s="41" t="str">
        <f aca="false">IF(P400&gt;=setExc,"Excellent",IF(P400&gt;=setGood,"Good",IF(P400&gt;=setAvg,"Average","Poor")))</f>
        <v>Good</v>
      </c>
    </row>
    <row r="401" customFormat="false" ht="15" hidden="false" customHeight="false" outlineLevel="0" collapsed="false">
      <c r="A401" s="41" t="s">
        <v>579</v>
      </c>
      <c r="B401" s="41" t="s">
        <v>189</v>
      </c>
      <c r="C401" s="41" t="s">
        <v>86</v>
      </c>
      <c r="D401" s="41" t="s">
        <v>104</v>
      </c>
      <c r="E401" s="41" t="s">
        <v>103</v>
      </c>
      <c r="F401" s="41" t="s">
        <v>78</v>
      </c>
      <c r="G401" s="42" t="n">
        <v>19.24</v>
      </c>
      <c r="H401" s="41" t="n">
        <v>9</v>
      </c>
      <c r="I401" s="42" t="n">
        <v>8.658</v>
      </c>
      <c r="J401" s="42" t="n">
        <v>181.818</v>
      </c>
      <c r="K401" s="43" t="n">
        <v>43528</v>
      </c>
      <c r="L401" s="44" t="n">
        <v>0.686111111111111</v>
      </c>
      <c r="M401" s="41" t="s">
        <v>97</v>
      </c>
      <c r="N401" s="42" t="n">
        <v>173.16</v>
      </c>
      <c r="O401" s="42" t="n">
        <v>8.658</v>
      </c>
      <c r="P401" s="45" t="n">
        <v>8</v>
      </c>
      <c r="Q401" s="41" t="str">
        <f aca="false">CHOOSE(MONTH(K401),"Jan","Feb","Mar","Apr","May","Jun","Jul","Aug","Sep","Oct","Nov","Dec")</f>
        <v>Mar</v>
      </c>
      <c r="R401" s="41" t="n">
        <f aca="false">INT((K401-setMinDate)/7)+1</f>
        <v>9</v>
      </c>
      <c r="S401" s="41" t="n">
        <f aca="false">HOUR(L401)</f>
        <v>16</v>
      </c>
      <c r="T401" s="41" t="str">
        <f aca="false">IF(S401&lt;setMorningEnd,"Morning",IF(S401&lt;setAfternoonEnd,"Afternoon","Evening"))</f>
        <v>Afternoon</v>
      </c>
      <c r="U401" s="41" t="str">
        <f aca="false">IF(J401&gt;=setLarge,"Large",IF(J401&gt;=setMedium,"Medium","Small"))</f>
        <v>Small</v>
      </c>
      <c r="V401" s="41" t="str">
        <f aca="false">IF(P401&gt;=setExc,"Excellent",IF(P401&gt;=setGood,"Good",IF(P401&gt;=setAvg,"Average","Poor")))</f>
        <v>Good</v>
      </c>
    </row>
    <row r="402" customFormat="false" ht="15" hidden="false" customHeight="false" outlineLevel="0" collapsed="false">
      <c r="A402" s="41" t="s">
        <v>580</v>
      </c>
      <c r="B402" s="41" t="s">
        <v>180</v>
      </c>
      <c r="C402" s="41" t="s">
        <v>87</v>
      </c>
      <c r="D402" s="41" t="s">
        <v>105</v>
      </c>
      <c r="E402" s="41" t="s">
        <v>102</v>
      </c>
      <c r="F402" s="41" t="s">
        <v>76</v>
      </c>
      <c r="G402" s="42" t="n">
        <v>39.43</v>
      </c>
      <c r="H402" s="41" t="n">
        <v>6</v>
      </c>
      <c r="I402" s="42" t="n">
        <v>11.829</v>
      </c>
      <c r="J402" s="42" t="n">
        <v>248.409</v>
      </c>
      <c r="K402" s="43" t="n">
        <v>43549</v>
      </c>
      <c r="L402" s="44" t="n">
        <v>0.845833333333333</v>
      </c>
      <c r="M402" s="41" t="s">
        <v>99</v>
      </c>
      <c r="N402" s="42" t="n">
        <v>236.58</v>
      </c>
      <c r="O402" s="42" t="n">
        <v>11.829</v>
      </c>
      <c r="P402" s="45" t="n">
        <v>9.4</v>
      </c>
      <c r="Q402" s="41" t="str">
        <f aca="false">CHOOSE(MONTH(K402),"Jan","Feb","Mar","Apr","May","Jun","Jul","Aug","Sep","Oct","Nov","Dec")</f>
        <v>Mar</v>
      </c>
      <c r="R402" s="41" t="n">
        <f aca="false">INT((K402-setMinDate)/7)+1</f>
        <v>12</v>
      </c>
      <c r="S402" s="41" t="n">
        <f aca="false">HOUR(L402)</f>
        <v>20</v>
      </c>
      <c r="T402" s="41" t="str">
        <f aca="false">IF(S402&lt;setMorningEnd,"Morning",IF(S402&lt;setAfternoonEnd,"Afternoon","Evening"))</f>
        <v>Evening</v>
      </c>
      <c r="U402" s="41" t="str">
        <f aca="false">IF(J402&gt;=setLarge,"Large",IF(J402&gt;=setMedium,"Medium","Small"))</f>
        <v>Small</v>
      </c>
      <c r="V402" s="41" t="str">
        <f aca="false">IF(P402&gt;=setExc,"Excellent",IF(P402&gt;=setGood,"Good",IF(P402&gt;=setAvg,"Average","Poor")))</f>
        <v>Excellent</v>
      </c>
    </row>
    <row r="403" customFormat="false" ht="15" hidden="false" customHeight="false" outlineLevel="0" collapsed="false">
      <c r="A403" s="41" t="s">
        <v>581</v>
      </c>
      <c r="B403" s="41" t="s">
        <v>180</v>
      </c>
      <c r="C403" s="41" t="s">
        <v>87</v>
      </c>
      <c r="D403" s="41" t="s">
        <v>105</v>
      </c>
      <c r="E403" s="41" t="s">
        <v>103</v>
      </c>
      <c r="F403" s="41" t="s">
        <v>80</v>
      </c>
      <c r="G403" s="42" t="n">
        <v>46.22</v>
      </c>
      <c r="H403" s="41" t="n">
        <v>4</v>
      </c>
      <c r="I403" s="42" t="n">
        <v>9.244</v>
      </c>
      <c r="J403" s="42" t="n">
        <v>194.124</v>
      </c>
      <c r="K403" s="43" t="n">
        <v>43536</v>
      </c>
      <c r="L403" s="44" t="n">
        <v>0.836111111111111</v>
      </c>
      <c r="M403" s="41" t="s">
        <v>99</v>
      </c>
      <c r="N403" s="42" t="n">
        <v>184.88</v>
      </c>
      <c r="O403" s="42" t="n">
        <v>9.244</v>
      </c>
      <c r="P403" s="45" t="n">
        <v>6.2</v>
      </c>
      <c r="Q403" s="41" t="str">
        <f aca="false">CHOOSE(MONTH(K403),"Jan","Feb","Mar","Apr","May","Jun","Jul","Aug","Sep","Oct","Nov","Dec")</f>
        <v>Mar</v>
      </c>
      <c r="R403" s="41" t="n">
        <f aca="false">INT((K403-setMinDate)/7)+1</f>
        <v>11</v>
      </c>
      <c r="S403" s="41" t="n">
        <f aca="false">HOUR(L403)</f>
        <v>20</v>
      </c>
      <c r="T403" s="41" t="str">
        <f aca="false">IF(S403&lt;setMorningEnd,"Morning",IF(S403&lt;setAfternoonEnd,"Afternoon","Evening"))</f>
        <v>Evening</v>
      </c>
      <c r="U403" s="41" t="str">
        <f aca="false">IF(J403&gt;=setLarge,"Large",IF(J403&gt;=setMedium,"Medium","Small"))</f>
        <v>Small</v>
      </c>
      <c r="V403" s="41" t="str">
        <f aca="false">IF(P403&gt;=setExc,"Excellent",IF(P403&gt;=setGood,"Good",IF(P403&gt;=setAvg,"Average","Poor")))</f>
        <v>Average</v>
      </c>
    </row>
    <row r="404" customFormat="false" ht="15" hidden="false" customHeight="false" outlineLevel="0" collapsed="false">
      <c r="A404" s="41" t="s">
        <v>582</v>
      </c>
      <c r="B404" s="41" t="s">
        <v>180</v>
      </c>
      <c r="C404" s="41" t="s">
        <v>87</v>
      </c>
      <c r="D404" s="41" t="s">
        <v>104</v>
      </c>
      <c r="E404" s="41" t="s">
        <v>103</v>
      </c>
      <c r="F404" s="41" t="s">
        <v>80</v>
      </c>
      <c r="G404" s="42" t="n">
        <v>13.98</v>
      </c>
      <c r="H404" s="41" t="n">
        <v>1</v>
      </c>
      <c r="I404" s="42" t="n">
        <v>0.699</v>
      </c>
      <c r="J404" s="42" t="n">
        <v>14.679</v>
      </c>
      <c r="K404" s="43" t="n">
        <v>43500</v>
      </c>
      <c r="L404" s="44" t="n">
        <v>0.568055555555556</v>
      </c>
      <c r="M404" s="41" t="s">
        <v>98</v>
      </c>
      <c r="N404" s="42" t="n">
        <v>13.98</v>
      </c>
      <c r="O404" s="42" t="n">
        <v>0.699</v>
      </c>
      <c r="P404" s="45" t="n">
        <v>9.8</v>
      </c>
      <c r="Q404" s="41" t="str">
        <f aca="false">CHOOSE(MONTH(K404),"Jan","Feb","Mar","Apr","May","Jun","Jul","Aug","Sep","Oct","Nov","Dec")</f>
        <v>Feb</v>
      </c>
      <c r="R404" s="41" t="n">
        <f aca="false">INT((K404-setMinDate)/7)+1</f>
        <v>5</v>
      </c>
      <c r="S404" s="41" t="n">
        <f aca="false">HOUR(L404)</f>
        <v>13</v>
      </c>
      <c r="T404" s="41" t="str">
        <f aca="false">IF(S404&lt;setMorningEnd,"Morning",IF(S404&lt;setAfternoonEnd,"Afternoon","Evening"))</f>
        <v>Afternoon</v>
      </c>
      <c r="U404" s="41" t="str">
        <f aca="false">IF(J404&gt;=setLarge,"Large",IF(J404&gt;=setMedium,"Medium","Small"))</f>
        <v>Small</v>
      </c>
      <c r="V404" s="41" t="str">
        <f aca="false">IF(P404&gt;=setExc,"Excellent",IF(P404&gt;=setGood,"Good",IF(P404&gt;=setAvg,"Average","Poor")))</f>
        <v>Excellent</v>
      </c>
    </row>
    <row r="405" customFormat="false" ht="15" hidden="false" customHeight="false" outlineLevel="0" collapsed="false">
      <c r="A405" s="41" t="s">
        <v>583</v>
      </c>
      <c r="B405" s="41" t="s">
        <v>189</v>
      </c>
      <c r="C405" s="41" t="s">
        <v>86</v>
      </c>
      <c r="D405" s="41" t="s">
        <v>105</v>
      </c>
      <c r="E405" s="41" t="s">
        <v>102</v>
      </c>
      <c r="F405" s="41" t="s">
        <v>79</v>
      </c>
      <c r="G405" s="42" t="n">
        <v>39.75</v>
      </c>
      <c r="H405" s="41" t="n">
        <v>5</v>
      </c>
      <c r="I405" s="42" t="n">
        <v>9.9375</v>
      </c>
      <c r="J405" s="42" t="n">
        <v>208.6875</v>
      </c>
      <c r="K405" s="43" t="n">
        <v>43518</v>
      </c>
      <c r="L405" s="44" t="n">
        <v>0.446527777777778</v>
      </c>
      <c r="M405" s="41" t="s">
        <v>98</v>
      </c>
      <c r="N405" s="42" t="n">
        <v>198.75</v>
      </c>
      <c r="O405" s="42" t="n">
        <v>9.9375</v>
      </c>
      <c r="P405" s="45" t="n">
        <v>9.6</v>
      </c>
      <c r="Q405" s="41" t="str">
        <f aca="false">CHOOSE(MONTH(K405),"Jan","Feb","Mar","Apr","May","Jun","Jul","Aug","Sep","Oct","Nov","Dec")</f>
        <v>Feb</v>
      </c>
      <c r="R405" s="41" t="n">
        <f aca="false">INT((K405-setMinDate)/7)+1</f>
        <v>8</v>
      </c>
      <c r="S405" s="41" t="n">
        <f aca="false">HOUR(L405)</f>
        <v>10</v>
      </c>
      <c r="T405" s="41" t="str">
        <f aca="false">IF(S405&lt;setMorningEnd,"Morning",IF(S405&lt;setAfternoonEnd,"Afternoon","Evening"))</f>
        <v>Morning</v>
      </c>
      <c r="U405" s="41" t="str">
        <f aca="false">IF(J405&gt;=setLarge,"Large",IF(J405&gt;=setMedium,"Medium","Small"))</f>
        <v>Small</v>
      </c>
      <c r="V405" s="41" t="str">
        <f aca="false">IF(P405&gt;=setExc,"Excellent",IF(P405&gt;=setGood,"Good",IF(P405&gt;=setAvg,"Average","Poor")))</f>
        <v>Excellent</v>
      </c>
    </row>
    <row r="406" customFormat="false" ht="15" hidden="false" customHeight="false" outlineLevel="0" collapsed="false">
      <c r="A406" s="41" t="s">
        <v>584</v>
      </c>
      <c r="B406" s="41" t="s">
        <v>180</v>
      </c>
      <c r="C406" s="41" t="s">
        <v>87</v>
      </c>
      <c r="D406" s="41" t="s">
        <v>104</v>
      </c>
      <c r="E406" s="41" t="s">
        <v>102</v>
      </c>
      <c r="F406" s="41" t="s">
        <v>79</v>
      </c>
      <c r="G406" s="42" t="n">
        <v>97.79</v>
      </c>
      <c r="H406" s="41" t="n">
        <v>7</v>
      </c>
      <c r="I406" s="42" t="n">
        <v>34.2265</v>
      </c>
      <c r="J406" s="42" t="n">
        <v>718.7565</v>
      </c>
      <c r="K406" s="43" t="n">
        <v>43512</v>
      </c>
      <c r="L406" s="44" t="n">
        <v>0.729166666666667</v>
      </c>
      <c r="M406" s="41" t="s">
        <v>98</v>
      </c>
      <c r="N406" s="42" t="n">
        <v>684.53</v>
      </c>
      <c r="O406" s="42" t="n">
        <v>34.2265</v>
      </c>
      <c r="P406" s="45" t="n">
        <v>4.9</v>
      </c>
      <c r="Q406" s="41" t="str">
        <f aca="false">CHOOSE(MONTH(K406),"Jan","Feb","Mar","Apr","May","Jun","Jul","Aug","Sep","Oct","Nov","Dec")</f>
        <v>Feb</v>
      </c>
      <c r="R406" s="41" t="n">
        <f aca="false">INT((K406-setMinDate)/7)+1</f>
        <v>7</v>
      </c>
      <c r="S406" s="41" t="n">
        <f aca="false">HOUR(L406)</f>
        <v>17</v>
      </c>
      <c r="T406" s="41" t="str">
        <f aca="false">IF(S406&lt;setMorningEnd,"Morning",IF(S406&lt;setAfternoonEnd,"Afternoon","Evening"))</f>
        <v>Evening</v>
      </c>
      <c r="U406" s="41" t="str">
        <f aca="false">IF(J406&gt;=setLarge,"Large",IF(J406&gt;=setMedium,"Medium","Small"))</f>
        <v>Large</v>
      </c>
      <c r="V406" s="41" t="str">
        <f aca="false">IF(P406&gt;=setExc,"Excellent",IF(P406&gt;=setGood,"Good",IF(P406&gt;=setAvg,"Average","Poor")))</f>
        <v>Poor</v>
      </c>
    </row>
    <row r="407" customFormat="false" ht="15" hidden="false" customHeight="false" outlineLevel="0" collapsed="false">
      <c r="A407" s="41" t="s">
        <v>585</v>
      </c>
      <c r="B407" s="41" t="s">
        <v>178</v>
      </c>
      <c r="C407" s="41" t="s">
        <v>85</v>
      </c>
      <c r="D407" s="41" t="s">
        <v>104</v>
      </c>
      <c r="E407" s="41" t="s">
        <v>103</v>
      </c>
      <c r="F407" s="41" t="s">
        <v>77</v>
      </c>
      <c r="G407" s="42" t="n">
        <v>67.26</v>
      </c>
      <c r="H407" s="41" t="n">
        <v>4</v>
      </c>
      <c r="I407" s="42" t="n">
        <v>13.452</v>
      </c>
      <c r="J407" s="42" t="n">
        <v>282.492</v>
      </c>
      <c r="K407" s="43" t="n">
        <v>43484</v>
      </c>
      <c r="L407" s="44" t="n">
        <v>0.644444444444445</v>
      </c>
      <c r="M407" s="41" t="s">
        <v>99</v>
      </c>
      <c r="N407" s="42" t="n">
        <v>269.04</v>
      </c>
      <c r="O407" s="42" t="n">
        <v>13.452</v>
      </c>
      <c r="P407" s="45" t="n">
        <v>8</v>
      </c>
      <c r="Q407" s="41" t="str">
        <f aca="false">CHOOSE(MONTH(K407),"Jan","Feb","Mar","Apr","May","Jun","Jul","Aug","Sep","Oct","Nov","Dec")</f>
        <v>Jan</v>
      </c>
      <c r="R407" s="41" t="n">
        <f aca="false">INT((K407-setMinDate)/7)+1</f>
        <v>3</v>
      </c>
      <c r="S407" s="41" t="n">
        <f aca="false">HOUR(L407)</f>
        <v>15</v>
      </c>
      <c r="T407" s="41" t="str">
        <f aca="false">IF(S407&lt;setMorningEnd,"Morning",IF(S407&lt;setAfternoonEnd,"Afternoon","Evening"))</f>
        <v>Afternoon</v>
      </c>
      <c r="U407" s="41" t="str">
        <f aca="false">IF(J407&gt;=setLarge,"Large",IF(J407&gt;=setMedium,"Medium","Small"))</f>
        <v>Medium</v>
      </c>
      <c r="V407" s="41" t="str">
        <f aca="false">IF(P407&gt;=setExc,"Excellent",IF(P407&gt;=setGood,"Good",IF(P407&gt;=setAvg,"Average","Poor")))</f>
        <v>Good</v>
      </c>
    </row>
    <row r="408" customFormat="false" ht="15" hidden="false" customHeight="false" outlineLevel="0" collapsed="false">
      <c r="A408" s="41" t="s">
        <v>586</v>
      </c>
      <c r="B408" s="41" t="s">
        <v>178</v>
      </c>
      <c r="C408" s="41" t="s">
        <v>85</v>
      </c>
      <c r="D408" s="41" t="s">
        <v>105</v>
      </c>
      <c r="E408" s="41" t="s">
        <v>103</v>
      </c>
      <c r="F408" s="41" t="s">
        <v>76</v>
      </c>
      <c r="G408" s="42" t="n">
        <v>13.79</v>
      </c>
      <c r="H408" s="41" t="n">
        <v>5</v>
      </c>
      <c r="I408" s="42" t="n">
        <v>3.4475</v>
      </c>
      <c r="J408" s="42" t="n">
        <v>72.3975</v>
      </c>
      <c r="K408" s="43" t="n">
        <v>43476</v>
      </c>
      <c r="L408" s="44" t="n">
        <v>0.796527777777778</v>
      </c>
      <c r="M408" s="41" t="s">
        <v>99</v>
      </c>
      <c r="N408" s="42" t="n">
        <v>68.95</v>
      </c>
      <c r="O408" s="42" t="n">
        <v>3.4475</v>
      </c>
      <c r="P408" s="45" t="n">
        <v>7.8</v>
      </c>
      <c r="Q408" s="41" t="str">
        <f aca="false">CHOOSE(MONTH(K408),"Jan","Feb","Mar","Apr","May","Jun","Jul","Aug","Sep","Oct","Nov","Dec")</f>
        <v>Jan</v>
      </c>
      <c r="R408" s="41" t="n">
        <f aca="false">INT((K408-setMinDate)/7)+1</f>
        <v>2</v>
      </c>
      <c r="S408" s="41" t="n">
        <f aca="false">HOUR(L408)</f>
        <v>19</v>
      </c>
      <c r="T408" s="41" t="str">
        <f aca="false">IF(S408&lt;setMorningEnd,"Morning",IF(S408&lt;setAfternoonEnd,"Afternoon","Evening"))</f>
        <v>Evening</v>
      </c>
      <c r="U408" s="41" t="str">
        <f aca="false">IF(J408&gt;=setLarge,"Large",IF(J408&gt;=setMedium,"Medium","Small"))</f>
        <v>Small</v>
      </c>
      <c r="V408" s="41" t="str">
        <f aca="false">IF(P408&gt;=setExc,"Excellent",IF(P408&gt;=setGood,"Good",IF(P408&gt;=setAvg,"Average","Poor")))</f>
        <v>Good</v>
      </c>
    </row>
    <row r="409" customFormat="false" ht="15" hidden="false" customHeight="false" outlineLevel="0" collapsed="false">
      <c r="A409" s="41" t="s">
        <v>587</v>
      </c>
      <c r="B409" s="41" t="s">
        <v>189</v>
      </c>
      <c r="C409" s="41" t="s">
        <v>86</v>
      </c>
      <c r="D409" s="41" t="s">
        <v>104</v>
      </c>
      <c r="E409" s="41" t="s">
        <v>102</v>
      </c>
      <c r="F409" s="41" t="s">
        <v>79</v>
      </c>
      <c r="G409" s="42" t="n">
        <v>68.71</v>
      </c>
      <c r="H409" s="41" t="n">
        <v>4</v>
      </c>
      <c r="I409" s="42" t="n">
        <v>13.742</v>
      </c>
      <c r="J409" s="42" t="n">
        <v>288.582</v>
      </c>
      <c r="K409" s="43" t="n">
        <v>43469</v>
      </c>
      <c r="L409" s="44" t="n">
        <v>0.792361111111111</v>
      </c>
      <c r="M409" s="41" t="s">
        <v>97</v>
      </c>
      <c r="N409" s="42" t="n">
        <v>274.84</v>
      </c>
      <c r="O409" s="42" t="n">
        <v>13.742</v>
      </c>
      <c r="P409" s="45" t="n">
        <v>4.1</v>
      </c>
      <c r="Q409" s="41" t="str">
        <f aca="false">CHOOSE(MONTH(K409),"Jan","Feb","Mar","Apr","May","Jun","Jul","Aug","Sep","Oct","Nov","Dec")</f>
        <v>Jan</v>
      </c>
      <c r="R409" s="41" t="n">
        <f aca="false">INT((K409-setMinDate)/7)+1</f>
        <v>1</v>
      </c>
      <c r="S409" s="41" t="n">
        <f aca="false">HOUR(L409)</f>
        <v>19</v>
      </c>
      <c r="T409" s="41" t="str">
        <f aca="false">IF(S409&lt;setMorningEnd,"Morning",IF(S409&lt;setAfternoonEnd,"Afternoon","Evening"))</f>
        <v>Evening</v>
      </c>
      <c r="U409" s="41" t="str">
        <f aca="false">IF(J409&gt;=setLarge,"Large",IF(J409&gt;=setMedium,"Medium","Small"))</f>
        <v>Medium</v>
      </c>
      <c r="V409" s="41" t="str">
        <f aca="false">IF(P409&gt;=setExc,"Excellent",IF(P409&gt;=setGood,"Good",IF(P409&gt;=setAvg,"Average","Poor")))</f>
        <v>Poor</v>
      </c>
    </row>
    <row r="410" customFormat="false" ht="15" hidden="false" customHeight="false" outlineLevel="0" collapsed="false">
      <c r="A410" s="41" t="s">
        <v>588</v>
      </c>
      <c r="B410" s="41" t="s">
        <v>178</v>
      </c>
      <c r="C410" s="41" t="s">
        <v>85</v>
      </c>
      <c r="D410" s="41" t="s">
        <v>105</v>
      </c>
      <c r="E410" s="41" t="s">
        <v>102</v>
      </c>
      <c r="F410" s="41" t="s">
        <v>80</v>
      </c>
      <c r="G410" s="42" t="n">
        <v>56.53</v>
      </c>
      <c r="H410" s="41" t="n">
        <v>4</v>
      </c>
      <c r="I410" s="42" t="n">
        <v>11.306</v>
      </c>
      <c r="J410" s="42" t="n">
        <v>237.426</v>
      </c>
      <c r="K410" s="43" t="n">
        <v>43528</v>
      </c>
      <c r="L410" s="44" t="n">
        <v>0.825</v>
      </c>
      <c r="M410" s="41" t="s">
        <v>98</v>
      </c>
      <c r="N410" s="42" t="n">
        <v>226.12</v>
      </c>
      <c r="O410" s="42" t="n">
        <v>11.306</v>
      </c>
      <c r="P410" s="45" t="n">
        <v>5.5</v>
      </c>
      <c r="Q410" s="41" t="str">
        <f aca="false">CHOOSE(MONTH(K410),"Jan","Feb","Mar","Apr","May","Jun","Jul","Aug","Sep","Oct","Nov","Dec")</f>
        <v>Mar</v>
      </c>
      <c r="R410" s="41" t="n">
        <f aca="false">INT((K410-setMinDate)/7)+1</f>
        <v>9</v>
      </c>
      <c r="S410" s="41" t="n">
        <f aca="false">HOUR(L410)</f>
        <v>19</v>
      </c>
      <c r="T410" s="41" t="str">
        <f aca="false">IF(S410&lt;setMorningEnd,"Morning",IF(S410&lt;setAfternoonEnd,"Afternoon","Evening"))</f>
        <v>Evening</v>
      </c>
      <c r="U410" s="41" t="str">
        <f aca="false">IF(J410&gt;=setLarge,"Large",IF(J410&gt;=setMedium,"Medium","Small"))</f>
        <v>Small</v>
      </c>
      <c r="V410" s="41" t="str">
        <f aca="false">IF(P410&gt;=setExc,"Excellent",IF(P410&gt;=setGood,"Good",IF(P410&gt;=setAvg,"Average","Poor")))</f>
        <v>Average</v>
      </c>
    </row>
    <row r="411" customFormat="false" ht="15" hidden="false" customHeight="false" outlineLevel="0" collapsed="false">
      <c r="A411" s="41" t="s">
        <v>589</v>
      </c>
      <c r="B411" s="41" t="s">
        <v>180</v>
      </c>
      <c r="C411" s="41" t="s">
        <v>87</v>
      </c>
      <c r="D411" s="41" t="s">
        <v>105</v>
      </c>
      <c r="E411" s="41" t="s">
        <v>102</v>
      </c>
      <c r="F411" s="41" t="s">
        <v>79</v>
      </c>
      <c r="G411" s="42" t="n">
        <v>23.82</v>
      </c>
      <c r="H411" s="41" t="n">
        <v>5</v>
      </c>
      <c r="I411" s="42" t="n">
        <v>5.955</v>
      </c>
      <c r="J411" s="42" t="n">
        <v>125.055</v>
      </c>
      <c r="K411" s="43" t="n">
        <v>43493</v>
      </c>
      <c r="L411" s="44" t="n">
        <v>0.808333333333333</v>
      </c>
      <c r="M411" s="41" t="s">
        <v>98</v>
      </c>
      <c r="N411" s="42" t="n">
        <v>119.1</v>
      </c>
      <c r="O411" s="42" t="n">
        <v>5.955</v>
      </c>
      <c r="P411" s="45" t="n">
        <v>5.4</v>
      </c>
      <c r="Q411" s="41" t="str">
        <f aca="false">CHOOSE(MONTH(K411),"Jan","Feb","Mar","Apr","May","Jun","Jul","Aug","Sep","Oct","Nov","Dec")</f>
        <v>Jan</v>
      </c>
      <c r="R411" s="41" t="n">
        <f aca="false">INT((K411-setMinDate)/7)+1</f>
        <v>4</v>
      </c>
      <c r="S411" s="41" t="n">
        <f aca="false">HOUR(L411)</f>
        <v>19</v>
      </c>
      <c r="T411" s="41" t="str">
        <f aca="false">IF(S411&lt;setMorningEnd,"Morning",IF(S411&lt;setAfternoonEnd,"Afternoon","Evening"))</f>
        <v>Evening</v>
      </c>
      <c r="U411" s="41" t="str">
        <f aca="false">IF(J411&gt;=setLarge,"Large",IF(J411&gt;=setMedium,"Medium","Small"))</f>
        <v>Small</v>
      </c>
      <c r="V411" s="41" t="str">
        <f aca="false">IF(P411&gt;=setExc,"Excellent",IF(P411&gt;=setGood,"Good",IF(P411&gt;=setAvg,"Average","Poor")))</f>
        <v>Average</v>
      </c>
    </row>
    <row r="412" customFormat="false" ht="15" hidden="false" customHeight="false" outlineLevel="0" collapsed="false">
      <c r="A412" s="41" t="s">
        <v>590</v>
      </c>
      <c r="B412" s="41" t="s">
        <v>189</v>
      </c>
      <c r="C412" s="41" t="s">
        <v>86</v>
      </c>
      <c r="D412" s="41" t="s">
        <v>105</v>
      </c>
      <c r="E412" s="41" t="s">
        <v>102</v>
      </c>
      <c r="F412" s="41" t="s">
        <v>81</v>
      </c>
      <c r="G412" s="42" t="n">
        <v>34.21</v>
      </c>
      <c r="H412" s="41" t="n">
        <v>10</v>
      </c>
      <c r="I412" s="42" t="n">
        <v>17.105</v>
      </c>
      <c r="J412" s="42" t="n">
        <v>359.205</v>
      </c>
      <c r="K412" s="43" t="n">
        <v>43467</v>
      </c>
      <c r="L412" s="44" t="n">
        <v>0.541666666666667</v>
      </c>
      <c r="M412" s="41" t="s">
        <v>97</v>
      </c>
      <c r="N412" s="42" t="n">
        <v>342.1</v>
      </c>
      <c r="O412" s="42" t="n">
        <v>17.105</v>
      </c>
      <c r="P412" s="45" t="n">
        <v>5.1</v>
      </c>
      <c r="Q412" s="41" t="str">
        <f aca="false">CHOOSE(MONTH(K412),"Jan","Feb","Mar","Apr","May","Jun","Jul","Aug","Sep","Oct","Nov","Dec")</f>
        <v>Jan</v>
      </c>
      <c r="R412" s="41" t="n">
        <f aca="false">INT((K412-setMinDate)/7)+1</f>
        <v>1</v>
      </c>
      <c r="S412" s="41" t="n">
        <f aca="false">HOUR(L412)</f>
        <v>13</v>
      </c>
      <c r="T412" s="41" t="str">
        <f aca="false">IF(S412&lt;setMorningEnd,"Morning",IF(S412&lt;setAfternoonEnd,"Afternoon","Evening"))</f>
        <v>Afternoon</v>
      </c>
      <c r="U412" s="41" t="str">
        <f aca="false">IF(J412&gt;=setLarge,"Large",IF(J412&gt;=setMedium,"Medium","Small"))</f>
        <v>Medium</v>
      </c>
      <c r="V412" s="41" t="str">
        <f aca="false">IF(P412&gt;=setExc,"Excellent",IF(P412&gt;=setGood,"Good",IF(P412&gt;=setAvg,"Average","Poor")))</f>
        <v>Average</v>
      </c>
    </row>
    <row r="413" customFormat="false" ht="15" hidden="false" customHeight="false" outlineLevel="0" collapsed="false">
      <c r="A413" s="41" t="s">
        <v>591</v>
      </c>
      <c r="B413" s="41" t="s">
        <v>189</v>
      </c>
      <c r="C413" s="41" t="s">
        <v>86</v>
      </c>
      <c r="D413" s="41" t="s">
        <v>105</v>
      </c>
      <c r="E413" s="41" t="s">
        <v>103</v>
      </c>
      <c r="F413" s="41" t="s">
        <v>77</v>
      </c>
      <c r="G413" s="42" t="n">
        <v>21.87</v>
      </c>
      <c r="H413" s="41" t="n">
        <v>2</v>
      </c>
      <c r="I413" s="42" t="n">
        <v>2.187</v>
      </c>
      <c r="J413" s="42" t="n">
        <v>45.927</v>
      </c>
      <c r="K413" s="43" t="n">
        <v>43490</v>
      </c>
      <c r="L413" s="44" t="n">
        <v>0.603472222222222</v>
      </c>
      <c r="M413" s="41" t="s">
        <v>98</v>
      </c>
      <c r="N413" s="42" t="n">
        <v>43.74</v>
      </c>
      <c r="O413" s="42" t="n">
        <v>2.187</v>
      </c>
      <c r="P413" s="45" t="n">
        <v>6.9</v>
      </c>
      <c r="Q413" s="41" t="str">
        <f aca="false">CHOOSE(MONTH(K413),"Jan","Feb","Mar","Apr","May","Jun","Jul","Aug","Sep","Oct","Nov","Dec")</f>
        <v>Jan</v>
      </c>
      <c r="R413" s="41" t="n">
        <f aca="false">INT((K413-setMinDate)/7)+1</f>
        <v>4</v>
      </c>
      <c r="S413" s="41" t="n">
        <f aca="false">HOUR(L413)</f>
        <v>14</v>
      </c>
      <c r="T413" s="41" t="str">
        <f aca="false">IF(S413&lt;setMorningEnd,"Morning",IF(S413&lt;setAfternoonEnd,"Afternoon","Evening"))</f>
        <v>Afternoon</v>
      </c>
      <c r="U413" s="41" t="str">
        <f aca="false">IF(J413&gt;=setLarge,"Large",IF(J413&gt;=setMedium,"Medium","Small"))</f>
        <v>Small</v>
      </c>
      <c r="V413" s="41" t="str">
        <f aca="false">IF(P413&gt;=setExc,"Excellent",IF(P413&gt;=setGood,"Good",IF(P413&gt;=setAvg,"Average","Poor")))</f>
        <v>Average</v>
      </c>
    </row>
    <row r="414" customFormat="false" ht="15" hidden="false" customHeight="false" outlineLevel="0" collapsed="false">
      <c r="A414" s="41" t="s">
        <v>592</v>
      </c>
      <c r="B414" s="41" t="s">
        <v>178</v>
      </c>
      <c r="C414" s="41" t="s">
        <v>85</v>
      </c>
      <c r="D414" s="41" t="s">
        <v>104</v>
      </c>
      <c r="E414" s="41" t="s">
        <v>103</v>
      </c>
      <c r="F414" s="41" t="s">
        <v>81</v>
      </c>
      <c r="G414" s="42" t="n">
        <v>20.97</v>
      </c>
      <c r="H414" s="41" t="n">
        <v>5</v>
      </c>
      <c r="I414" s="42" t="n">
        <v>5.2425</v>
      </c>
      <c r="J414" s="42" t="n">
        <v>110.0925</v>
      </c>
      <c r="K414" s="43" t="n">
        <v>43469</v>
      </c>
      <c r="L414" s="44" t="n">
        <v>0.55625</v>
      </c>
      <c r="M414" s="41" t="s">
        <v>97</v>
      </c>
      <c r="N414" s="42" t="n">
        <v>104.85</v>
      </c>
      <c r="O414" s="42" t="n">
        <v>5.2425</v>
      </c>
      <c r="P414" s="45" t="n">
        <v>7.8</v>
      </c>
      <c r="Q414" s="41" t="str">
        <f aca="false">CHOOSE(MONTH(K414),"Jan","Feb","Mar","Apr","May","Jun","Jul","Aug","Sep","Oct","Nov","Dec")</f>
        <v>Jan</v>
      </c>
      <c r="R414" s="41" t="n">
        <f aca="false">INT((K414-setMinDate)/7)+1</f>
        <v>1</v>
      </c>
      <c r="S414" s="41" t="n">
        <f aca="false">HOUR(L414)</f>
        <v>13</v>
      </c>
      <c r="T414" s="41" t="str">
        <f aca="false">IF(S414&lt;setMorningEnd,"Morning",IF(S414&lt;setAfternoonEnd,"Afternoon","Evening"))</f>
        <v>Afternoon</v>
      </c>
      <c r="U414" s="41" t="str">
        <f aca="false">IF(J414&gt;=setLarge,"Large",IF(J414&gt;=setMedium,"Medium","Small"))</f>
        <v>Small</v>
      </c>
      <c r="V414" s="41" t="str">
        <f aca="false">IF(P414&gt;=setExc,"Excellent",IF(P414&gt;=setGood,"Good",IF(P414&gt;=setAvg,"Average","Poor")))</f>
        <v>Good</v>
      </c>
    </row>
    <row r="415" customFormat="false" ht="15" hidden="false" customHeight="false" outlineLevel="0" collapsed="false">
      <c r="A415" s="41" t="s">
        <v>593</v>
      </c>
      <c r="B415" s="41" t="s">
        <v>178</v>
      </c>
      <c r="C415" s="41" t="s">
        <v>85</v>
      </c>
      <c r="D415" s="41" t="s">
        <v>105</v>
      </c>
      <c r="E415" s="41" t="s">
        <v>103</v>
      </c>
      <c r="F415" s="41" t="s">
        <v>77</v>
      </c>
      <c r="G415" s="42" t="n">
        <v>25.84</v>
      </c>
      <c r="H415" s="41" t="n">
        <v>3</v>
      </c>
      <c r="I415" s="42" t="n">
        <v>3.876</v>
      </c>
      <c r="J415" s="42" t="n">
        <v>81.396</v>
      </c>
      <c r="K415" s="43" t="n">
        <v>43534</v>
      </c>
      <c r="L415" s="44" t="n">
        <v>0.788194444444444</v>
      </c>
      <c r="M415" s="41" t="s">
        <v>98</v>
      </c>
      <c r="N415" s="42" t="n">
        <v>77.52</v>
      </c>
      <c r="O415" s="42" t="n">
        <v>3.876</v>
      </c>
      <c r="P415" s="45" t="n">
        <v>6.6</v>
      </c>
      <c r="Q415" s="41" t="str">
        <f aca="false">CHOOSE(MONTH(K415),"Jan","Feb","Mar","Apr","May","Jun","Jul","Aug","Sep","Oct","Nov","Dec")</f>
        <v>Mar</v>
      </c>
      <c r="R415" s="41" t="n">
        <f aca="false">INT((K415-setMinDate)/7)+1</f>
        <v>10</v>
      </c>
      <c r="S415" s="41" t="n">
        <f aca="false">HOUR(L415)</f>
        <v>18</v>
      </c>
      <c r="T415" s="41" t="str">
        <f aca="false">IF(S415&lt;setMorningEnd,"Morning",IF(S415&lt;setAfternoonEnd,"Afternoon","Evening"))</f>
        <v>Evening</v>
      </c>
      <c r="U415" s="41" t="str">
        <f aca="false">IF(J415&gt;=setLarge,"Large",IF(J415&gt;=setMedium,"Medium","Small"))</f>
        <v>Small</v>
      </c>
      <c r="V415" s="41" t="str">
        <f aca="false">IF(P415&gt;=setExc,"Excellent",IF(P415&gt;=setGood,"Good",IF(P415&gt;=setAvg,"Average","Poor")))</f>
        <v>Average</v>
      </c>
    </row>
    <row r="416" customFormat="false" ht="15" hidden="false" customHeight="false" outlineLevel="0" collapsed="false">
      <c r="A416" s="41" t="s">
        <v>594</v>
      </c>
      <c r="B416" s="41" t="s">
        <v>178</v>
      </c>
      <c r="C416" s="41" t="s">
        <v>85</v>
      </c>
      <c r="D416" s="41" t="s">
        <v>105</v>
      </c>
      <c r="E416" s="41" t="s">
        <v>103</v>
      </c>
      <c r="F416" s="41" t="s">
        <v>80</v>
      </c>
      <c r="G416" s="42" t="n">
        <v>50.93</v>
      </c>
      <c r="H416" s="41" t="n">
        <v>8</v>
      </c>
      <c r="I416" s="42" t="n">
        <v>20.372</v>
      </c>
      <c r="J416" s="42" t="n">
        <v>427.812</v>
      </c>
      <c r="K416" s="43" t="n">
        <v>43546</v>
      </c>
      <c r="L416" s="44" t="n">
        <v>0.816666666666667</v>
      </c>
      <c r="M416" s="41" t="s">
        <v>98</v>
      </c>
      <c r="N416" s="42" t="n">
        <v>407.44</v>
      </c>
      <c r="O416" s="42" t="n">
        <v>20.372</v>
      </c>
      <c r="P416" s="45" t="n">
        <v>9.2</v>
      </c>
      <c r="Q416" s="41" t="str">
        <f aca="false">CHOOSE(MONTH(K416),"Jan","Feb","Mar","Apr","May","Jun","Jul","Aug","Sep","Oct","Nov","Dec")</f>
        <v>Mar</v>
      </c>
      <c r="R416" s="41" t="n">
        <f aca="false">INT((K416-setMinDate)/7)+1</f>
        <v>12</v>
      </c>
      <c r="S416" s="41" t="n">
        <f aca="false">HOUR(L416)</f>
        <v>19</v>
      </c>
      <c r="T416" s="41" t="str">
        <f aca="false">IF(S416&lt;setMorningEnd,"Morning",IF(S416&lt;setAfternoonEnd,"Afternoon","Evening"))</f>
        <v>Evening</v>
      </c>
      <c r="U416" s="41" t="str">
        <f aca="false">IF(J416&gt;=setLarge,"Large",IF(J416&gt;=setMedium,"Medium","Small"))</f>
        <v>Medium</v>
      </c>
      <c r="V416" s="41" t="str">
        <f aca="false">IF(P416&gt;=setExc,"Excellent",IF(P416&gt;=setGood,"Good",IF(P416&gt;=setAvg,"Average","Poor")))</f>
        <v>Excellent</v>
      </c>
    </row>
    <row r="417" customFormat="false" ht="15" hidden="false" customHeight="false" outlineLevel="0" collapsed="false">
      <c r="A417" s="41" t="s">
        <v>595</v>
      </c>
      <c r="B417" s="41" t="s">
        <v>189</v>
      </c>
      <c r="C417" s="41" t="s">
        <v>86</v>
      </c>
      <c r="D417" s="41" t="s">
        <v>105</v>
      </c>
      <c r="E417" s="41" t="s">
        <v>103</v>
      </c>
      <c r="F417" s="41" t="s">
        <v>81</v>
      </c>
      <c r="G417" s="42" t="n">
        <v>96.11</v>
      </c>
      <c r="H417" s="41" t="n">
        <v>1</v>
      </c>
      <c r="I417" s="42" t="n">
        <v>4.8055</v>
      </c>
      <c r="J417" s="42" t="n">
        <v>100.9155</v>
      </c>
      <c r="K417" s="43" t="n">
        <v>43490</v>
      </c>
      <c r="L417" s="44" t="n">
        <v>0.686111111111111</v>
      </c>
      <c r="M417" s="41" t="s">
        <v>98</v>
      </c>
      <c r="N417" s="42" t="n">
        <v>96.11</v>
      </c>
      <c r="O417" s="42" t="n">
        <v>4.8055</v>
      </c>
      <c r="P417" s="45" t="n">
        <v>7.8</v>
      </c>
      <c r="Q417" s="41" t="str">
        <f aca="false">CHOOSE(MONTH(K417),"Jan","Feb","Mar","Apr","May","Jun","Jul","Aug","Sep","Oct","Nov","Dec")</f>
        <v>Jan</v>
      </c>
      <c r="R417" s="41" t="n">
        <f aca="false">INT((K417-setMinDate)/7)+1</f>
        <v>4</v>
      </c>
      <c r="S417" s="41" t="n">
        <f aca="false">HOUR(L417)</f>
        <v>16</v>
      </c>
      <c r="T417" s="41" t="str">
        <f aca="false">IF(S417&lt;setMorningEnd,"Morning",IF(S417&lt;setAfternoonEnd,"Afternoon","Evening"))</f>
        <v>Afternoon</v>
      </c>
      <c r="U417" s="41" t="str">
        <f aca="false">IF(J417&gt;=setLarge,"Large",IF(J417&gt;=setMedium,"Medium","Small"))</f>
        <v>Small</v>
      </c>
      <c r="V417" s="41" t="str">
        <f aca="false">IF(P417&gt;=setExc,"Excellent",IF(P417&gt;=setGood,"Good",IF(P417&gt;=setAvg,"Average","Poor")))</f>
        <v>Good</v>
      </c>
    </row>
    <row r="418" customFormat="false" ht="15" hidden="false" customHeight="false" outlineLevel="0" collapsed="false">
      <c r="A418" s="41" t="s">
        <v>596</v>
      </c>
      <c r="B418" s="41" t="s">
        <v>180</v>
      </c>
      <c r="C418" s="41" t="s">
        <v>87</v>
      </c>
      <c r="D418" s="41" t="s">
        <v>105</v>
      </c>
      <c r="E418" s="41" t="s">
        <v>102</v>
      </c>
      <c r="F418" s="41" t="s">
        <v>80</v>
      </c>
      <c r="G418" s="42" t="n">
        <v>45.38</v>
      </c>
      <c r="H418" s="41" t="n">
        <v>4</v>
      </c>
      <c r="I418" s="42" t="n">
        <v>9.076</v>
      </c>
      <c r="J418" s="42" t="n">
        <v>190.596</v>
      </c>
      <c r="K418" s="43" t="n">
        <v>43473</v>
      </c>
      <c r="L418" s="44" t="n">
        <v>0.575</v>
      </c>
      <c r="M418" s="41" t="s">
        <v>99</v>
      </c>
      <c r="N418" s="42" t="n">
        <v>181.52</v>
      </c>
      <c r="O418" s="42" t="n">
        <v>9.076</v>
      </c>
      <c r="P418" s="45" t="n">
        <v>8.7</v>
      </c>
      <c r="Q418" s="41" t="str">
        <f aca="false">CHOOSE(MONTH(K418),"Jan","Feb","Mar","Apr","May","Jun","Jul","Aug","Sep","Oct","Nov","Dec")</f>
        <v>Jan</v>
      </c>
      <c r="R418" s="41" t="n">
        <f aca="false">INT((K418-setMinDate)/7)+1</f>
        <v>2</v>
      </c>
      <c r="S418" s="41" t="n">
        <f aca="false">HOUR(L418)</f>
        <v>13</v>
      </c>
      <c r="T418" s="41" t="str">
        <f aca="false">IF(S418&lt;setMorningEnd,"Morning",IF(S418&lt;setAfternoonEnd,"Afternoon","Evening"))</f>
        <v>Afternoon</v>
      </c>
      <c r="U418" s="41" t="str">
        <f aca="false">IF(J418&gt;=setLarge,"Large",IF(J418&gt;=setMedium,"Medium","Small"))</f>
        <v>Small</v>
      </c>
      <c r="V418" s="41" t="str">
        <f aca="false">IF(P418&gt;=setExc,"Excellent",IF(P418&gt;=setGood,"Good",IF(P418&gt;=setAvg,"Average","Poor")))</f>
        <v>Good</v>
      </c>
    </row>
    <row r="419" customFormat="false" ht="15" hidden="false" customHeight="false" outlineLevel="0" collapsed="false">
      <c r="A419" s="41" t="s">
        <v>597</v>
      </c>
      <c r="B419" s="41" t="s">
        <v>180</v>
      </c>
      <c r="C419" s="41" t="s">
        <v>87</v>
      </c>
      <c r="D419" s="41" t="s">
        <v>104</v>
      </c>
      <c r="E419" s="41" t="s">
        <v>102</v>
      </c>
      <c r="F419" s="41" t="s">
        <v>81</v>
      </c>
      <c r="G419" s="42" t="n">
        <v>81.51</v>
      </c>
      <c r="H419" s="41" t="n">
        <v>1</v>
      </c>
      <c r="I419" s="42" t="n">
        <v>4.0755</v>
      </c>
      <c r="J419" s="42" t="n">
        <v>85.5855</v>
      </c>
      <c r="K419" s="43" t="n">
        <v>43487</v>
      </c>
      <c r="L419" s="44" t="n">
        <v>0.45625</v>
      </c>
      <c r="M419" s="41" t="s">
        <v>98</v>
      </c>
      <c r="N419" s="42" t="n">
        <v>81.51</v>
      </c>
      <c r="O419" s="42" t="n">
        <v>4.0755</v>
      </c>
      <c r="P419" s="45" t="n">
        <v>9.2</v>
      </c>
      <c r="Q419" s="41" t="str">
        <f aca="false">CHOOSE(MONTH(K419),"Jan","Feb","Mar","Apr","May","Jun","Jul","Aug","Sep","Oct","Nov","Dec")</f>
        <v>Jan</v>
      </c>
      <c r="R419" s="41" t="n">
        <f aca="false">INT((K419-setMinDate)/7)+1</f>
        <v>4</v>
      </c>
      <c r="S419" s="41" t="n">
        <f aca="false">HOUR(L419)</f>
        <v>10</v>
      </c>
      <c r="T419" s="41" t="str">
        <f aca="false">IF(S419&lt;setMorningEnd,"Morning",IF(S419&lt;setAfternoonEnd,"Afternoon","Evening"))</f>
        <v>Morning</v>
      </c>
      <c r="U419" s="41" t="str">
        <f aca="false">IF(J419&gt;=setLarge,"Large",IF(J419&gt;=setMedium,"Medium","Small"))</f>
        <v>Small</v>
      </c>
      <c r="V419" s="41" t="str">
        <f aca="false">IF(P419&gt;=setExc,"Excellent",IF(P419&gt;=setGood,"Good",IF(P419&gt;=setAvg,"Average","Poor")))</f>
        <v>Excellent</v>
      </c>
    </row>
    <row r="420" customFormat="false" ht="15" hidden="false" customHeight="false" outlineLevel="0" collapsed="false">
      <c r="A420" s="41" t="s">
        <v>598</v>
      </c>
      <c r="B420" s="41" t="s">
        <v>189</v>
      </c>
      <c r="C420" s="41" t="s">
        <v>86</v>
      </c>
      <c r="D420" s="41" t="s">
        <v>105</v>
      </c>
      <c r="E420" s="41" t="s">
        <v>102</v>
      </c>
      <c r="F420" s="41" t="s">
        <v>81</v>
      </c>
      <c r="G420" s="42" t="n">
        <v>57.22</v>
      </c>
      <c r="H420" s="41" t="n">
        <v>2</v>
      </c>
      <c r="I420" s="42" t="n">
        <v>5.722</v>
      </c>
      <c r="J420" s="42" t="n">
        <v>120.162</v>
      </c>
      <c r="K420" s="43" t="n">
        <v>43477</v>
      </c>
      <c r="L420" s="44" t="n">
        <v>0.717361111111111</v>
      </c>
      <c r="M420" s="41" t="s">
        <v>98</v>
      </c>
      <c r="N420" s="42" t="n">
        <v>114.44</v>
      </c>
      <c r="O420" s="42" t="n">
        <v>5.722</v>
      </c>
      <c r="P420" s="45" t="n">
        <v>8.3</v>
      </c>
      <c r="Q420" s="41" t="str">
        <f aca="false">CHOOSE(MONTH(K420),"Jan","Feb","Mar","Apr","May","Jun","Jul","Aug","Sep","Oct","Nov","Dec")</f>
        <v>Jan</v>
      </c>
      <c r="R420" s="41" t="n">
        <f aca="false">INT((K420-setMinDate)/7)+1</f>
        <v>2</v>
      </c>
      <c r="S420" s="41" t="n">
        <f aca="false">HOUR(L420)</f>
        <v>17</v>
      </c>
      <c r="T420" s="41" t="str">
        <f aca="false">IF(S420&lt;setMorningEnd,"Morning",IF(S420&lt;setAfternoonEnd,"Afternoon","Evening"))</f>
        <v>Evening</v>
      </c>
      <c r="U420" s="41" t="str">
        <f aca="false">IF(J420&gt;=setLarge,"Large",IF(J420&gt;=setMedium,"Medium","Small"))</f>
        <v>Small</v>
      </c>
      <c r="V420" s="41" t="str">
        <f aca="false">IF(P420&gt;=setExc,"Excellent",IF(P420&gt;=setGood,"Good",IF(P420&gt;=setAvg,"Average","Poor")))</f>
        <v>Good</v>
      </c>
    </row>
    <row r="421" customFormat="false" ht="15" hidden="false" customHeight="false" outlineLevel="0" collapsed="false">
      <c r="A421" s="41" t="s">
        <v>599</v>
      </c>
      <c r="B421" s="41" t="s">
        <v>178</v>
      </c>
      <c r="C421" s="41" t="s">
        <v>85</v>
      </c>
      <c r="D421" s="41" t="s">
        <v>104</v>
      </c>
      <c r="E421" s="41" t="s">
        <v>102</v>
      </c>
      <c r="F421" s="41" t="s">
        <v>78</v>
      </c>
      <c r="G421" s="42" t="n">
        <v>25.22</v>
      </c>
      <c r="H421" s="41" t="n">
        <v>7</v>
      </c>
      <c r="I421" s="42" t="n">
        <v>8.827</v>
      </c>
      <c r="J421" s="42" t="n">
        <v>185.367</v>
      </c>
      <c r="K421" s="43" t="n">
        <v>43500</v>
      </c>
      <c r="L421" s="44" t="n">
        <v>0.432638888888889</v>
      </c>
      <c r="M421" s="41" t="s">
        <v>97</v>
      </c>
      <c r="N421" s="42" t="n">
        <v>176.54</v>
      </c>
      <c r="O421" s="42" t="n">
        <v>8.827</v>
      </c>
      <c r="P421" s="45" t="n">
        <v>8.2</v>
      </c>
      <c r="Q421" s="41" t="str">
        <f aca="false">CHOOSE(MONTH(K421),"Jan","Feb","Mar","Apr","May","Jun","Jul","Aug","Sep","Oct","Nov","Dec")</f>
        <v>Feb</v>
      </c>
      <c r="R421" s="41" t="n">
        <f aca="false">INT((K421-setMinDate)/7)+1</f>
        <v>5</v>
      </c>
      <c r="S421" s="41" t="n">
        <f aca="false">HOUR(L421)</f>
        <v>10</v>
      </c>
      <c r="T421" s="41" t="str">
        <f aca="false">IF(S421&lt;setMorningEnd,"Morning",IF(S421&lt;setAfternoonEnd,"Afternoon","Evening"))</f>
        <v>Morning</v>
      </c>
      <c r="U421" s="41" t="str">
        <f aca="false">IF(J421&gt;=setLarge,"Large",IF(J421&gt;=setMedium,"Medium","Small"))</f>
        <v>Small</v>
      </c>
      <c r="V421" s="41" t="str">
        <f aca="false">IF(P421&gt;=setExc,"Excellent",IF(P421&gt;=setGood,"Good",IF(P421&gt;=setAvg,"Average","Poor")))</f>
        <v>Good</v>
      </c>
    </row>
    <row r="422" customFormat="false" ht="15" hidden="false" customHeight="false" outlineLevel="0" collapsed="false">
      <c r="A422" s="41" t="s">
        <v>600</v>
      </c>
      <c r="B422" s="41" t="s">
        <v>180</v>
      </c>
      <c r="C422" s="41" t="s">
        <v>87</v>
      </c>
      <c r="D422" s="41" t="s">
        <v>104</v>
      </c>
      <c r="E422" s="41" t="s">
        <v>102</v>
      </c>
      <c r="F422" s="41" t="s">
        <v>76</v>
      </c>
      <c r="G422" s="42" t="n">
        <v>38.6</v>
      </c>
      <c r="H422" s="41" t="n">
        <v>3</v>
      </c>
      <c r="I422" s="42" t="n">
        <v>5.79</v>
      </c>
      <c r="J422" s="42" t="n">
        <v>121.59</v>
      </c>
      <c r="K422" s="43" t="n">
        <v>43552</v>
      </c>
      <c r="L422" s="44" t="n">
        <v>0.58125</v>
      </c>
      <c r="M422" s="41" t="s">
        <v>98</v>
      </c>
      <c r="N422" s="42" t="n">
        <v>115.8</v>
      </c>
      <c r="O422" s="42" t="n">
        <v>5.79</v>
      </c>
      <c r="P422" s="45" t="n">
        <v>7.5</v>
      </c>
      <c r="Q422" s="41" t="str">
        <f aca="false">CHOOSE(MONTH(K422),"Jan","Feb","Mar","Apr","May","Jun","Jul","Aug","Sep","Oct","Nov","Dec")</f>
        <v>Mar</v>
      </c>
      <c r="R422" s="41" t="n">
        <f aca="false">INT((K422-setMinDate)/7)+1</f>
        <v>13</v>
      </c>
      <c r="S422" s="41" t="n">
        <f aca="false">HOUR(L422)</f>
        <v>13</v>
      </c>
      <c r="T422" s="41" t="str">
        <f aca="false">IF(S422&lt;setMorningEnd,"Morning",IF(S422&lt;setAfternoonEnd,"Afternoon","Evening"))</f>
        <v>Afternoon</v>
      </c>
      <c r="U422" s="41" t="str">
        <f aca="false">IF(J422&gt;=setLarge,"Large",IF(J422&gt;=setMedium,"Medium","Small"))</f>
        <v>Small</v>
      </c>
      <c r="V422" s="41" t="str">
        <f aca="false">IF(P422&gt;=setExc,"Excellent",IF(P422&gt;=setGood,"Good",IF(P422&gt;=setAvg,"Average","Poor")))</f>
        <v>Good</v>
      </c>
    </row>
    <row r="423" customFormat="false" ht="15" hidden="false" customHeight="false" outlineLevel="0" collapsed="false">
      <c r="A423" s="41" t="s">
        <v>601</v>
      </c>
      <c r="B423" s="41" t="s">
        <v>180</v>
      </c>
      <c r="C423" s="41" t="s">
        <v>87</v>
      </c>
      <c r="D423" s="41" t="s">
        <v>105</v>
      </c>
      <c r="E423" s="41" t="s">
        <v>102</v>
      </c>
      <c r="F423" s="41" t="s">
        <v>78</v>
      </c>
      <c r="G423" s="42" t="n">
        <v>84.05</v>
      </c>
      <c r="H423" s="41" t="n">
        <v>3</v>
      </c>
      <c r="I423" s="42" t="n">
        <v>12.6075</v>
      </c>
      <c r="J423" s="42" t="n">
        <v>264.7575</v>
      </c>
      <c r="K423" s="43" t="n">
        <v>43488</v>
      </c>
      <c r="L423" s="44" t="n">
        <v>0.561805555555556</v>
      </c>
      <c r="M423" s="41" t="s">
        <v>97</v>
      </c>
      <c r="N423" s="42" t="n">
        <v>252.15</v>
      </c>
      <c r="O423" s="42" t="n">
        <v>12.6075</v>
      </c>
      <c r="P423" s="45" t="n">
        <v>9.8</v>
      </c>
      <c r="Q423" s="41" t="str">
        <f aca="false">CHOOSE(MONTH(K423),"Jan","Feb","Mar","Apr","May","Jun","Jul","Aug","Sep","Oct","Nov","Dec")</f>
        <v>Jan</v>
      </c>
      <c r="R423" s="41" t="n">
        <f aca="false">INT((K423-setMinDate)/7)+1</f>
        <v>4</v>
      </c>
      <c r="S423" s="41" t="n">
        <f aca="false">HOUR(L423)</f>
        <v>13</v>
      </c>
      <c r="T423" s="41" t="str">
        <f aca="false">IF(S423&lt;setMorningEnd,"Morning",IF(S423&lt;setAfternoonEnd,"Afternoon","Evening"))</f>
        <v>Afternoon</v>
      </c>
      <c r="U423" s="41" t="str">
        <f aca="false">IF(J423&gt;=setLarge,"Large",IF(J423&gt;=setMedium,"Medium","Small"))</f>
        <v>Medium</v>
      </c>
      <c r="V423" s="41" t="str">
        <f aca="false">IF(P423&gt;=setExc,"Excellent",IF(P423&gt;=setGood,"Good",IF(P423&gt;=setAvg,"Average","Poor")))</f>
        <v>Excellent</v>
      </c>
    </row>
    <row r="424" customFormat="false" ht="15" hidden="false" customHeight="false" outlineLevel="0" collapsed="false">
      <c r="A424" s="41" t="s">
        <v>602</v>
      </c>
      <c r="B424" s="41" t="s">
        <v>180</v>
      </c>
      <c r="C424" s="41" t="s">
        <v>87</v>
      </c>
      <c r="D424" s="41" t="s">
        <v>104</v>
      </c>
      <c r="E424" s="41" t="s">
        <v>102</v>
      </c>
      <c r="F424" s="41" t="s">
        <v>79</v>
      </c>
      <c r="G424" s="42" t="n">
        <v>97.21</v>
      </c>
      <c r="H424" s="41" t="n">
        <v>10</v>
      </c>
      <c r="I424" s="42" t="n">
        <v>48.605</v>
      </c>
      <c r="J424" s="42" t="n">
        <v>1020.705</v>
      </c>
      <c r="K424" s="43" t="n">
        <v>43504</v>
      </c>
      <c r="L424" s="44" t="n">
        <v>0.541666666666667</v>
      </c>
      <c r="M424" s="41" t="s">
        <v>99</v>
      </c>
      <c r="N424" s="42" t="n">
        <v>972.1</v>
      </c>
      <c r="O424" s="42" t="n">
        <v>48.605</v>
      </c>
      <c r="P424" s="45" t="n">
        <v>8.7</v>
      </c>
      <c r="Q424" s="41" t="str">
        <f aca="false">CHOOSE(MONTH(K424),"Jan","Feb","Mar","Apr","May","Jun","Jul","Aug","Sep","Oct","Nov","Dec")</f>
        <v>Feb</v>
      </c>
      <c r="R424" s="41" t="n">
        <f aca="false">INT((K424-setMinDate)/7)+1</f>
        <v>6</v>
      </c>
      <c r="S424" s="41" t="n">
        <f aca="false">HOUR(L424)</f>
        <v>13</v>
      </c>
      <c r="T424" s="41" t="str">
        <f aca="false">IF(S424&lt;setMorningEnd,"Morning",IF(S424&lt;setAfternoonEnd,"Afternoon","Evening"))</f>
        <v>Afternoon</v>
      </c>
      <c r="U424" s="41" t="str">
        <f aca="false">IF(J424&gt;=setLarge,"Large",IF(J424&gt;=setMedium,"Medium","Small"))</f>
        <v>Large</v>
      </c>
      <c r="V424" s="41" t="str">
        <f aca="false">IF(P424&gt;=setExc,"Excellent",IF(P424&gt;=setGood,"Good",IF(P424&gt;=setAvg,"Average","Poor")))</f>
        <v>Good</v>
      </c>
    </row>
    <row r="425" customFormat="false" ht="15" hidden="false" customHeight="false" outlineLevel="0" collapsed="false">
      <c r="A425" s="41" t="s">
        <v>603</v>
      </c>
      <c r="B425" s="41" t="s">
        <v>189</v>
      </c>
      <c r="C425" s="41" t="s">
        <v>86</v>
      </c>
      <c r="D425" s="41" t="s">
        <v>104</v>
      </c>
      <c r="E425" s="41" t="s">
        <v>103</v>
      </c>
      <c r="F425" s="41" t="s">
        <v>79</v>
      </c>
      <c r="G425" s="42" t="n">
        <v>25.42</v>
      </c>
      <c r="H425" s="41" t="n">
        <v>8</v>
      </c>
      <c r="I425" s="42" t="n">
        <v>10.168</v>
      </c>
      <c r="J425" s="42" t="n">
        <v>213.528</v>
      </c>
      <c r="K425" s="43" t="n">
        <v>43543</v>
      </c>
      <c r="L425" s="44" t="n">
        <v>0.820833333333333</v>
      </c>
      <c r="M425" s="41" t="s">
        <v>99</v>
      </c>
      <c r="N425" s="42" t="n">
        <v>203.36</v>
      </c>
      <c r="O425" s="42" t="n">
        <v>10.168</v>
      </c>
      <c r="P425" s="45" t="n">
        <v>6.7</v>
      </c>
      <c r="Q425" s="41" t="str">
        <f aca="false">CHOOSE(MONTH(K425),"Jan","Feb","Mar","Apr","May","Jun","Jul","Aug","Sep","Oct","Nov","Dec")</f>
        <v>Mar</v>
      </c>
      <c r="R425" s="41" t="n">
        <f aca="false">INT((K425-setMinDate)/7)+1</f>
        <v>12</v>
      </c>
      <c r="S425" s="41" t="n">
        <f aca="false">HOUR(L425)</f>
        <v>19</v>
      </c>
      <c r="T425" s="41" t="str">
        <f aca="false">IF(S425&lt;setMorningEnd,"Morning",IF(S425&lt;setAfternoonEnd,"Afternoon","Evening"))</f>
        <v>Evening</v>
      </c>
      <c r="U425" s="41" t="str">
        <f aca="false">IF(J425&gt;=setLarge,"Large",IF(J425&gt;=setMedium,"Medium","Small"))</f>
        <v>Small</v>
      </c>
      <c r="V425" s="41" t="str">
        <f aca="false">IF(P425&gt;=setExc,"Excellent",IF(P425&gt;=setGood,"Good",IF(P425&gt;=setAvg,"Average","Poor")))</f>
        <v>Average</v>
      </c>
    </row>
    <row r="426" customFormat="false" ht="15" hidden="false" customHeight="false" outlineLevel="0" collapsed="false">
      <c r="A426" s="41" t="s">
        <v>604</v>
      </c>
      <c r="B426" s="41" t="s">
        <v>180</v>
      </c>
      <c r="C426" s="41" t="s">
        <v>87</v>
      </c>
      <c r="D426" s="41" t="s">
        <v>105</v>
      </c>
      <c r="E426" s="41" t="s">
        <v>103</v>
      </c>
      <c r="F426" s="41" t="s">
        <v>79</v>
      </c>
      <c r="G426" s="42" t="n">
        <v>16.28</v>
      </c>
      <c r="H426" s="41" t="n">
        <v>1</v>
      </c>
      <c r="I426" s="42" t="n">
        <v>0.814</v>
      </c>
      <c r="J426" s="42" t="n">
        <v>17.094</v>
      </c>
      <c r="K426" s="43" t="n">
        <v>43533</v>
      </c>
      <c r="L426" s="44" t="n">
        <v>0.65</v>
      </c>
      <c r="M426" s="41" t="s">
        <v>97</v>
      </c>
      <c r="N426" s="42" t="n">
        <v>16.28</v>
      </c>
      <c r="O426" s="42" t="n">
        <v>0.814</v>
      </c>
      <c r="P426" s="45" t="n">
        <v>5</v>
      </c>
      <c r="Q426" s="41" t="str">
        <f aca="false">CHOOSE(MONTH(K426),"Jan","Feb","Mar","Apr","May","Jun","Jul","Aug","Sep","Oct","Nov","Dec")</f>
        <v>Mar</v>
      </c>
      <c r="R426" s="41" t="n">
        <f aca="false">INT((K426-setMinDate)/7)+1</f>
        <v>10</v>
      </c>
      <c r="S426" s="41" t="n">
        <f aca="false">HOUR(L426)</f>
        <v>15</v>
      </c>
      <c r="T426" s="41" t="str">
        <f aca="false">IF(S426&lt;setMorningEnd,"Morning",IF(S426&lt;setAfternoonEnd,"Afternoon","Evening"))</f>
        <v>Afternoon</v>
      </c>
      <c r="U426" s="41" t="str">
        <f aca="false">IF(J426&gt;=setLarge,"Large",IF(J426&gt;=setMedium,"Medium","Small"))</f>
        <v>Small</v>
      </c>
      <c r="V426" s="41" t="str">
        <f aca="false">IF(P426&gt;=setExc,"Excellent",IF(P426&gt;=setGood,"Good",IF(P426&gt;=setAvg,"Average","Poor")))</f>
        <v>Average</v>
      </c>
    </row>
    <row r="427" customFormat="false" ht="15" hidden="false" customHeight="false" outlineLevel="0" collapsed="false">
      <c r="A427" s="41" t="s">
        <v>605</v>
      </c>
      <c r="B427" s="41" t="s">
        <v>189</v>
      </c>
      <c r="C427" s="41" t="s">
        <v>86</v>
      </c>
      <c r="D427" s="41" t="s">
        <v>104</v>
      </c>
      <c r="E427" s="41" t="s">
        <v>103</v>
      </c>
      <c r="F427" s="41" t="s">
        <v>79</v>
      </c>
      <c r="G427" s="42" t="n">
        <v>40.61</v>
      </c>
      <c r="H427" s="41" t="n">
        <v>9</v>
      </c>
      <c r="I427" s="42" t="n">
        <v>18.2745</v>
      </c>
      <c r="J427" s="42" t="n">
        <v>383.7645</v>
      </c>
      <c r="K427" s="43" t="n">
        <v>43467</v>
      </c>
      <c r="L427" s="44" t="n">
        <v>0.569444444444444</v>
      </c>
      <c r="M427" s="41" t="s">
        <v>97</v>
      </c>
      <c r="N427" s="42" t="n">
        <v>365.49</v>
      </c>
      <c r="O427" s="42" t="n">
        <v>18.2745</v>
      </c>
      <c r="P427" s="45" t="n">
        <v>7</v>
      </c>
      <c r="Q427" s="41" t="str">
        <f aca="false">CHOOSE(MONTH(K427),"Jan","Feb","Mar","Apr","May","Jun","Jul","Aug","Sep","Oct","Nov","Dec")</f>
        <v>Jan</v>
      </c>
      <c r="R427" s="41" t="n">
        <f aca="false">INT((K427-setMinDate)/7)+1</f>
        <v>1</v>
      </c>
      <c r="S427" s="41" t="n">
        <f aca="false">HOUR(L427)</f>
        <v>13</v>
      </c>
      <c r="T427" s="41" t="str">
        <f aca="false">IF(S427&lt;setMorningEnd,"Morning",IF(S427&lt;setAfternoonEnd,"Afternoon","Evening"))</f>
        <v>Afternoon</v>
      </c>
      <c r="U427" s="41" t="str">
        <f aca="false">IF(J427&gt;=setLarge,"Large",IF(J427&gt;=setMedium,"Medium","Small"))</f>
        <v>Medium</v>
      </c>
      <c r="V427" s="41" t="str">
        <f aca="false">IF(P427&gt;=setExc,"Excellent",IF(P427&gt;=setGood,"Good",IF(P427&gt;=setAvg,"Average","Poor")))</f>
        <v>Good</v>
      </c>
    </row>
    <row r="428" customFormat="false" ht="15" hidden="false" customHeight="false" outlineLevel="0" collapsed="false">
      <c r="A428" s="41" t="s">
        <v>606</v>
      </c>
      <c r="B428" s="41" t="s">
        <v>178</v>
      </c>
      <c r="C428" s="41" t="s">
        <v>85</v>
      </c>
      <c r="D428" s="41" t="s">
        <v>104</v>
      </c>
      <c r="E428" s="41" t="s">
        <v>103</v>
      </c>
      <c r="F428" s="41" t="s">
        <v>81</v>
      </c>
      <c r="G428" s="42" t="n">
        <v>53.17</v>
      </c>
      <c r="H428" s="41" t="n">
        <v>7</v>
      </c>
      <c r="I428" s="42" t="n">
        <v>18.6095</v>
      </c>
      <c r="J428" s="42" t="n">
        <v>390.7995</v>
      </c>
      <c r="K428" s="43" t="n">
        <v>43486</v>
      </c>
      <c r="L428" s="44" t="n">
        <v>0.750694444444444</v>
      </c>
      <c r="M428" s="41" t="s">
        <v>97</v>
      </c>
      <c r="N428" s="42" t="n">
        <v>372.19</v>
      </c>
      <c r="O428" s="42" t="n">
        <v>18.6095</v>
      </c>
      <c r="P428" s="45" t="n">
        <v>8.9</v>
      </c>
      <c r="Q428" s="41" t="str">
        <f aca="false">CHOOSE(MONTH(K428),"Jan","Feb","Mar","Apr","May","Jun","Jul","Aug","Sep","Oct","Nov","Dec")</f>
        <v>Jan</v>
      </c>
      <c r="R428" s="41" t="n">
        <f aca="false">INT((K428-setMinDate)/7)+1</f>
        <v>3</v>
      </c>
      <c r="S428" s="41" t="n">
        <f aca="false">HOUR(L428)</f>
        <v>18</v>
      </c>
      <c r="T428" s="41" t="str">
        <f aca="false">IF(S428&lt;setMorningEnd,"Morning",IF(S428&lt;setAfternoonEnd,"Afternoon","Evening"))</f>
        <v>Evening</v>
      </c>
      <c r="U428" s="41" t="str">
        <f aca="false">IF(J428&gt;=setLarge,"Large",IF(J428&gt;=setMedium,"Medium","Small"))</f>
        <v>Medium</v>
      </c>
      <c r="V428" s="41" t="str">
        <f aca="false">IF(P428&gt;=setExc,"Excellent",IF(P428&gt;=setGood,"Good",IF(P428&gt;=setAvg,"Average","Poor")))</f>
        <v>Good</v>
      </c>
    </row>
    <row r="429" customFormat="false" ht="15" hidden="false" customHeight="false" outlineLevel="0" collapsed="false">
      <c r="A429" s="41" t="s">
        <v>607</v>
      </c>
      <c r="B429" s="41" t="s">
        <v>189</v>
      </c>
      <c r="C429" s="41" t="s">
        <v>86</v>
      </c>
      <c r="D429" s="41" t="s">
        <v>104</v>
      </c>
      <c r="E429" s="41" t="s">
        <v>102</v>
      </c>
      <c r="F429" s="41" t="s">
        <v>76</v>
      </c>
      <c r="G429" s="42" t="n">
        <v>20.87</v>
      </c>
      <c r="H429" s="41" t="n">
        <v>3</v>
      </c>
      <c r="I429" s="42" t="n">
        <v>3.1305</v>
      </c>
      <c r="J429" s="42" t="n">
        <v>65.7405</v>
      </c>
      <c r="K429" s="43" t="n">
        <v>43544</v>
      </c>
      <c r="L429" s="44" t="n">
        <v>0.578472222222222</v>
      </c>
      <c r="M429" s="41" t="s">
        <v>99</v>
      </c>
      <c r="N429" s="42" t="n">
        <v>62.61</v>
      </c>
      <c r="O429" s="42" t="n">
        <v>3.1305</v>
      </c>
      <c r="P429" s="45" t="n">
        <v>8</v>
      </c>
      <c r="Q429" s="41" t="str">
        <f aca="false">CHOOSE(MONTH(K429),"Jan","Feb","Mar","Apr","May","Jun","Jul","Aug","Sep","Oct","Nov","Dec")</f>
        <v>Mar</v>
      </c>
      <c r="R429" s="41" t="n">
        <f aca="false">INT((K429-setMinDate)/7)+1</f>
        <v>12</v>
      </c>
      <c r="S429" s="41" t="n">
        <f aca="false">HOUR(L429)</f>
        <v>13</v>
      </c>
      <c r="T429" s="41" t="str">
        <f aca="false">IF(S429&lt;setMorningEnd,"Morning",IF(S429&lt;setAfternoonEnd,"Afternoon","Evening"))</f>
        <v>Afternoon</v>
      </c>
      <c r="U429" s="41" t="str">
        <f aca="false">IF(J429&gt;=setLarge,"Large",IF(J429&gt;=setMedium,"Medium","Small"))</f>
        <v>Small</v>
      </c>
      <c r="V429" s="41" t="str">
        <f aca="false">IF(P429&gt;=setExc,"Excellent",IF(P429&gt;=setGood,"Good",IF(P429&gt;=setAvg,"Average","Poor")))</f>
        <v>Good</v>
      </c>
    </row>
    <row r="430" customFormat="false" ht="15" hidden="false" customHeight="false" outlineLevel="0" collapsed="false">
      <c r="A430" s="41" t="s">
        <v>608</v>
      </c>
      <c r="B430" s="41" t="s">
        <v>189</v>
      </c>
      <c r="C430" s="41" t="s">
        <v>86</v>
      </c>
      <c r="D430" s="41" t="s">
        <v>105</v>
      </c>
      <c r="E430" s="41" t="s">
        <v>103</v>
      </c>
      <c r="F430" s="41" t="s">
        <v>77</v>
      </c>
      <c r="G430" s="42" t="n">
        <v>67.27</v>
      </c>
      <c r="H430" s="41" t="n">
        <v>5</v>
      </c>
      <c r="I430" s="42" t="n">
        <v>16.8175</v>
      </c>
      <c r="J430" s="42" t="n">
        <v>353.1675</v>
      </c>
      <c r="K430" s="43" t="n">
        <v>43523</v>
      </c>
      <c r="L430" s="44" t="n">
        <v>0.727083333333333</v>
      </c>
      <c r="M430" s="41" t="s">
        <v>97</v>
      </c>
      <c r="N430" s="42" t="n">
        <v>336.35</v>
      </c>
      <c r="O430" s="42" t="n">
        <v>16.8175</v>
      </c>
      <c r="P430" s="45" t="n">
        <v>6.9</v>
      </c>
      <c r="Q430" s="41" t="str">
        <f aca="false">CHOOSE(MONTH(K430),"Jan","Feb","Mar","Apr","May","Jun","Jul","Aug","Sep","Oct","Nov","Dec")</f>
        <v>Feb</v>
      </c>
      <c r="R430" s="41" t="n">
        <f aca="false">INT((K430-setMinDate)/7)+1</f>
        <v>9</v>
      </c>
      <c r="S430" s="41" t="n">
        <f aca="false">HOUR(L430)</f>
        <v>17</v>
      </c>
      <c r="T430" s="41" t="str">
        <f aca="false">IF(S430&lt;setMorningEnd,"Morning",IF(S430&lt;setAfternoonEnd,"Afternoon","Evening"))</f>
        <v>Evening</v>
      </c>
      <c r="U430" s="41" t="str">
        <f aca="false">IF(J430&gt;=setLarge,"Large",IF(J430&gt;=setMedium,"Medium","Small"))</f>
        <v>Medium</v>
      </c>
      <c r="V430" s="41" t="str">
        <f aca="false">IF(P430&gt;=setExc,"Excellent",IF(P430&gt;=setGood,"Good",IF(P430&gt;=setAvg,"Average","Poor")))</f>
        <v>Average</v>
      </c>
    </row>
    <row r="431" customFormat="false" ht="15" hidden="false" customHeight="false" outlineLevel="0" collapsed="false">
      <c r="A431" s="41" t="s">
        <v>609</v>
      </c>
      <c r="B431" s="41" t="s">
        <v>178</v>
      </c>
      <c r="C431" s="41" t="s">
        <v>85</v>
      </c>
      <c r="D431" s="41" t="s">
        <v>104</v>
      </c>
      <c r="E431" s="41" t="s">
        <v>102</v>
      </c>
      <c r="F431" s="41" t="s">
        <v>80</v>
      </c>
      <c r="G431" s="42" t="n">
        <v>90.65</v>
      </c>
      <c r="H431" s="41" t="n">
        <v>10</v>
      </c>
      <c r="I431" s="42" t="n">
        <v>45.325</v>
      </c>
      <c r="J431" s="42" t="n">
        <v>951.825</v>
      </c>
      <c r="K431" s="43" t="n">
        <v>43532</v>
      </c>
      <c r="L431" s="44" t="n">
        <v>0.453472222222222</v>
      </c>
      <c r="M431" s="41" t="s">
        <v>98</v>
      </c>
      <c r="N431" s="42" t="n">
        <v>906.5</v>
      </c>
      <c r="O431" s="42" t="n">
        <v>45.325</v>
      </c>
      <c r="P431" s="45" t="n">
        <v>7.3</v>
      </c>
      <c r="Q431" s="41" t="str">
        <f aca="false">CHOOSE(MONTH(K431),"Jan","Feb","Mar","Apr","May","Jun","Jul","Aug","Sep","Oct","Nov","Dec")</f>
        <v>Mar</v>
      </c>
      <c r="R431" s="41" t="n">
        <f aca="false">INT((K431-setMinDate)/7)+1</f>
        <v>10</v>
      </c>
      <c r="S431" s="41" t="n">
        <f aca="false">HOUR(L431)</f>
        <v>10</v>
      </c>
      <c r="T431" s="41" t="str">
        <f aca="false">IF(S431&lt;setMorningEnd,"Morning",IF(S431&lt;setAfternoonEnd,"Afternoon","Evening"))</f>
        <v>Morning</v>
      </c>
      <c r="U431" s="41" t="str">
        <f aca="false">IF(J431&gt;=setLarge,"Large",IF(J431&gt;=setMedium,"Medium","Small"))</f>
        <v>Large</v>
      </c>
      <c r="V431" s="41" t="str">
        <f aca="false">IF(P431&gt;=setExc,"Excellent",IF(P431&gt;=setGood,"Good",IF(P431&gt;=setAvg,"Average","Poor")))</f>
        <v>Good</v>
      </c>
    </row>
    <row r="432" customFormat="false" ht="15" hidden="false" customHeight="false" outlineLevel="0" collapsed="false">
      <c r="A432" s="41" t="s">
        <v>610</v>
      </c>
      <c r="B432" s="41" t="s">
        <v>189</v>
      </c>
      <c r="C432" s="41" t="s">
        <v>86</v>
      </c>
      <c r="D432" s="41" t="s">
        <v>105</v>
      </c>
      <c r="E432" s="41" t="s">
        <v>103</v>
      </c>
      <c r="F432" s="41" t="s">
        <v>79</v>
      </c>
      <c r="G432" s="42" t="n">
        <v>69.08</v>
      </c>
      <c r="H432" s="41" t="n">
        <v>2</v>
      </c>
      <c r="I432" s="42" t="n">
        <v>6.908</v>
      </c>
      <c r="J432" s="42" t="n">
        <v>145.068</v>
      </c>
      <c r="K432" s="43" t="n">
        <v>43496</v>
      </c>
      <c r="L432" s="44" t="n">
        <v>0.825</v>
      </c>
      <c r="M432" s="41" t="s">
        <v>99</v>
      </c>
      <c r="N432" s="42" t="n">
        <v>138.16</v>
      </c>
      <c r="O432" s="42" t="n">
        <v>6.908</v>
      </c>
      <c r="P432" s="45" t="n">
        <v>6.9</v>
      </c>
      <c r="Q432" s="41" t="str">
        <f aca="false">CHOOSE(MONTH(K432),"Jan","Feb","Mar","Apr","May","Jun","Jul","Aug","Sep","Oct","Nov","Dec")</f>
        <v>Jan</v>
      </c>
      <c r="R432" s="41" t="n">
        <f aca="false">INT((K432-setMinDate)/7)+1</f>
        <v>5</v>
      </c>
      <c r="S432" s="41" t="n">
        <f aca="false">HOUR(L432)</f>
        <v>19</v>
      </c>
      <c r="T432" s="41" t="str">
        <f aca="false">IF(S432&lt;setMorningEnd,"Morning",IF(S432&lt;setAfternoonEnd,"Afternoon","Evening"))</f>
        <v>Evening</v>
      </c>
      <c r="U432" s="41" t="str">
        <f aca="false">IF(J432&gt;=setLarge,"Large",IF(J432&gt;=setMedium,"Medium","Small"))</f>
        <v>Small</v>
      </c>
      <c r="V432" s="41" t="str">
        <f aca="false">IF(P432&gt;=setExc,"Excellent",IF(P432&gt;=setGood,"Good",IF(P432&gt;=setAvg,"Average","Poor")))</f>
        <v>Average</v>
      </c>
    </row>
    <row r="433" customFormat="false" ht="15" hidden="false" customHeight="false" outlineLevel="0" collapsed="false">
      <c r="A433" s="41" t="s">
        <v>611</v>
      </c>
      <c r="B433" s="41" t="s">
        <v>180</v>
      </c>
      <c r="C433" s="41" t="s">
        <v>87</v>
      </c>
      <c r="D433" s="41" t="s">
        <v>105</v>
      </c>
      <c r="E433" s="41" t="s">
        <v>103</v>
      </c>
      <c r="F433" s="41" t="s">
        <v>76</v>
      </c>
      <c r="G433" s="42" t="n">
        <v>43.27</v>
      </c>
      <c r="H433" s="41" t="n">
        <v>2</v>
      </c>
      <c r="I433" s="42" t="n">
        <v>4.327</v>
      </c>
      <c r="J433" s="42" t="n">
        <v>90.867</v>
      </c>
      <c r="K433" s="43" t="n">
        <v>43532</v>
      </c>
      <c r="L433" s="44" t="n">
        <v>0.703472222222222</v>
      </c>
      <c r="M433" s="41" t="s">
        <v>98</v>
      </c>
      <c r="N433" s="42" t="n">
        <v>86.54</v>
      </c>
      <c r="O433" s="42" t="n">
        <v>4.327</v>
      </c>
      <c r="P433" s="45" t="n">
        <v>5.7</v>
      </c>
      <c r="Q433" s="41" t="str">
        <f aca="false">CHOOSE(MONTH(K433),"Jan","Feb","Mar","Apr","May","Jun","Jul","Aug","Sep","Oct","Nov","Dec")</f>
        <v>Mar</v>
      </c>
      <c r="R433" s="41" t="n">
        <f aca="false">INT((K433-setMinDate)/7)+1</f>
        <v>10</v>
      </c>
      <c r="S433" s="41" t="n">
        <f aca="false">HOUR(L433)</f>
        <v>16</v>
      </c>
      <c r="T433" s="41" t="str">
        <f aca="false">IF(S433&lt;setMorningEnd,"Morning",IF(S433&lt;setAfternoonEnd,"Afternoon","Evening"))</f>
        <v>Afternoon</v>
      </c>
      <c r="U433" s="41" t="str">
        <f aca="false">IF(J433&gt;=setLarge,"Large",IF(J433&gt;=setMedium,"Medium","Small"))</f>
        <v>Small</v>
      </c>
      <c r="V433" s="41" t="str">
        <f aca="false">IF(P433&gt;=setExc,"Excellent",IF(P433&gt;=setGood,"Good",IF(P433&gt;=setAvg,"Average","Poor")))</f>
        <v>Average</v>
      </c>
    </row>
    <row r="434" customFormat="false" ht="15" hidden="false" customHeight="false" outlineLevel="0" collapsed="false">
      <c r="A434" s="41" t="s">
        <v>612</v>
      </c>
      <c r="B434" s="41" t="s">
        <v>178</v>
      </c>
      <c r="C434" s="41" t="s">
        <v>85</v>
      </c>
      <c r="D434" s="41" t="s">
        <v>105</v>
      </c>
      <c r="E434" s="41" t="s">
        <v>102</v>
      </c>
      <c r="F434" s="41" t="s">
        <v>78</v>
      </c>
      <c r="G434" s="42" t="n">
        <v>23.46</v>
      </c>
      <c r="H434" s="41" t="n">
        <v>6</v>
      </c>
      <c r="I434" s="42" t="n">
        <v>7.038</v>
      </c>
      <c r="J434" s="42" t="n">
        <v>147.798</v>
      </c>
      <c r="K434" s="43" t="n">
        <v>43478</v>
      </c>
      <c r="L434" s="44" t="n">
        <v>0.801388888888889</v>
      </c>
      <c r="M434" s="41" t="s">
        <v>98</v>
      </c>
      <c r="N434" s="42" t="n">
        <v>140.76</v>
      </c>
      <c r="O434" s="42" t="n">
        <v>7.038</v>
      </c>
      <c r="P434" s="45" t="n">
        <v>6.4</v>
      </c>
      <c r="Q434" s="41" t="str">
        <f aca="false">CHOOSE(MONTH(K434),"Jan","Feb","Mar","Apr","May","Jun","Jul","Aug","Sep","Oct","Nov","Dec")</f>
        <v>Jan</v>
      </c>
      <c r="R434" s="41" t="n">
        <f aca="false">INT((K434-setMinDate)/7)+1</f>
        <v>2</v>
      </c>
      <c r="S434" s="41" t="n">
        <f aca="false">HOUR(L434)</f>
        <v>19</v>
      </c>
      <c r="T434" s="41" t="str">
        <f aca="false">IF(S434&lt;setMorningEnd,"Morning",IF(S434&lt;setAfternoonEnd,"Afternoon","Evening"))</f>
        <v>Evening</v>
      </c>
      <c r="U434" s="41" t="str">
        <f aca="false">IF(J434&gt;=setLarge,"Large",IF(J434&gt;=setMedium,"Medium","Small"))</f>
        <v>Small</v>
      </c>
      <c r="V434" s="41" t="str">
        <f aca="false">IF(P434&gt;=setExc,"Excellent",IF(P434&gt;=setGood,"Good",IF(P434&gt;=setAvg,"Average","Poor")))</f>
        <v>Average</v>
      </c>
    </row>
    <row r="435" customFormat="false" ht="15" hidden="false" customHeight="false" outlineLevel="0" collapsed="false">
      <c r="A435" s="41" t="s">
        <v>613</v>
      </c>
      <c r="B435" s="41" t="s">
        <v>189</v>
      </c>
      <c r="C435" s="41" t="s">
        <v>86</v>
      </c>
      <c r="D435" s="41" t="s">
        <v>105</v>
      </c>
      <c r="E435" s="41" t="s">
        <v>103</v>
      </c>
      <c r="F435" s="41" t="s">
        <v>79</v>
      </c>
      <c r="G435" s="42" t="n">
        <v>95.54</v>
      </c>
      <c r="H435" s="41" t="n">
        <v>7</v>
      </c>
      <c r="I435" s="42" t="n">
        <v>33.439</v>
      </c>
      <c r="J435" s="42" t="n">
        <v>702.219</v>
      </c>
      <c r="K435" s="43" t="n">
        <v>43533</v>
      </c>
      <c r="L435" s="44" t="n">
        <v>0.608333333333333</v>
      </c>
      <c r="M435" s="41" t="s">
        <v>99</v>
      </c>
      <c r="N435" s="42" t="n">
        <v>668.78</v>
      </c>
      <c r="O435" s="42" t="n">
        <v>33.439</v>
      </c>
      <c r="P435" s="45" t="n">
        <v>9.6</v>
      </c>
      <c r="Q435" s="41" t="str">
        <f aca="false">CHOOSE(MONTH(K435),"Jan","Feb","Mar","Apr","May","Jun","Jul","Aug","Sep","Oct","Nov","Dec")</f>
        <v>Mar</v>
      </c>
      <c r="R435" s="41" t="n">
        <f aca="false">INT((K435-setMinDate)/7)+1</f>
        <v>10</v>
      </c>
      <c r="S435" s="41" t="n">
        <f aca="false">HOUR(L435)</f>
        <v>14</v>
      </c>
      <c r="T435" s="41" t="str">
        <f aca="false">IF(S435&lt;setMorningEnd,"Morning",IF(S435&lt;setAfternoonEnd,"Afternoon","Evening"))</f>
        <v>Afternoon</v>
      </c>
      <c r="U435" s="41" t="str">
        <f aca="false">IF(J435&gt;=setLarge,"Large",IF(J435&gt;=setMedium,"Medium","Small"))</f>
        <v>Large</v>
      </c>
      <c r="V435" s="41" t="str">
        <f aca="false">IF(P435&gt;=setExc,"Excellent",IF(P435&gt;=setGood,"Good",IF(P435&gt;=setAvg,"Average","Poor")))</f>
        <v>Excellent</v>
      </c>
    </row>
    <row r="436" customFormat="false" ht="15" hidden="false" customHeight="false" outlineLevel="0" collapsed="false">
      <c r="A436" s="41" t="s">
        <v>614</v>
      </c>
      <c r="B436" s="41" t="s">
        <v>189</v>
      </c>
      <c r="C436" s="41" t="s">
        <v>86</v>
      </c>
      <c r="D436" s="41" t="s">
        <v>105</v>
      </c>
      <c r="E436" s="41" t="s">
        <v>102</v>
      </c>
      <c r="F436" s="41" t="s">
        <v>79</v>
      </c>
      <c r="G436" s="42" t="n">
        <v>47.44</v>
      </c>
      <c r="H436" s="41" t="n">
        <v>1</v>
      </c>
      <c r="I436" s="42" t="n">
        <v>2.372</v>
      </c>
      <c r="J436" s="42" t="n">
        <v>49.812</v>
      </c>
      <c r="K436" s="43" t="n">
        <v>43518</v>
      </c>
      <c r="L436" s="44" t="n">
        <v>0.763194444444444</v>
      </c>
      <c r="M436" s="41" t="s">
        <v>99</v>
      </c>
      <c r="N436" s="42" t="n">
        <v>47.44</v>
      </c>
      <c r="O436" s="42" t="n">
        <v>2.372</v>
      </c>
      <c r="P436" s="45" t="n">
        <v>6.8</v>
      </c>
      <c r="Q436" s="41" t="str">
        <f aca="false">CHOOSE(MONTH(K436),"Jan","Feb","Mar","Apr","May","Jun","Jul","Aug","Sep","Oct","Nov","Dec")</f>
        <v>Feb</v>
      </c>
      <c r="R436" s="41" t="n">
        <f aca="false">INT((K436-setMinDate)/7)+1</f>
        <v>8</v>
      </c>
      <c r="S436" s="41" t="n">
        <f aca="false">HOUR(L436)</f>
        <v>18</v>
      </c>
      <c r="T436" s="41" t="str">
        <f aca="false">IF(S436&lt;setMorningEnd,"Morning",IF(S436&lt;setAfternoonEnd,"Afternoon","Evening"))</f>
        <v>Evening</v>
      </c>
      <c r="U436" s="41" t="str">
        <f aca="false">IF(J436&gt;=setLarge,"Large",IF(J436&gt;=setMedium,"Medium","Small"))</f>
        <v>Small</v>
      </c>
      <c r="V436" s="41" t="str">
        <f aca="false">IF(P436&gt;=setExc,"Excellent",IF(P436&gt;=setGood,"Good",IF(P436&gt;=setAvg,"Average","Poor")))</f>
        <v>Average</v>
      </c>
    </row>
    <row r="437" customFormat="false" ht="15" hidden="false" customHeight="false" outlineLevel="0" collapsed="false">
      <c r="A437" s="41" t="s">
        <v>615</v>
      </c>
      <c r="B437" s="41" t="s">
        <v>180</v>
      </c>
      <c r="C437" s="41" t="s">
        <v>87</v>
      </c>
      <c r="D437" s="41" t="s">
        <v>105</v>
      </c>
      <c r="E437" s="41" t="s">
        <v>103</v>
      </c>
      <c r="F437" s="41" t="s">
        <v>77</v>
      </c>
      <c r="G437" s="42" t="n">
        <v>99.24</v>
      </c>
      <c r="H437" s="41" t="n">
        <v>9</v>
      </c>
      <c r="I437" s="42" t="n">
        <v>44.658</v>
      </c>
      <c r="J437" s="42" t="n">
        <v>937.818</v>
      </c>
      <c r="K437" s="43" t="n">
        <v>43543</v>
      </c>
      <c r="L437" s="44" t="n">
        <v>0.797916666666667</v>
      </c>
      <c r="M437" s="41" t="s">
        <v>98</v>
      </c>
      <c r="N437" s="42" t="n">
        <v>893.16</v>
      </c>
      <c r="O437" s="42" t="n">
        <v>44.658</v>
      </c>
      <c r="P437" s="45" t="n">
        <v>9</v>
      </c>
      <c r="Q437" s="41" t="str">
        <f aca="false">CHOOSE(MONTH(K437),"Jan","Feb","Mar","Apr","May","Jun","Jul","Aug","Sep","Oct","Nov","Dec")</f>
        <v>Mar</v>
      </c>
      <c r="R437" s="41" t="n">
        <f aca="false">INT((K437-setMinDate)/7)+1</f>
        <v>12</v>
      </c>
      <c r="S437" s="41" t="n">
        <f aca="false">HOUR(L437)</f>
        <v>19</v>
      </c>
      <c r="T437" s="41" t="str">
        <f aca="false">IF(S437&lt;setMorningEnd,"Morning",IF(S437&lt;setAfternoonEnd,"Afternoon","Evening"))</f>
        <v>Evening</v>
      </c>
      <c r="U437" s="41" t="str">
        <f aca="false">IF(J437&gt;=setLarge,"Large",IF(J437&gt;=setMedium,"Medium","Small"))</f>
        <v>Large</v>
      </c>
      <c r="V437" s="41" t="str">
        <f aca="false">IF(P437&gt;=setExc,"Excellent",IF(P437&gt;=setGood,"Good",IF(P437&gt;=setAvg,"Average","Poor")))</f>
        <v>Excellent</v>
      </c>
    </row>
    <row r="438" customFormat="false" ht="15" hidden="false" customHeight="false" outlineLevel="0" collapsed="false">
      <c r="A438" s="41" t="s">
        <v>616</v>
      </c>
      <c r="B438" s="41" t="s">
        <v>180</v>
      </c>
      <c r="C438" s="41" t="s">
        <v>87</v>
      </c>
      <c r="D438" s="41" t="s">
        <v>104</v>
      </c>
      <c r="E438" s="41" t="s">
        <v>103</v>
      </c>
      <c r="F438" s="41" t="s">
        <v>77</v>
      </c>
      <c r="G438" s="42" t="n">
        <v>82.93</v>
      </c>
      <c r="H438" s="41" t="n">
        <v>4</v>
      </c>
      <c r="I438" s="42" t="n">
        <v>16.586</v>
      </c>
      <c r="J438" s="42" t="n">
        <v>348.306</v>
      </c>
      <c r="K438" s="43" t="n">
        <v>43485</v>
      </c>
      <c r="L438" s="44" t="n">
        <v>0.702083333333333</v>
      </c>
      <c r="M438" s="41" t="s">
        <v>98</v>
      </c>
      <c r="N438" s="42" t="n">
        <v>331.72</v>
      </c>
      <c r="O438" s="42" t="n">
        <v>16.586</v>
      </c>
      <c r="P438" s="45" t="n">
        <v>9.6</v>
      </c>
      <c r="Q438" s="41" t="str">
        <f aca="false">CHOOSE(MONTH(K438),"Jan","Feb","Mar","Apr","May","Jun","Jul","Aug","Sep","Oct","Nov","Dec")</f>
        <v>Jan</v>
      </c>
      <c r="R438" s="41" t="n">
        <f aca="false">INT((K438-setMinDate)/7)+1</f>
        <v>3</v>
      </c>
      <c r="S438" s="41" t="n">
        <f aca="false">HOUR(L438)</f>
        <v>16</v>
      </c>
      <c r="T438" s="41" t="str">
        <f aca="false">IF(S438&lt;setMorningEnd,"Morning",IF(S438&lt;setAfternoonEnd,"Afternoon","Evening"))</f>
        <v>Afternoon</v>
      </c>
      <c r="U438" s="41" t="str">
        <f aca="false">IF(J438&gt;=setLarge,"Large",IF(J438&gt;=setMedium,"Medium","Small"))</f>
        <v>Medium</v>
      </c>
      <c r="V438" s="41" t="str">
        <f aca="false">IF(P438&gt;=setExc,"Excellent",IF(P438&gt;=setGood,"Good",IF(P438&gt;=setAvg,"Average","Poor")))</f>
        <v>Excellent</v>
      </c>
    </row>
    <row r="439" customFormat="false" ht="15" hidden="false" customHeight="false" outlineLevel="0" collapsed="false">
      <c r="A439" s="41" t="s">
        <v>617</v>
      </c>
      <c r="B439" s="41" t="s">
        <v>178</v>
      </c>
      <c r="C439" s="41" t="s">
        <v>85</v>
      </c>
      <c r="D439" s="41" t="s">
        <v>105</v>
      </c>
      <c r="E439" s="41" t="s">
        <v>103</v>
      </c>
      <c r="F439" s="41" t="s">
        <v>80</v>
      </c>
      <c r="G439" s="42" t="n">
        <v>33.99</v>
      </c>
      <c r="H439" s="41" t="n">
        <v>6</v>
      </c>
      <c r="I439" s="42" t="n">
        <v>10.197</v>
      </c>
      <c r="J439" s="42" t="n">
        <v>214.137</v>
      </c>
      <c r="K439" s="43" t="n">
        <v>43532</v>
      </c>
      <c r="L439" s="44" t="n">
        <v>0.650694444444445</v>
      </c>
      <c r="M439" s="41" t="s">
        <v>99</v>
      </c>
      <c r="N439" s="42" t="n">
        <v>203.94</v>
      </c>
      <c r="O439" s="42" t="n">
        <v>10.197</v>
      </c>
      <c r="P439" s="45" t="n">
        <v>7.7</v>
      </c>
      <c r="Q439" s="41" t="str">
        <f aca="false">CHOOSE(MONTH(K439),"Jan","Feb","Mar","Apr","May","Jun","Jul","Aug","Sep","Oct","Nov","Dec")</f>
        <v>Mar</v>
      </c>
      <c r="R439" s="41" t="n">
        <f aca="false">INT((K439-setMinDate)/7)+1</f>
        <v>10</v>
      </c>
      <c r="S439" s="41" t="n">
        <f aca="false">HOUR(L439)</f>
        <v>15</v>
      </c>
      <c r="T439" s="41" t="str">
        <f aca="false">IF(S439&lt;setMorningEnd,"Morning",IF(S439&lt;setAfternoonEnd,"Afternoon","Evening"))</f>
        <v>Afternoon</v>
      </c>
      <c r="U439" s="41" t="str">
        <f aca="false">IF(J439&gt;=setLarge,"Large",IF(J439&gt;=setMedium,"Medium","Small"))</f>
        <v>Small</v>
      </c>
      <c r="V439" s="41" t="str">
        <f aca="false">IF(P439&gt;=setExc,"Excellent",IF(P439&gt;=setGood,"Good",IF(P439&gt;=setAvg,"Average","Poor")))</f>
        <v>Good</v>
      </c>
    </row>
    <row r="440" customFormat="false" ht="15" hidden="false" customHeight="false" outlineLevel="0" collapsed="false">
      <c r="A440" s="41" t="s">
        <v>618</v>
      </c>
      <c r="B440" s="41" t="s">
        <v>180</v>
      </c>
      <c r="C440" s="41" t="s">
        <v>87</v>
      </c>
      <c r="D440" s="41" t="s">
        <v>104</v>
      </c>
      <c r="E440" s="41" t="s">
        <v>103</v>
      </c>
      <c r="F440" s="41" t="s">
        <v>76</v>
      </c>
      <c r="G440" s="42" t="n">
        <v>17.04</v>
      </c>
      <c r="H440" s="41" t="n">
        <v>4</v>
      </c>
      <c r="I440" s="42" t="n">
        <v>3.408</v>
      </c>
      <c r="J440" s="42" t="n">
        <v>71.568</v>
      </c>
      <c r="K440" s="43" t="n">
        <v>43532</v>
      </c>
      <c r="L440" s="44" t="n">
        <v>0.84375</v>
      </c>
      <c r="M440" s="41" t="s">
        <v>98</v>
      </c>
      <c r="N440" s="42" t="n">
        <v>68.16</v>
      </c>
      <c r="O440" s="42" t="n">
        <v>3.408</v>
      </c>
      <c r="P440" s="45" t="n">
        <v>7</v>
      </c>
      <c r="Q440" s="41" t="str">
        <f aca="false">CHOOSE(MONTH(K440),"Jan","Feb","Mar","Apr","May","Jun","Jul","Aug","Sep","Oct","Nov","Dec")</f>
        <v>Mar</v>
      </c>
      <c r="R440" s="41" t="n">
        <f aca="false">INT((K440-setMinDate)/7)+1</f>
        <v>10</v>
      </c>
      <c r="S440" s="41" t="n">
        <f aca="false">HOUR(L440)</f>
        <v>20</v>
      </c>
      <c r="T440" s="41" t="str">
        <f aca="false">IF(S440&lt;setMorningEnd,"Morning",IF(S440&lt;setAfternoonEnd,"Afternoon","Evening"))</f>
        <v>Evening</v>
      </c>
      <c r="U440" s="41" t="str">
        <f aca="false">IF(J440&gt;=setLarge,"Large",IF(J440&gt;=setMedium,"Medium","Small"))</f>
        <v>Small</v>
      </c>
      <c r="V440" s="41" t="str">
        <f aca="false">IF(P440&gt;=setExc,"Excellent",IF(P440&gt;=setGood,"Good",IF(P440&gt;=setAvg,"Average","Poor")))</f>
        <v>Good</v>
      </c>
    </row>
    <row r="441" customFormat="false" ht="15" hidden="false" customHeight="false" outlineLevel="0" collapsed="false">
      <c r="A441" s="41" t="s">
        <v>619</v>
      </c>
      <c r="B441" s="41" t="s">
        <v>180</v>
      </c>
      <c r="C441" s="41" t="s">
        <v>87</v>
      </c>
      <c r="D441" s="41" t="s">
        <v>105</v>
      </c>
      <c r="E441" s="41" t="s">
        <v>102</v>
      </c>
      <c r="F441" s="41" t="s">
        <v>78</v>
      </c>
      <c r="G441" s="42" t="n">
        <v>40.86</v>
      </c>
      <c r="H441" s="41" t="n">
        <v>8</v>
      </c>
      <c r="I441" s="42" t="n">
        <v>16.344</v>
      </c>
      <c r="J441" s="42" t="n">
        <v>343.224</v>
      </c>
      <c r="K441" s="43" t="n">
        <v>43503</v>
      </c>
      <c r="L441" s="44" t="n">
        <v>0.609722222222222</v>
      </c>
      <c r="M441" s="41" t="s">
        <v>99</v>
      </c>
      <c r="N441" s="42" t="n">
        <v>326.88</v>
      </c>
      <c r="O441" s="42" t="n">
        <v>16.344</v>
      </c>
      <c r="P441" s="45" t="n">
        <v>6.5</v>
      </c>
      <c r="Q441" s="41" t="str">
        <f aca="false">CHOOSE(MONTH(K441),"Jan","Feb","Mar","Apr","May","Jun","Jul","Aug","Sep","Oct","Nov","Dec")</f>
        <v>Feb</v>
      </c>
      <c r="R441" s="41" t="n">
        <f aca="false">INT((K441-setMinDate)/7)+1</f>
        <v>6</v>
      </c>
      <c r="S441" s="41" t="n">
        <f aca="false">HOUR(L441)</f>
        <v>14</v>
      </c>
      <c r="T441" s="41" t="str">
        <f aca="false">IF(S441&lt;setMorningEnd,"Morning",IF(S441&lt;setAfternoonEnd,"Afternoon","Evening"))</f>
        <v>Afternoon</v>
      </c>
      <c r="U441" s="41" t="str">
        <f aca="false">IF(J441&gt;=setLarge,"Large",IF(J441&gt;=setMedium,"Medium","Small"))</f>
        <v>Medium</v>
      </c>
      <c r="V441" s="41" t="str">
        <f aca="false">IF(P441&gt;=setExc,"Excellent",IF(P441&gt;=setGood,"Good",IF(P441&gt;=setAvg,"Average","Poor")))</f>
        <v>Average</v>
      </c>
    </row>
    <row r="442" customFormat="false" ht="15" hidden="false" customHeight="false" outlineLevel="0" collapsed="false">
      <c r="A442" s="41" t="s">
        <v>620</v>
      </c>
      <c r="B442" s="41" t="s">
        <v>180</v>
      </c>
      <c r="C442" s="41" t="s">
        <v>87</v>
      </c>
      <c r="D442" s="41" t="s">
        <v>104</v>
      </c>
      <c r="E442" s="41" t="s">
        <v>103</v>
      </c>
      <c r="F442" s="41" t="s">
        <v>76</v>
      </c>
      <c r="G442" s="42" t="n">
        <v>17.44</v>
      </c>
      <c r="H442" s="41" t="n">
        <v>5</v>
      </c>
      <c r="I442" s="42" t="n">
        <v>4.36</v>
      </c>
      <c r="J442" s="42" t="n">
        <v>91.56</v>
      </c>
      <c r="K442" s="43" t="n">
        <v>43480</v>
      </c>
      <c r="L442" s="44" t="n">
        <v>0.809027777777778</v>
      </c>
      <c r="M442" s="41" t="s">
        <v>97</v>
      </c>
      <c r="N442" s="42" t="n">
        <v>87.2</v>
      </c>
      <c r="O442" s="42" t="n">
        <v>4.36</v>
      </c>
      <c r="P442" s="45" t="n">
        <v>8.1</v>
      </c>
      <c r="Q442" s="41" t="str">
        <f aca="false">CHOOSE(MONTH(K442),"Jan","Feb","Mar","Apr","May","Jun","Jul","Aug","Sep","Oct","Nov","Dec")</f>
        <v>Jan</v>
      </c>
      <c r="R442" s="41" t="n">
        <f aca="false">INT((K442-setMinDate)/7)+1</f>
        <v>3</v>
      </c>
      <c r="S442" s="41" t="n">
        <f aca="false">HOUR(L442)</f>
        <v>19</v>
      </c>
      <c r="T442" s="41" t="str">
        <f aca="false">IF(S442&lt;setMorningEnd,"Morning",IF(S442&lt;setAfternoonEnd,"Afternoon","Evening"))</f>
        <v>Evening</v>
      </c>
      <c r="U442" s="41" t="str">
        <f aca="false">IF(J442&gt;=setLarge,"Large",IF(J442&gt;=setMedium,"Medium","Small"))</f>
        <v>Small</v>
      </c>
      <c r="V442" s="41" t="str">
        <f aca="false">IF(P442&gt;=setExc,"Excellent",IF(P442&gt;=setGood,"Good",IF(P442&gt;=setAvg,"Average","Poor")))</f>
        <v>Good</v>
      </c>
    </row>
    <row r="443" customFormat="false" ht="15" hidden="false" customHeight="false" outlineLevel="0" collapsed="false">
      <c r="A443" s="41" t="s">
        <v>621</v>
      </c>
      <c r="B443" s="41" t="s">
        <v>189</v>
      </c>
      <c r="C443" s="41" t="s">
        <v>86</v>
      </c>
      <c r="D443" s="41" t="s">
        <v>104</v>
      </c>
      <c r="E443" s="41" t="s">
        <v>102</v>
      </c>
      <c r="F443" s="41" t="s">
        <v>77</v>
      </c>
      <c r="G443" s="42" t="n">
        <v>88.43</v>
      </c>
      <c r="H443" s="41" t="n">
        <v>8</v>
      </c>
      <c r="I443" s="42" t="n">
        <v>35.372</v>
      </c>
      <c r="J443" s="42" t="n">
        <v>742.812</v>
      </c>
      <c r="K443" s="43" t="n">
        <v>43546</v>
      </c>
      <c r="L443" s="44" t="n">
        <v>0.815972222222222</v>
      </c>
      <c r="M443" s="41" t="s">
        <v>99</v>
      </c>
      <c r="N443" s="42" t="n">
        <v>707.44</v>
      </c>
      <c r="O443" s="42" t="n">
        <v>35.372</v>
      </c>
      <c r="P443" s="45" t="n">
        <v>4.3</v>
      </c>
      <c r="Q443" s="41" t="str">
        <f aca="false">CHOOSE(MONTH(K443),"Jan","Feb","Mar","Apr","May","Jun","Jul","Aug","Sep","Oct","Nov","Dec")</f>
        <v>Mar</v>
      </c>
      <c r="R443" s="41" t="n">
        <f aca="false">INT((K443-setMinDate)/7)+1</f>
        <v>12</v>
      </c>
      <c r="S443" s="41" t="n">
        <f aca="false">HOUR(L443)</f>
        <v>19</v>
      </c>
      <c r="T443" s="41" t="str">
        <f aca="false">IF(S443&lt;setMorningEnd,"Morning",IF(S443&lt;setAfternoonEnd,"Afternoon","Evening"))</f>
        <v>Evening</v>
      </c>
      <c r="U443" s="41" t="str">
        <f aca="false">IF(J443&gt;=setLarge,"Large",IF(J443&gt;=setMedium,"Medium","Small"))</f>
        <v>Large</v>
      </c>
      <c r="V443" s="41" t="str">
        <f aca="false">IF(P443&gt;=setExc,"Excellent",IF(P443&gt;=setGood,"Good",IF(P443&gt;=setAvg,"Average","Poor")))</f>
        <v>Poor</v>
      </c>
    </row>
    <row r="444" customFormat="false" ht="15" hidden="false" customHeight="false" outlineLevel="0" collapsed="false">
      <c r="A444" s="41" t="s">
        <v>622</v>
      </c>
      <c r="B444" s="41" t="s">
        <v>178</v>
      </c>
      <c r="C444" s="41" t="s">
        <v>85</v>
      </c>
      <c r="D444" s="41" t="s">
        <v>104</v>
      </c>
      <c r="E444" s="41" t="s">
        <v>102</v>
      </c>
      <c r="F444" s="41" t="s">
        <v>80</v>
      </c>
      <c r="G444" s="42" t="n">
        <v>89.21</v>
      </c>
      <c r="H444" s="41" t="n">
        <v>9</v>
      </c>
      <c r="I444" s="42" t="n">
        <v>40.1445</v>
      </c>
      <c r="J444" s="42" t="n">
        <v>843.0345</v>
      </c>
      <c r="K444" s="43" t="n">
        <v>43480</v>
      </c>
      <c r="L444" s="44" t="n">
        <v>0.654166666666667</v>
      </c>
      <c r="M444" s="41" t="s">
        <v>99</v>
      </c>
      <c r="N444" s="42" t="n">
        <v>802.89</v>
      </c>
      <c r="O444" s="42" t="n">
        <v>40.1445</v>
      </c>
      <c r="P444" s="45" t="n">
        <v>6.5</v>
      </c>
      <c r="Q444" s="41" t="str">
        <f aca="false">CHOOSE(MONTH(K444),"Jan","Feb","Mar","Apr","May","Jun","Jul","Aug","Sep","Oct","Nov","Dec")</f>
        <v>Jan</v>
      </c>
      <c r="R444" s="41" t="n">
        <f aca="false">INT((K444-setMinDate)/7)+1</f>
        <v>3</v>
      </c>
      <c r="S444" s="41" t="n">
        <f aca="false">HOUR(L444)</f>
        <v>15</v>
      </c>
      <c r="T444" s="41" t="str">
        <f aca="false">IF(S444&lt;setMorningEnd,"Morning",IF(S444&lt;setAfternoonEnd,"Afternoon","Evening"))</f>
        <v>Afternoon</v>
      </c>
      <c r="U444" s="41" t="str">
        <f aca="false">IF(J444&gt;=setLarge,"Large",IF(J444&gt;=setMedium,"Medium","Small"))</f>
        <v>Large</v>
      </c>
      <c r="V444" s="41" t="str">
        <f aca="false">IF(P444&gt;=setExc,"Excellent",IF(P444&gt;=setGood,"Good",IF(P444&gt;=setAvg,"Average","Poor")))</f>
        <v>Average</v>
      </c>
    </row>
    <row r="445" customFormat="false" ht="15" hidden="false" customHeight="false" outlineLevel="0" collapsed="false">
      <c r="A445" s="41" t="s">
        <v>623</v>
      </c>
      <c r="B445" s="41" t="s">
        <v>180</v>
      </c>
      <c r="C445" s="41" t="s">
        <v>87</v>
      </c>
      <c r="D445" s="41" t="s">
        <v>105</v>
      </c>
      <c r="E445" s="41" t="s">
        <v>103</v>
      </c>
      <c r="F445" s="41" t="s">
        <v>79</v>
      </c>
      <c r="G445" s="42" t="n">
        <v>12.78</v>
      </c>
      <c r="H445" s="41" t="n">
        <v>1</v>
      </c>
      <c r="I445" s="42" t="n">
        <v>0.639</v>
      </c>
      <c r="J445" s="42" t="n">
        <v>13.419</v>
      </c>
      <c r="K445" s="43" t="n">
        <v>43473</v>
      </c>
      <c r="L445" s="44" t="n">
        <v>0.590972222222222</v>
      </c>
      <c r="M445" s="41" t="s">
        <v>98</v>
      </c>
      <c r="N445" s="42" t="n">
        <v>12.78</v>
      </c>
      <c r="O445" s="42" t="n">
        <v>0.639</v>
      </c>
      <c r="P445" s="45" t="n">
        <v>9.5</v>
      </c>
      <c r="Q445" s="41" t="str">
        <f aca="false">CHOOSE(MONTH(K445),"Jan","Feb","Mar","Apr","May","Jun","Jul","Aug","Sep","Oct","Nov","Dec")</f>
        <v>Jan</v>
      </c>
      <c r="R445" s="41" t="n">
        <f aca="false">INT((K445-setMinDate)/7)+1</f>
        <v>2</v>
      </c>
      <c r="S445" s="41" t="n">
        <f aca="false">HOUR(L445)</f>
        <v>14</v>
      </c>
      <c r="T445" s="41" t="str">
        <f aca="false">IF(S445&lt;setMorningEnd,"Morning",IF(S445&lt;setAfternoonEnd,"Afternoon","Evening"))</f>
        <v>Afternoon</v>
      </c>
      <c r="U445" s="41" t="str">
        <f aca="false">IF(J445&gt;=setLarge,"Large",IF(J445&gt;=setMedium,"Medium","Small"))</f>
        <v>Small</v>
      </c>
      <c r="V445" s="41" t="str">
        <f aca="false">IF(P445&gt;=setExc,"Excellent",IF(P445&gt;=setGood,"Good",IF(P445&gt;=setAvg,"Average","Poor")))</f>
        <v>Excellent</v>
      </c>
    </row>
    <row r="446" customFormat="false" ht="15" hidden="false" customHeight="false" outlineLevel="0" collapsed="false">
      <c r="A446" s="41" t="s">
        <v>624</v>
      </c>
      <c r="B446" s="41" t="s">
        <v>178</v>
      </c>
      <c r="C446" s="41" t="s">
        <v>85</v>
      </c>
      <c r="D446" s="41" t="s">
        <v>105</v>
      </c>
      <c r="E446" s="41" t="s">
        <v>102</v>
      </c>
      <c r="F446" s="41" t="s">
        <v>77</v>
      </c>
      <c r="G446" s="42" t="n">
        <v>19.1</v>
      </c>
      <c r="H446" s="41" t="n">
        <v>7</v>
      </c>
      <c r="I446" s="42" t="n">
        <v>6.685</v>
      </c>
      <c r="J446" s="42" t="n">
        <v>140.385</v>
      </c>
      <c r="K446" s="43" t="n">
        <v>43480</v>
      </c>
      <c r="L446" s="44" t="n">
        <v>0.446527777777778</v>
      </c>
      <c r="M446" s="41" t="s">
        <v>97</v>
      </c>
      <c r="N446" s="42" t="n">
        <v>133.7</v>
      </c>
      <c r="O446" s="42" t="n">
        <v>6.685</v>
      </c>
      <c r="P446" s="45" t="n">
        <v>9.7</v>
      </c>
      <c r="Q446" s="41" t="str">
        <f aca="false">CHOOSE(MONTH(K446),"Jan","Feb","Mar","Apr","May","Jun","Jul","Aug","Sep","Oct","Nov","Dec")</f>
        <v>Jan</v>
      </c>
      <c r="R446" s="41" t="n">
        <f aca="false">INT((K446-setMinDate)/7)+1</f>
        <v>3</v>
      </c>
      <c r="S446" s="41" t="n">
        <f aca="false">HOUR(L446)</f>
        <v>10</v>
      </c>
      <c r="T446" s="41" t="str">
        <f aca="false">IF(S446&lt;setMorningEnd,"Morning",IF(S446&lt;setAfternoonEnd,"Afternoon","Evening"))</f>
        <v>Morning</v>
      </c>
      <c r="U446" s="41" t="str">
        <f aca="false">IF(J446&gt;=setLarge,"Large",IF(J446&gt;=setMedium,"Medium","Small"))</f>
        <v>Small</v>
      </c>
      <c r="V446" s="41" t="str">
        <f aca="false">IF(P446&gt;=setExc,"Excellent",IF(P446&gt;=setGood,"Good",IF(P446&gt;=setAvg,"Average","Poor")))</f>
        <v>Excellent</v>
      </c>
    </row>
    <row r="447" customFormat="false" ht="15" hidden="false" customHeight="false" outlineLevel="0" collapsed="false">
      <c r="A447" s="41" t="s">
        <v>625</v>
      </c>
      <c r="B447" s="41" t="s">
        <v>189</v>
      </c>
      <c r="C447" s="41" t="s">
        <v>86</v>
      </c>
      <c r="D447" s="41" t="s">
        <v>104</v>
      </c>
      <c r="E447" s="41" t="s">
        <v>102</v>
      </c>
      <c r="F447" s="41" t="s">
        <v>81</v>
      </c>
      <c r="G447" s="42" t="n">
        <v>19.15</v>
      </c>
      <c r="H447" s="41" t="n">
        <v>1</v>
      </c>
      <c r="I447" s="42" t="n">
        <v>0.9575</v>
      </c>
      <c r="J447" s="42" t="n">
        <v>20.1075</v>
      </c>
      <c r="K447" s="43" t="n">
        <v>43493</v>
      </c>
      <c r="L447" s="44" t="n">
        <v>0.748611111111111</v>
      </c>
      <c r="M447" s="41" t="s">
        <v>99</v>
      </c>
      <c r="N447" s="42" t="n">
        <v>19.15</v>
      </c>
      <c r="O447" s="42" t="n">
        <v>0.9575</v>
      </c>
      <c r="P447" s="45" t="n">
        <v>9.5</v>
      </c>
      <c r="Q447" s="41" t="str">
        <f aca="false">CHOOSE(MONTH(K447),"Jan","Feb","Mar","Apr","May","Jun","Jul","Aug","Sep","Oct","Nov","Dec")</f>
        <v>Jan</v>
      </c>
      <c r="R447" s="41" t="n">
        <f aca="false">INT((K447-setMinDate)/7)+1</f>
        <v>4</v>
      </c>
      <c r="S447" s="41" t="n">
        <f aca="false">HOUR(L447)</f>
        <v>17</v>
      </c>
      <c r="T447" s="41" t="str">
        <f aca="false">IF(S447&lt;setMorningEnd,"Morning",IF(S447&lt;setAfternoonEnd,"Afternoon","Evening"))</f>
        <v>Evening</v>
      </c>
      <c r="U447" s="41" t="str">
        <f aca="false">IF(J447&gt;=setLarge,"Large",IF(J447&gt;=setMedium,"Medium","Small"))</f>
        <v>Small</v>
      </c>
      <c r="V447" s="41" t="str">
        <f aca="false">IF(P447&gt;=setExc,"Excellent",IF(P447&gt;=setGood,"Good",IF(P447&gt;=setAvg,"Average","Poor")))</f>
        <v>Excellent</v>
      </c>
    </row>
    <row r="448" customFormat="false" ht="15" hidden="false" customHeight="false" outlineLevel="0" collapsed="false">
      <c r="A448" s="41" t="s">
        <v>626</v>
      </c>
      <c r="B448" s="41" t="s">
        <v>180</v>
      </c>
      <c r="C448" s="41" t="s">
        <v>87</v>
      </c>
      <c r="D448" s="41" t="s">
        <v>104</v>
      </c>
      <c r="E448" s="41" t="s">
        <v>103</v>
      </c>
      <c r="F448" s="41" t="s">
        <v>76</v>
      </c>
      <c r="G448" s="42" t="n">
        <v>27.66</v>
      </c>
      <c r="H448" s="41" t="n">
        <v>10</v>
      </c>
      <c r="I448" s="42" t="n">
        <v>13.83</v>
      </c>
      <c r="J448" s="42" t="n">
        <v>290.43</v>
      </c>
      <c r="K448" s="43" t="n">
        <v>43510</v>
      </c>
      <c r="L448" s="44" t="n">
        <v>0.476388888888889</v>
      </c>
      <c r="M448" s="41" t="s">
        <v>99</v>
      </c>
      <c r="N448" s="42" t="n">
        <v>276.6</v>
      </c>
      <c r="O448" s="42" t="n">
        <v>13.83</v>
      </c>
      <c r="P448" s="45" t="n">
        <v>8.9</v>
      </c>
      <c r="Q448" s="41" t="str">
        <f aca="false">CHOOSE(MONTH(K448),"Jan","Feb","Mar","Apr","May","Jun","Jul","Aug","Sep","Oct","Nov","Dec")</f>
        <v>Feb</v>
      </c>
      <c r="R448" s="41" t="n">
        <f aca="false">INT((K448-setMinDate)/7)+1</f>
        <v>7</v>
      </c>
      <c r="S448" s="41" t="n">
        <f aca="false">HOUR(L448)</f>
        <v>11</v>
      </c>
      <c r="T448" s="41" t="str">
        <f aca="false">IF(S448&lt;setMorningEnd,"Morning",IF(S448&lt;setAfternoonEnd,"Afternoon","Evening"))</f>
        <v>Morning</v>
      </c>
      <c r="U448" s="41" t="str">
        <f aca="false">IF(J448&gt;=setLarge,"Large",IF(J448&gt;=setMedium,"Medium","Small"))</f>
        <v>Medium</v>
      </c>
      <c r="V448" s="41" t="str">
        <f aca="false">IF(P448&gt;=setExc,"Excellent",IF(P448&gt;=setGood,"Good",IF(P448&gt;=setAvg,"Average","Poor")))</f>
        <v>Good</v>
      </c>
    </row>
    <row r="449" customFormat="false" ht="15" hidden="false" customHeight="false" outlineLevel="0" collapsed="false">
      <c r="A449" s="41" t="s">
        <v>627</v>
      </c>
      <c r="B449" s="41" t="s">
        <v>180</v>
      </c>
      <c r="C449" s="41" t="s">
        <v>87</v>
      </c>
      <c r="D449" s="41" t="s">
        <v>105</v>
      </c>
      <c r="E449" s="41" t="s">
        <v>103</v>
      </c>
      <c r="F449" s="41" t="s">
        <v>79</v>
      </c>
      <c r="G449" s="42" t="n">
        <v>45.74</v>
      </c>
      <c r="H449" s="41" t="n">
        <v>3</v>
      </c>
      <c r="I449" s="42" t="n">
        <v>6.861</v>
      </c>
      <c r="J449" s="42" t="n">
        <v>144.081</v>
      </c>
      <c r="K449" s="43" t="n">
        <v>43534</v>
      </c>
      <c r="L449" s="44" t="n">
        <v>0.734722222222222</v>
      </c>
      <c r="M449" s="41" t="s">
        <v>99</v>
      </c>
      <c r="N449" s="42" t="n">
        <v>137.22</v>
      </c>
      <c r="O449" s="42" t="n">
        <v>6.861</v>
      </c>
      <c r="P449" s="45" t="n">
        <v>6.5</v>
      </c>
      <c r="Q449" s="41" t="str">
        <f aca="false">CHOOSE(MONTH(K449),"Jan","Feb","Mar","Apr","May","Jun","Jul","Aug","Sep","Oct","Nov","Dec")</f>
        <v>Mar</v>
      </c>
      <c r="R449" s="41" t="n">
        <f aca="false">INT((K449-setMinDate)/7)+1</f>
        <v>10</v>
      </c>
      <c r="S449" s="41" t="n">
        <f aca="false">HOUR(L449)</f>
        <v>17</v>
      </c>
      <c r="T449" s="41" t="str">
        <f aca="false">IF(S449&lt;setMorningEnd,"Morning",IF(S449&lt;setAfternoonEnd,"Afternoon","Evening"))</f>
        <v>Evening</v>
      </c>
      <c r="U449" s="41" t="str">
        <f aca="false">IF(J449&gt;=setLarge,"Large",IF(J449&gt;=setMedium,"Medium","Small"))</f>
        <v>Small</v>
      </c>
      <c r="V449" s="41" t="str">
        <f aca="false">IF(P449&gt;=setExc,"Excellent",IF(P449&gt;=setGood,"Good",IF(P449&gt;=setAvg,"Average","Poor")))</f>
        <v>Average</v>
      </c>
    </row>
    <row r="450" customFormat="false" ht="15" hidden="false" customHeight="false" outlineLevel="0" collapsed="false">
      <c r="A450" s="41" t="s">
        <v>628</v>
      </c>
      <c r="B450" s="41" t="s">
        <v>189</v>
      </c>
      <c r="C450" s="41" t="s">
        <v>86</v>
      </c>
      <c r="D450" s="41" t="s">
        <v>104</v>
      </c>
      <c r="E450" s="41" t="s">
        <v>102</v>
      </c>
      <c r="F450" s="41" t="s">
        <v>81</v>
      </c>
      <c r="G450" s="42" t="n">
        <v>27.07</v>
      </c>
      <c r="H450" s="41" t="n">
        <v>1</v>
      </c>
      <c r="I450" s="42" t="n">
        <v>1.3535</v>
      </c>
      <c r="J450" s="42" t="n">
        <v>28.4235</v>
      </c>
      <c r="K450" s="43" t="n">
        <v>43477</v>
      </c>
      <c r="L450" s="44" t="n">
        <v>0.838194444444445</v>
      </c>
      <c r="M450" s="41" t="s">
        <v>99</v>
      </c>
      <c r="N450" s="42" t="n">
        <v>27.07</v>
      </c>
      <c r="O450" s="42" t="n">
        <v>1.3535</v>
      </c>
      <c r="P450" s="45" t="n">
        <v>5.3</v>
      </c>
      <c r="Q450" s="41" t="str">
        <f aca="false">CHOOSE(MONTH(K450),"Jan","Feb","Mar","Apr","May","Jun","Jul","Aug","Sep","Oct","Nov","Dec")</f>
        <v>Jan</v>
      </c>
      <c r="R450" s="41" t="n">
        <f aca="false">INT((K450-setMinDate)/7)+1</f>
        <v>2</v>
      </c>
      <c r="S450" s="41" t="n">
        <f aca="false">HOUR(L450)</f>
        <v>20</v>
      </c>
      <c r="T450" s="41" t="str">
        <f aca="false">IF(S450&lt;setMorningEnd,"Morning",IF(S450&lt;setAfternoonEnd,"Afternoon","Evening"))</f>
        <v>Evening</v>
      </c>
      <c r="U450" s="41" t="str">
        <f aca="false">IF(J450&gt;=setLarge,"Large",IF(J450&gt;=setMedium,"Medium","Small"))</f>
        <v>Small</v>
      </c>
      <c r="V450" s="41" t="str">
        <f aca="false">IF(P450&gt;=setExc,"Excellent",IF(P450&gt;=setGood,"Good",IF(P450&gt;=setAvg,"Average","Poor")))</f>
        <v>Average</v>
      </c>
    </row>
    <row r="451" customFormat="false" ht="15" hidden="false" customHeight="false" outlineLevel="0" collapsed="false">
      <c r="A451" s="41" t="s">
        <v>629</v>
      </c>
      <c r="B451" s="41" t="s">
        <v>189</v>
      </c>
      <c r="C451" s="41" t="s">
        <v>86</v>
      </c>
      <c r="D451" s="41" t="s">
        <v>104</v>
      </c>
      <c r="E451" s="41" t="s">
        <v>102</v>
      </c>
      <c r="F451" s="41" t="s">
        <v>77</v>
      </c>
      <c r="G451" s="42" t="n">
        <v>39.12</v>
      </c>
      <c r="H451" s="41" t="n">
        <v>1</v>
      </c>
      <c r="I451" s="42" t="n">
        <v>1.956</v>
      </c>
      <c r="J451" s="42" t="n">
        <v>41.076</v>
      </c>
      <c r="K451" s="43" t="n">
        <v>43550</v>
      </c>
      <c r="L451" s="44" t="n">
        <v>0.459722222222222</v>
      </c>
      <c r="M451" s="41" t="s">
        <v>99</v>
      </c>
      <c r="N451" s="42" t="n">
        <v>39.12</v>
      </c>
      <c r="O451" s="42" t="n">
        <v>1.956</v>
      </c>
      <c r="P451" s="45" t="n">
        <v>9.6</v>
      </c>
      <c r="Q451" s="41" t="str">
        <f aca="false">CHOOSE(MONTH(K451),"Jan","Feb","Mar","Apr","May","Jun","Jul","Aug","Sep","Oct","Nov","Dec")</f>
        <v>Mar</v>
      </c>
      <c r="R451" s="41" t="n">
        <f aca="false">INT((K451-setMinDate)/7)+1</f>
        <v>13</v>
      </c>
      <c r="S451" s="41" t="n">
        <f aca="false">HOUR(L451)</f>
        <v>11</v>
      </c>
      <c r="T451" s="41" t="str">
        <f aca="false">IF(S451&lt;setMorningEnd,"Morning",IF(S451&lt;setAfternoonEnd,"Afternoon","Evening"))</f>
        <v>Morning</v>
      </c>
      <c r="U451" s="41" t="str">
        <f aca="false">IF(J451&gt;=setLarge,"Large",IF(J451&gt;=setMedium,"Medium","Small"))</f>
        <v>Small</v>
      </c>
      <c r="V451" s="41" t="str">
        <f aca="false">IF(P451&gt;=setExc,"Excellent",IF(P451&gt;=setGood,"Good",IF(P451&gt;=setAvg,"Average","Poor")))</f>
        <v>Excellent</v>
      </c>
    </row>
    <row r="452" customFormat="false" ht="15" hidden="false" customHeight="false" outlineLevel="0" collapsed="false">
      <c r="A452" s="41" t="s">
        <v>630</v>
      </c>
      <c r="B452" s="41" t="s">
        <v>189</v>
      </c>
      <c r="C452" s="41" t="s">
        <v>86</v>
      </c>
      <c r="D452" s="41" t="s">
        <v>105</v>
      </c>
      <c r="E452" s="41" t="s">
        <v>102</v>
      </c>
      <c r="F452" s="41" t="s">
        <v>78</v>
      </c>
      <c r="G452" s="42" t="n">
        <v>74.71</v>
      </c>
      <c r="H452" s="41" t="n">
        <v>6</v>
      </c>
      <c r="I452" s="42" t="n">
        <v>22.413</v>
      </c>
      <c r="J452" s="42" t="n">
        <v>470.673</v>
      </c>
      <c r="K452" s="43" t="n">
        <v>43466</v>
      </c>
      <c r="L452" s="44" t="n">
        <v>0.796527777777778</v>
      </c>
      <c r="M452" s="41" t="s">
        <v>97</v>
      </c>
      <c r="N452" s="42" t="n">
        <v>448.26</v>
      </c>
      <c r="O452" s="42" t="n">
        <v>22.413</v>
      </c>
      <c r="P452" s="45" t="n">
        <v>6.7</v>
      </c>
      <c r="Q452" s="41" t="str">
        <f aca="false">CHOOSE(MONTH(K452),"Jan","Feb","Mar","Apr","May","Jun","Jul","Aug","Sep","Oct","Nov","Dec")</f>
        <v>Jan</v>
      </c>
      <c r="R452" s="41" t="n">
        <f aca="false">INT((K452-setMinDate)/7)+1</f>
        <v>1</v>
      </c>
      <c r="S452" s="41" t="n">
        <f aca="false">HOUR(L452)</f>
        <v>19</v>
      </c>
      <c r="T452" s="41" t="str">
        <f aca="false">IF(S452&lt;setMorningEnd,"Morning",IF(S452&lt;setAfternoonEnd,"Afternoon","Evening"))</f>
        <v>Evening</v>
      </c>
      <c r="U452" s="41" t="str">
        <f aca="false">IF(J452&gt;=setLarge,"Large",IF(J452&gt;=setMedium,"Medium","Small"))</f>
        <v>Medium</v>
      </c>
      <c r="V452" s="41" t="str">
        <f aca="false">IF(P452&gt;=setExc,"Excellent",IF(P452&gt;=setGood,"Good",IF(P452&gt;=setAvg,"Average","Poor")))</f>
        <v>Average</v>
      </c>
    </row>
    <row r="453" customFormat="false" ht="15" hidden="false" customHeight="false" outlineLevel="0" collapsed="false">
      <c r="A453" s="41" t="s">
        <v>631</v>
      </c>
      <c r="B453" s="41" t="s">
        <v>189</v>
      </c>
      <c r="C453" s="41" t="s">
        <v>86</v>
      </c>
      <c r="D453" s="41" t="s">
        <v>105</v>
      </c>
      <c r="E453" s="41" t="s">
        <v>103</v>
      </c>
      <c r="F453" s="41" t="s">
        <v>78</v>
      </c>
      <c r="G453" s="42" t="n">
        <v>22.01</v>
      </c>
      <c r="H453" s="41" t="n">
        <v>6</v>
      </c>
      <c r="I453" s="42" t="n">
        <v>6.603</v>
      </c>
      <c r="J453" s="42" t="n">
        <v>138.663</v>
      </c>
      <c r="K453" s="43" t="n">
        <v>43467</v>
      </c>
      <c r="L453" s="44" t="n">
        <v>0.784722222222222</v>
      </c>
      <c r="M453" s="41" t="s">
        <v>97</v>
      </c>
      <c r="N453" s="42" t="n">
        <v>132.06</v>
      </c>
      <c r="O453" s="42" t="n">
        <v>6.603</v>
      </c>
      <c r="P453" s="45" t="n">
        <v>7.6</v>
      </c>
      <c r="Q453" s="41" t="str">
        <f aca="false">CHOOSE(MONTH(K453),"Jan","Feb","Mar","Apr","May","Jun","Jul","Aug","Sep","Oct","Nov","Dec")</f>
        <v>Jan</v>
      </c>
      <c r="R453" s="41" t="n">
        <f aca="false">INT((K453-setMinDate)/7)+1</f>
        <v>1</v>
      </c>
      <c r="S453" s="41" t="n">
        <f aca="false">HOUR(L453)</f>
        <v>18</v>
      </c>
      <c r="T453" s="41" t="str">
        <f aca="false">IF(S453&lt;setMorningEnd,"Morning",IF(S453&lt;setAfternoonEnd,"Afternoon","Evening"))</f>
        <v>Evening</v>
      </c>
      <c r="U453" s="41" t="str">
        <f aca="false">IF(J453&gt;=setLarge,"Large",IF(J453&gt;=setMedium,"Medium","Small"))</f>
        <v>Small</v>
      </c>
      <c r="V453" s="41" t="str">
        <f aca="false">IF(P453&gt;=setExc,"Excellent",IF(P453&gt;=setGood,"Good",IF(P453&gt;=setAvg,"Average","Poor")))</f>
        <v>Good</v>
      </c>
    </row>
    <row r="454" customFormat="false" ht="15" hidden="false" customHeight="false" outlineLevel="0" collapsed="false">
      <c r="A454" s="41" t="s">
        <v>632</v>
      </c>
      <c r="B454" s="41" t="s">
        <v>178</v>
      </c>
      <c r="C454" s="41" t="s">
        <v>85</v>
      </c>
      <c r="D454" s="41" t="s">
        <v>105</v>
      </c>
      <c r="E454" s="41" t="s">
        <v>102</v>
      </c>
      <c r="F454" s="41" t="s">
        <v>76</v>
      </c>
      <c r="G454" s="42" t="n">
        <v>63.61</v>
      </c>
      <c r="H454" s="41" t="n">
        <v>5</v>
      </c>
      <c r="I454" s="42" t="n">
        <v>15.9025</v>
      </c>
      <c r="J454" s="42" t="n">
        <v>333.9525</v>
      </c>
      <c r="K454" s="43" t="n">
        <v>43540</v>
      </c>
      <c r="L454" s="44" t="n">
        <v>0.529861111111111</v>
      </c>
      <c r="M454" s="41" t="s">
        <v>98</v>
      </c>
      <c r="N454" s="42" t="n">
        <v>318.05</v>
      </c>
      <c r="O454" s="42" t="n">
        <v>15.9025</v>
      </c>
      <c r="P454" s="45" t="n">
        <v>4.8</v>
      </c>
      <c r="Q454" s="41" t="str">
        <f aca="false">CHOOSE(MONTH(K454),"Jan","Feb","Mar","Apr","May","Jun","Jul","Aug","Sep","Oct","Nov","Dec")</f>
        <v>Mar</v>
      </c>
      <c r="R454" s="41" t="n">
        <f aca="false">INT((K454-setMinDate)/7)+1</f>
        <v>11</v>
      </c>
      <c r="S454" s="41" t="n">
        <f aca="false">HOUR(L454)</f>
        <v>12</v>
      </c>
      <c r="T454" s="41" t="str">
        <f aca="false">IF(S454&lt;setMorningEnd,"Morning",IF(S454&lt;setAfternoonEnd,"Afternoon","Evening"))</f>
        <v>Afternoon</v>
      </c>
      <c r="U454" s="41" t="str">
        <f aca="false">IF(J454&gt;=setLarge,"Large",IF(J454&gt;=setMedium,"Medium","Small"))</f>
        <v>Medium</v>
      </c>
      <c r="V454" s="41" t="str">
        <f aca="false">IF(P454&gt;=setExc,"Excellent",IF(P454&gt;=setGood,"Good",IF(P454&gt;=setAvg,"Average","Poor")))</f>
        <v>Poor</v>
      </c>
    </row>
    <row r="455" customFormat="false" ht="15" hidden="false" customHeight="false" outlineLevel="0" collapsed="false">
      <c r="A455" s="41" t="s">
        <v>633</v>
      </c>
      <c r="B455" s="41" t="s">
        <v>178</v>
      </c>
      <c r="C455" s="41" t="s">
        <v>85</v>
      </c>
      <c r="D455" s="41" t="s">
        <v>105</v>
      </c>
      <c r="E455" s="41" t="s">
        <v>103</v>
      </c>
      <c r="F455" s="41" t="s">
        <v>81</v>
      </c>
      <c r="G455" s="42" t="n">
        <v>25</v>
      </c>
      <c r="H455" s="41" t="n">
        <v>1</v>
      </c>
      <c r="I455" s="42" t="n">
        <v>1.25</v>
      </c>
      <c r="J455" s="42" t="n">
        <v>26.25</v>
      </c>
      <c r="K455" s="43" t="n">
        <v>43527</v>
      </c>
      <c r="L455" s="44" t="n">
        <v>0.63125</v>
      </c>
      <c r="M455" s="41" t="s">
        <v>98</v>
      </c>
      <c r="N455" s="42" t="n">
        <v>25</v>
      </c>
      <c r="O455" s="42" t="n">
        <v>1.25</v>
      </c>
      <c r="P455" s="45" t="n">
        <v>5.5</v>
      </c>
      <c r="Q455" s="41" t="str">
        <f aca="false">CHOOSE(MONTH(K455),"Jan","Feb","Mar","Apr","May","Jun","Jul","Aug","Sep","Oct","Nov","Dec")</f>
        <v>Mar</v>
      </c>
      <c r="R455" s="41" t="n">
        <f aca="false">INT((K455-setMinDate)/7)+1</f>
        <v>9</v>
      </c>
      <c r="S455" s="41" t="n">
        <f aca="false">HOUR(L455)</f>
        <v>15</v>
      </c>
      <c r="T455" s="41" t="str">
        <f aca="false">IF(S455&lt;setMorningEnd,"Morning",IF(S455&lt;setAfternoonEnd,"Afternoon","Evening"))</f>
        <v>Afternoon</v>
      </c>
      <c r="U455" s="41" t="str">
        <f aca="false">IF(J455&gt;=setLarge,"Large",IF(J455&gt;=setMedium,"Medium","Small"))</f>
        <v>Small</v>
      </c>
      <c r="V455" s="41" t="str">
        <f aca="false">IF(P455&gt;=setExc,"Excellent",IF(P455&gt;=setGood,"Good",IF(P455&gt;=setAvg,"Average","Poor")))</f>
        <v>Average</v>
      </c>
    </row>
    <row r="456" customFormat="false" ht="15" hidden="false" customHeight="false" outlineLevel="0" collapsed="false">
      <c r="A456" s="41" t="s">
        <v>634</v>
      </c>
      <c r="B456" s="41" t="s">
        <v>178</v>
      </c>
      <c r="C456" s="41" t="s">
        <v>85</v>
      </c>
      <c r="D456" s="41" t="s">
        <v>104</v>
      </c>
      <c r="E456" s="41" t="s">
        <v>103</v>
      </c>
      <c r="F456" s="41" t="s">
        <v>78</v>
      </c>
      <c r="G456" s="42" t="n">
        <v>20.77</v>
      </c>
      <c r="H456" s="41" t="n">
        <v>4</v>
      </c>
      <c r="I456" s="42" t="n">
        <v>4.154</v>
      </c>
      <c r="J456" s="42" t="n">
        <v>87.234</v>
      </c>
      <c r="K456" s="43" t="n">
        <v>43496</v>
      </c>
      <c r="L456" s="44" t="n">
        <v>0.574305555555556</v>
      </c>
      <c r="M456" s="41" t="s">
        <v>97</v>
      </c>
      <c r="N456" s="42" t="n">
        <v>83.08</v>
      </c>
      <c r="O456" s="42" t="n">
        <v>4.154</v>
      </c>
      <c r="P456" s="45" t="n">
        <v>4.7</v>
      </c>
      <c r="Q456" s="41" t="str">
        <f aca="false">CHOOSE(MONTH(K456),"Jan","Feb","Mar","Apr","May","Jun","Jul","Aug","Sep","Oct","Nov","Dec")</f>
        <v>Jan</v>
      </c>
      <c r="R456" s="41" t="n">
        <f aca="false">INT((K456-setMinDate)/7)+1</f>
        <v>5</v>
      </c>
      <c r="S456" s="41" t="n">
        <f aca="false">HOUR(L456)</f>
        <v>13</v>
      </c>
      <c r="T456" s="41" t="str">
        <f aca="false">IF(S456&lt;setMorningEnd,"Morning",IF(S456&lt;setAfternoonEnd,"Afternoon","Evening"))</f>
        <v>Afternoon</v>
      </c>
      <c r="U456" s="41" t="str">
        <f aca="false">IF(J456&gt;=setLarge,"Large",IF(J456&gt;=setMedium,"Medium","Small"))</f>
        <v>Small</v>
      </c>
      <c r="V456" s="41" t="str">
        <f aca="false">IF(P456&gt;=setExc,"Excellent",IF(P456&gt;=setGood,"Good",IF(P456&gt;=setAvg,"Average","Poor")))</f>
        <v>Poor</v>
      </c>
    </row>
    <row r="457" customFormat="false" ht="15" hidden="false" customHeight="false" outlineLevel="0" collapsed="false">
      <c r="A457" s="41" t="s">
        <v>635</v>
      </c>
      <c r="B457" s="41" t="s">
        <v>189</v>
      </c>
      <c r="C457" s="41" t="s">
        <v>86</v>
      </c>
      <c r="D457" s="41" t="s">
        <v>104</v>
      </c>
      <c r="E457" s="41" t="s">
        <v>102</v>
      </c>
      <c r="F457" s="41" t="s">
        <v>79</v>
      </c>
      <c r="G457" s="42" t="n">
        <v>29.56</v>
      </c>
      <c r="H457" s="41" t="n">
        <v>5</v>
      </c>
      <c r="I457" s="42" t="n">
        <v>7.39</v>
      </c>
      <c r="J457" s="42" t="n">
        <v>155.19</v>
      </c>
      <c r="K457" s="43" t="n">
        <v>43509</v>
      </c>
      <c r="L457" s="44" t="n">
        <v>0.707638888888889</v>
      </c>
      <c r="M457" s="41" t="s">
        <v>97</v>
      </c>
      <c r="N457" s="42" t="n">
        <v>147.8</v>
      </c>
      <c r="O457" s="42" t="n">
        <v>7.39</v>
      </c>
      <c r="P457" s="45" t="n">
        <v>6.9</v>
      </c>
      <c r="Q457" s="41" t="str">
        <f aca="false">CHOOSE(MONTH(K457),"Jan","Feb","Mar","Apr","May","Jun","Jul","Aug","Sep","Oct","Nov","Dec")</f>
        <v>Feb</v>
      </c>
      <c r="R457" s="41" t="n">
        <f aca="false">INT((K457-setMinDate)/7)+1</f>
        <v>7</v>
      </c>
      <c r="S457" s="41" t="n">
        <f aca="false">HOUR(L457)</f>
        <v>16</v>
      </c>
      <c r="T457" s="41" t="str">
        <f aca="false">IF(S457&lt;setMorningEnd,"Morning",IF(S457&lt;setAfternoonEnd,"Afternoon","Evening"))</f>
        <v>Afternoon</v>
      </c>
      <c r="U457" s="41" t="str">
        <f aca="false">IF(J457&gt;=setLarge,"Large",IF(J457&gt;=setMedium,"Medium","Small"))</f>
        <v>Small</v>
      </c>
      <c r="V457" s="41" t="str">
        <f aca="false">IF(P457&gt;=setExc,"Excellent",IF(P457&gt;=setGood,"Good",IF(P457&gt;=setAvg,"Average","Poor")))</f>
        <v>Average</v>
      </c>
    </row>
    <row r="458" customFormat="false" ht="15" hidden="false" customHeight="false" outlineLevel="0" collapsed="false">
      <c r="A458" s="41" t="s">
        <v>636</v>
      </c>
      <c r="B458" s="41" t="s">
        <v>189</v>
      </c>
      <c r="C458" s="41" t="s">
        <v>86</v>
      </c>
      <c r="D458" s="41" t="s">
        <v>104</v>
      </c>
      <c r="E458" s="41" t="s">
        <v>102</v>
      </c>
      <c r="F458" s="41" t="s">
        <v>76</v>
      </c>
      <c r="G458" s="42" t="n">
        <v>77.4</v>
      </c>
      <c r="H458" s="41" t="n">
        <v>9</v>
      </c>
      <c r="I458" s="42" t="n">
        <v>34.83</v>
      </c>
      <c r="J458" s="42" t="n">
        <v>731.43</v>
      </c>
      <c r="K458" s="43" t="n">
        <v>43511</v>
      </c>
      <c r="L458" s="44" t="n">
        <v>0.59375</v>
      </c>
      <c r="M458" s="41" t="s">
        <v>99</v>
      </c>
      <c r="N458" s="42" t="n">
        <v>696.6</v>
      </c>
      <c r="O458" s="42" t="n">
        <v>34.83</v>
      </c>
      <c r="P458" s="45" t="n">
        <v>4.5</v>
      </c>
      <c r="Q458" s="41" t="str">
        <f aca="false">CHOOSE(MONTH(K458),"Jan","Feb","Mar","Apr","May","Jun","Jul","Aug","Sep","Oct","Nov","Dec")</f>
        <v>Feb</v>
      </c>
      <c r="R458" s="41" t="n">
        <f aca="false">INT((K458-setMinDate)/7)+1</f>
        <v>7</v>
      </c>
      <c r="S458" s="41" t="n">
        <f aca="false">HOUR(L458)</f>
        <v>14</v>
      </c>
      <c r="T458" s="41" t="str">
        <f aca="false">IF(S458&lt;setMorningEnd,"Morning",IF(S458&lt;setAfternoonEnd,"Afternoon","Evening"))</f>
        <v>Afternoon</v>
      </c>
      <c r="U458" s="41" t="str">
        <f aca="false">IF(J458&gt;=setLarge,"Large",IF(J458&gt;=setMedium,"Medium","Small"))</f>
        <v>Large</v>
      </c>
      <c r="V458" s="41" t="str">
        <f aca="false">IF(P458&gt;=setExc,"Excellent",IF(P458&gt;=setGood,"Good",IF(P458&gt;=setAvg,"Average","Poor")))</f>
        <v>Poor</v>
      </c>
    </row>
    <row r="459" customFormat="false" ht="15" hidden="false" customHeight="false" outlineLevel="0" collapsed="false">
      <c r="A459" s="41" t="s">
        <v>637</v>
      </c>
      <c r="B459" s="41" t="s">
        <v>189</v>
      </c>
      <c r="C459" s="41" t="s">
        <v>86</v>
      </c>
      <c r="D459" s="41" t="s">
        <v>105</v>
      </c>
      <c r="E459" s="41" t="s">
        <v>103</v>
      </c>
      <c r="F459" s="41" t="s">
        <v>78</v>
      </c>
      <c r="G459" s="42" t="n">
        <v>79.39</v>
      </c>
      <c r="H459" s="41" t="n">
        <v>10</v>
      </c>
      <c r="I459" s="42" t="n">
        <v>39.695</v>
      </c>
      <c r="J459" s="42" t="n">
        <v>833.595</v>
      </c>
      <c r="K459" s="43" t="n">
        <v>43503</v>
      </c>
      <c r="L459" s="44" t="n">
        <v>0.85</v>
      </c>
      <c r="M459" s="41" t="s">
        <v>97</v>
      </c>
      <c r="N459" s="42" t="n">
        <v>793.9</v>
      </c>
      <c r="O459" s="42" t="n">
        <v>39.695</v>
      </c>
      <c r="P459" s="45" t="n">
        <v>6.2</v>
      </c>
      <c r="Q459" s="41" t="str">
        <f aca="false">CHOOSE(MONTH(K459),"Jan","Feb","Mar","Apr","May","Jun","Jul","Aug","Sep","Oct","Nov","Dec")</f>
        <v>Feb</v>
      </c>
      <c r="R459" s="41" t="n">
        <f aca="false">INT((K459-setMinDate)/7)+1</f>
        <v>6</v>
      </c>
      <c r="S459" s="41" t="n">
        <f aca="false">HOUR(L459)</f>
        <v>20</v>
      </c>
      <c r="T459" s="41" t="str">
        <f aca="false">IF(S459&lt;setMorningEnd,"Morning",IF(S459&lt;setAfternoonEnd,"Afternoon","Evening"))</f>
        <v>Evening</v>
      </c>
      <c r="U459" s="41" t="str">
        <f aca="false">IF(J459&gt;=setLarge,"Large",IF(J459&gt;=setMedium,"Medium","Small"))</f>
        <v>Large</v>
      </c>
      <c r="V459" s="41" t="str">
        <f aca="false">IF(P459&gt;=setExc,"Excellent",IF(P459&gt;=setGood,"Good",IF(P459&gt;=setAvg,"Average","Poor")))</f>
        <v>Average</v>
      </c>
    </row>
    <row r="460" customFormat="false" ht="15" hidden="false" customHeight="false" outlineLevel="0" collapsed="false">
      <c r="A460" s="41" t="s">
        <v>638</v>
      </c>
      <c r="B460" s="41" t="s">
        <v>180</v>
      </c>
      <c r="C460" s="41" t="s">
        <v>87</v>
      </c>
      <c r="D460" s="41" t="s">
        <v>104</v>
      </c>
      <c r="E460" s="41" t="s">
        <v>102</v>
      </c>
      <c r="F460" s="41" t="s">
        <v>78</v>
      </c>
      <c r="G460" s="42" t="n">
        <v>46.57</v>
      </c>
      <c r="H460" s="41" t="n">
        <v>10</v>
      </c>
      <c r="I460" s="42" t="n">
        <v>23.285</v>
      </c>
      <c r="J460" s="42" t="n">
        <v>488.985</v>
      </c>
      <c r="K460" s="43" t="n">
        <v>43492</v>
      </c>
      <c r="L460" s="44" t="n">
        <v>0.581944444444445</v>
      </c>
      <c r="M460" s="41" t="s">
        <v>97</v>
      </c>
      <c r="N460" s="42" t="n">
        <v>465.7</v>
      </c>
      <c r="O460" s="42" t="n">
        <v>23.285</v>
      </c>
      <c r="P460" s="45" t="n">
        <v>7.6</v>
      </c>
      <c r="Q460" s="41" t="str">
        <f aca="false">CHOOSE(MONTH(K460),"Jan","Feb","Mar","Apr","May","Jun","Jul","Aug","Sep","Oct","Nov","Dec")</f>
        <v>Jan</v>
      </c>
      <c r="R460" s="41" t="n">
        <f aca="false">INT((K460-setMinDate)/7)+1</f>
        <v>4</v>
      </c>
      <c r="S460" s="41" t="n">
        <f aca="false">HOUR(L460)</f>
        <v>13</v>
      </c>
      <c r="T460" s="41" t="str">
        <f aca="false">IF(S460&lt;setMorningEnd,"Morning",IF(S460&lt;setAfternoonEnd,"Afternoon","Evening"))</f>
        <v>Afternoon</v>
      </c>
      <c r="U460" s="41" t="str">
        <f aca="false">IF(J460&gt;=setLarge,"Large",IF(J460&gt;=setMedium,"Medium","Small"))</f>
        <v>Medium</v>
      </c>
      <c r="V460" s="41" t="str">
        <f aca="false">IF(P460&gt;=setExc,"Excellent",IF(P460&gt;=setGood,"Good",IF(P460&gt;=setAvg,"Average","Poor")))</f>
        <v>Good</v>
      </c>
    </row>
    <row r="461" customFormat="false" ht="15" hidden="false" customHeight="false" outlineLevel="0" collapsed="false">
      <c r="A461" s="41" t="s">
        <v>639</v>
      </c>
      <c r="B461" s="41" t="s">
        <v>180</v>
      </c>
      <c r="C461" s="41" t="s">
        <v>87</v>
      </c>
      <c r="D461" s="41" t="s">
        <v>105</v>
      </c>
      <c r="E461" s="41" t="s">
        <v>103</v>
      </c>
      <c r="F461" s="41" t="s">
        <v>76</v>
      </c>
      <c r="G461" s="42" t="n">
        <v>35.89</v>
      </c>
      <c r="H461" s="41" t="n">
        <v>1</v>
      </c>
      <c r="I461" s="42" t="n">
        <v>1.7945</v>
      </c>
      <c r="J461" s="42" t="n">
        <v>37.6845</v>
      </c>
      <c r="K461" s="43" t="n">
        <v>43519</v>
      </c>
      <c r="L461" s="44" t="n">
        <v>0.702777777777778</v>
      </c>
      <c r="M461" s="41" t="s">
        <v>99</v>
      </c>
      <c r="N461" s="42" t="n">
        <v>35.89</v>
      </c>
      <c r="O461" s="42" t="n">
        <v>1.7945</v>
      </c>
      <c r="P461" s="45" t="n">
        <v>7.9</v>
      </c>
      <c r="Q461" s="41" t="str">
        <f aca="false">CHOOSE(MONTH(K461),"Jan","Feb","Mar","Apr","May","Jun","Jul","Aug","Sep","Oct","Nov","Dec")</f>
        <v>Feb</v>
      </c>
      <c r="R461" s="41" t="n">
        <f aca="false">INT((K461-setMinDate)/7)+1</f>
        <v>8</v>
      </c>
      <c r="S461" s="41" t="n">
        <f aca="false">HOUR(L461)</f>
        <v>16</v>
      </c>
      <c r="T461" s="41" t="str">
        <f aca="false">IF(S461&lt;setMorningEnd,"Morning",IF(S461&lt;setAfternoonEnd,"Afternoon","Evening"))</f>
        <v>Afternoon</v>
      </c>
      <c r="U461" s="41" t="str">
        <f aca="false">IF(J461&gt;=setLarge,"Large",IF(J461&gt;=setMedium,"Medium","Small"))</f>
        <v>Small</v>
      </c>
      <c r="V461" s="41" t="str">
        <f aca="false">IF(P461&gt;=setExc,"Excellent",IF(P461&gt;=setGood,"Good",IF(P461&gt;=setAvg,"Average","Poor")))</f>
        <v>Good</v>
      </c>
    </row>
    <row r="462" customFormat="false" ht="15" hidden="false" customHeight="false" outlineLevel="0" collapsed="false">
      <c r="A462" s="41" t="s">
        <v>640</v>
      </c>
      <c r="B462" s="41" t="s">
        <v>180</v>
      </c>
      <c r="C462" s="41" t="s">
        <v>87</v>
      </c>
      <c r="D462" s="41" t="s">
        <v>105</v>
      </c>
      <c r="E462" s="41" t="s">
        <v>103</v>
      </c>
      <c r="F462" s="41" t="s">
        <v>76</v>
      </c>
      <c r="G462" s="42" t="n">
        <v>40.52</v>
      </c>
      <c r="H462" s="41" t="n">
        <v>5</v>
      </c>
      <c r="I462" s="42" t="n">
        <v>10.13</v>
      </c>
      <c r="J462" s="42" t="n">
        <v>212.73</v>
      </c>
      <c r="K462" s="43" t="n">
        <v>43499</v>
      </c>
      <c r="L462" s="44" t="n">
        <v>0.638194444444444</v>
      </c>
      <c r="M462" s="41" t="s">
        <v>97</v>
      </c>
      <c r="N462" s="42" t="n">
        <v>202.6</v>
      </c>
      <c r="O462" s="42" t="n">
        <v>10.13</v>
      </c>
      <c r="P462" s="45" t="n">
        <v>4.5</v>
      </c>
      <c r="Q462" s="41" t="str">
        <f aca="false">CHOOSE(MONTH(K462),"Jan","Feb","Mar","Apr","May","Jun","Jul","Aug","Sep","Oct","Nov","Dec")</f>
        <v>Feb</v>
      </c>
      <c r="R462" s="41" t="n">
        <f aca="false">INT((K462-setMinDate)/7)+1</f>
        <v>5</v>
      </c>
      <c r="S462" s="41" t="n">
        <f aca="false">HOUR(L462)</f>
        <v>15</v>
      </c>
      <c r="T462" s="41" t="str">
        <f aca="false">IF(S462&lt;setMorningEnd,"Morning",IF(S462&lt;setAfternoonEnd,"Afternoon","Evening"))</f>
        <v>Afternoon</v>
      </c>
      <c r="U462" s="41" t="str">
        <f aca="false">IF(J462&gt;=setLarge,"Large",IF(J462&gt;=setMedium,"Medium","Small"))</f>
        <v>Small</v>
      </c>
      <c r="V462" s="41" t="str">
        <f aca="false">IF(P462&gt;=setExc,"Excellent",IF(P462&gt;=setGood,"Good",IF(P462&gt;=setAvg,"Average","Poor")))</f>
        <v>Poor</v>
      </c>
    </row>
    <row r="463" customFormat="false" ht="15" hidden="false" customHeight="false" outlineLevel="0" collapsed="false">
      <c r="A463" s="41" t="s">
        <v>641</v>
      </c>
      <c r="B463" s="41" t="s">
        <v>189</v>
      </c>
      <c r="C463" s="41" t="s">
        <v>86</v>
      </c>
      <c r="D463" s="41" t="s">
        <v>104</v>
      </c>
      <c r="E463" s="41" t="s">
        <v>102</v>
      </c>
      <c r="F463" s="41" t="s">
        <v>76</v>
      </c>
      <c r="G463" s="42" t="n">
        <v>73.05</v>
      </c>
      <c r="H463" s="41" t="n">
        <v>10</v>
      </c>
      <c r="I463" s="42" t="n">
        <v>36.525</v>
      </c>
      <c r="J463" s="42" t="n">
        <v>767.025</v>
      </c>
      <c r="K463" s="43" t="n">
        <v>43527</v>
      </c>
      <c r="L463" s="44" t="n">
        <v>0.517361111111111</v>
      </c>
      <c r="M463" s="41" t="s">
        <v>99</v>
      </c>
      <c r="N463" s="42" t="n">
        <v>730.5</v>
      </c>
      <c r="O463" s="42" t="n">
        <v>36.525</v>
      </c>
      <c r="P463" s="45" t="n">
        <v>8.7</v>
      </c>
      <c r="Q463" s="41" t="str">
        <f aca="false">CHOOSE(MONTH(K463),"Jan","Feb","Mar","Apr","May","Jun","Jul","Aug","Sep","Oct","Nov","Dec")</f>
        <v>Mar</v>
      </c>
      <c r="R463" s="41" t="n">
        <f aca="false">INT((K463-setMinDate)/7)+1</f>
        <v>9</v>
      </c>
      <c r="S463" s="41" t="n">
        <f aca="false">HOUR(L463)</f>
        <v>12</v>
      </c>
      <c r="T463" s="41" t="str">
        <f aca="false">IF(S463&lt;setMorningEnd,"Morning",IF(S463&lt;setAfternoonEnd,"Afternoon","Evening"))</f>
        <v>Afternoon</v>
      </c>
      <c r="U463" s="41" t="str">
        <f aca="false">IF(J463&gt;=setLarge,"Large",IF(J463&gt;=setMedium,"Medium","Small"))</f>
        <v>Large</v>
      </c>
      <c r="V463" s="41" t="str">
        <f aca="false">IF(P463&gt;=setExc,"Excellent",IF(P463&gt;=setGood,"Good",IF(P463&gt;=setAvg,"Average","Poor")))</f>
        <v>Good</v>
      </c>
    </row>
    <row r="464" customFormat="false" ht="15" hidden="false" customHeight="false" outlineLevel="0" collapsed="false">
      <c r="A464" s="41" t="s">
        <v>642</v>
      </c>
      <c r="B464" s="41" t="s">
        <v>180</v>
      </c>
      <c r="C464" s="41" t="s">
        <v>87</v>
      </c>
      <c r="D464" s="41" t="s">
        <v>105</v>
      </c>
      <c r="E464" s="41" t="s">
        <v>102</v>
      </c>
      <c r="F464" s="41" t="s">
        <v>77</v>
      </c>
      <c r="G464" s="42" t="n">
        <v>73.95</v>
      </c>
      <c r="H464" s="41" t="n">
        <v>4</v>
      </c>
      <c r="I464" s="42" t="n">
        <v>14.79</v>
      </c>
      <c r="J464" s="42" t="n">
        <v>310.59</v>
      </c>
      <c r="K464" s="43" t="n">
        <v>43499</v>
      </c>
      <c r="L464" s="44" t="n">
        <v>0.418055555555556</v>
      </c>
      <c r="M464" s="41" t="s">
        <v>97</v>
      </c>
      <c r="N464" s="42" t="n">
        <v>295.8</v>
      </c>
      <c r="O464" s="42" t="n">
        <v>14.79</v>
      </c>
      <c r="P464" s="45" t="n">
        <v>6.1</v>
      </c>
      <c r="Q464" s="41" t="str">
        <f aca="false">CHOOSE(MONTH(K464),"Jan","Feb","Mar","Apr","May","Jun","Jul","Aug","Sep","Oct","Nov","Dec")</f>
        <v>Feb</v>
      </c>
      <c r="R464" s="41" t="n">
        <f aca="false">INT((K464-setMinDate)/7)+1</f>
        <v>5</v>
      </c>
      <c r="S464" s="41" t="n">
        <f aca="false">HOUR(L464)</f>
        <v>10</v>
      </c>
      <c r="T464" s="41" t="str">
        <f aca="false">IF(S464&lt;setMorningEnd,"Morning",IF(S464&lt;setAfternoonEnd,"Afternoon","Evening"))</f>
        <v>Morning</v>
      </c>
      <c r="U464" s="41" t="str">
        <f aca="false">IF(J464&gt;=setLarge,"Large",IF(J464&gt;=setMedium,"Medium","Small"))</f>
        <v>Medium</v>
      </c>
      <c r="V464" s="41" t="str">
        <f aca="false">IF(P464&gt;=setExc,"Excellent",IF(P464&gt;=setGood,"Good",IF(P464&gt;=setAvg,"Average","Poor")))</f>
        <v>Average</v>
      </c>
    </row>
    <row r="465" customFormat="false" ht="15" hidden="false" customHeight="false" outlineLevel="0" collapsed="false">
      <c r="A465" s="41" t="s">
        <v>643</v>
      </c>
      <c r="B465" s="41" t="s">
        <v>180</v>
      </c>
      <c r="C465" s="41" t="s">
        <v>87</v>
      </c>
      <c r="D465" s="41" t="s">
        <v>104</v>
      </c>
      <c r="E465" s="41" t="s">
        <v>102</v>
      </c>
      <c r="F465" s="41" t="s">
        <v>76</v>
      </c>
      <c r="G465" s="42" t="n">
        <v>22.62</v>
      </c>
      <c r="H465" s="41" t="n">
        <v>1</v>
      </c>
      <c r="I465" s="42" t="n">
        <v>1.131</v>
      </c>
      <c r="J465" s="42" t="n">
        <v>23.751</v>
      </c>
      <c r="K465" s="43" t="n">
        <v>43541</v>
      </c>
      <c r="L465" s="44" t="n">
        <v>0.790277777777778</v>
      </c>
      <c r="M465" s="41" t="s">
        <v>97</v>
      </c>
      <c r="N465" s="42" t="n">
        <v>22.62</v>
      </c>
      <c r="O465" s="42" t="n">
        <v>1.131</v>
      </c>
      <c r="P465" s="45" t="n">
        <v>6.4</v>
      </c>
      <c r="Q465" s="41" t="str">
        <f aca="false">CHOOSE(MONTH(K465),"Jan","Feb","Mar","Apr","May","Jun","Jul","Aug","Sep","Oct","Nov","Dec")</f>
        <v>Mar</v>
      </c>
      <c r="R465" s="41" t="n">
        <f aca="false">INT((K465-setMinDate)/7)+1</f>
        <v>11</v>
      </c>
      <c r="S465" s="41" t="n">
        <f aca="false">HOUR(L465)</f>
        <v>18</v>
      </c>
      <c r="T465" s="41" t="str">
        <f aca="false">IF(S465&lt;setMorningEnd,"Morning",IF(S465&lt;setAfternoonEnd,"Afternoon","Evening"))</f>
        <v>Evening</v>
      </c>
      <c r="U465" s="41" t="str">
        <f aca="false">IF(J465&gt;=setLarge,"Large",IF(J465&gt;=setMedium,"Medium","Small"))</f>
        <v>Small</v>
      </c>
      <c r="V465" s="41" t="str">
        <f aca="false">IF(P465&gt;=setExc,"Excellent",IF(P465&gt;=setGood,"Good",IF(P465&gt;=setAvg,"Average","Poor")))</f>
        <v>Average</v>
      </c>
    </row>
    <row r="466" customFormat="false" ht="15" hidden="false" customHeight="false" outlineLevel="0" collapsed="false">
      <c r="A466" s="41" t="s">
        <v>644</v>
      </c>
      <c r="B466" s="41" t="s">
        <v>178</v>
      </c>
      <c r="C466" s="41" t="s">
        <v>85</v>
      </c>
      <c r="D466" s="41" t="s">
        <v>104</v>
      </c>
      <c r="E466" s="41" t="s">
        <v>103</v>
      </c>
      <c r="F466" s="41" t="s">
        <v>76</v>
      </c>
      <c r="G466" s="42" t="n">
        <v>51.34</v>
      </c>
      <c r="H466" s="41" t="n">
        <v>5</v>
      </c>
      <c r="I466" s="42" t="n">
        <v>12.835</v>
      </c>
      <c r="J466" s="42" t="n">
        <v>269.535</v>
      </c>
      <c r="K466" s="43" t="n">
        <v>43552</v>
      </c>
      <c r="L466" s="44" t="n">
        <v>0.646527777777778</v>
      </c>
      <c r="M466" s="41" t="s">
        <v>99</v>
      </c>
      <c r="N466" s="42" t="n">
        <v>256.7</v>
      </c>
      <c r="O466" s="42" t="n">
        <v>12.835</v>
      </c>
      <c r="P466" s="45" t="n">
        <v>9.1</v>
      </c>
      <c r="Q466" s="41" t="str">
        <f aca="false">CHOOSE(MONTH(K466),"Jan","Feb","Mar","Apr","May","Jun","Jul","Aug","Sep","Oct","Nov","Dec")</f>
        <v>Mar</v>
      </c>
      <c r="R466" s="41" t="n">
        <f aca="false">INT((K466-setMinDate)/7)+1</f>
        <v>13</v>
      </c>
      <c r="S466" s="41" t="n">
        <f aca="false">HOUR(L466)</f>
        <v>15</v>
      </c>
      <c r="T466" s="41" t="str">
        <f aca="false">IF(S466&lt;setMorningEnd,"Morning",IF(S466&lt;setAfternoonEnd,"Afternoon","Evening"))</f>
        <v>Afternoon</v>
      </c>
      <c r="U466" s="41" t="str">
        <f aca="false">IF(J466&gt;=setLarge,"Large",IF(J466&gt;=setMedium,"Medium","Small"))</f>
        <v>Medium</v>
      </c>
      <c r="V466" s="41" t="str">
        <f aca="false">IF(P466&gt;=setExc,"Excellent",IF(P466&gt;=setGood,"Good",IF(P466&gt;=setAvg,"Average","Poor")))</f>
        <v>Excellent</v>
      </c>
    </row>
    <row r="467" customFormat="false" ht="15" hidden="false" customHeight="false" outlineLevel="0" collapsed="false">
      <c r="A467" s="41" t="s">
        <v>645</v>
      </c>
      <c r="B467" s="41" t="s">
        <v>180</v>
      </c>
      <c r="C467" s="41" t="s">
        <v>87</v>
      </c>
      <c r="D467" s="41" t="s">
        <v>104</v>
      </c>
      <c r="E467" s="41" t="s">
        <v>102</v>
      </c>
      <c r="F467" s="41" t="s">
        <v>77</v>
      </c>
      <c r="G467" s="42" t="n">
        <v>54.55</v>
      </c>
      <c r="H467" s="41" t="n">
        <v>10</v>
      </c>
      <c r="I467" s="42" t="n">
        <v>27.275</v>
      </c>
      <c r="J467" s="42" t="n">
        <v>572.775</v>
      </c>
      <c r="K467" s="43" t="n">
        <v>43526</v>
      </c>
      <c r="L467" s="44" t="n">
        <v>0.473611111111111</v>
      </c>
      <c r="M467" s="41" t="s">
        <v>99</v>
      </c>
      <c r="N467" s="42" t="n">
        <v>545.5</v>
      </c>
      <c r="O467" s="42" t="n">
        <v>27.275</v>
      </c>
      <c r="P467" s="45" t="n">
        <v>7.1</v>
      </c>
      <c r="Q467" s="41" t="str">
        <f aca="false">CHOOSE(MONTH(K467),"Jan","Feb","Mar","Apr","May","Jun","Jul","Aug","Sep","Oct","Nov","Dec")</f>
        <v>Mar</v>
      </c>
      <c r="R467" s="41" t="n">
        <f aca="false">INT((K467-setMinDate)/7)+1</f>
        <v>9</v>
      </c>
      <c r="S467" s="41" t="n">
        <f aca="false">HOUR(L467)</f>
        <v>11</v>
      </c>
      <c r="T467" s="41" t="str">
        <f aca="false">IF(S467&lt;setMorningEnd,"Morning",IF(S467&lt;setAfternoonEnd,"Afternoon","Evening"))</f>
        <v>Morning</v>
      </c>
      <c r="U467" s="41" t="str">
        <f aca="false">IF(J467&gt;=setLarge,"Large",IF(J467&gt;=setMedium,"Medium","Small"))</f>
        <v>Medium</v>
      </c>
      <c r="V467" s="41" t="str">
        <f aca="false">IF(P467&gt;=setExc,"Excellent",IF(P467&gt;=setGood,"Good",IF(P467&gt;=setAvg,"Average","Poor")))</f>
        <v>Good</v>
      </c>
    </row>
    <row r="468" customFormat="false" ht="15" hidden="false" customHeight="false" outlineLevel="0" collapsed="false">
      <c r="A468" s="41" t="s">
        <v>646</v>
      </c>
      <c r="B468" s="41" t="s">
        <v>180</v>
      </c>
      <c r="C468" s="41" t="s">
        <v>87</v>
      </c>
      <c r="D468" s="41" t="s">
        <v>104</v>
      </c>
      <c r="E468" s="41" t="s">
        <v>102</v>
      </c>
      <c r="F468" s="41" t="s">
        <v>81</v>
      </c>
      <c r="G468" s="42" t="n">
        <v>37.15</v>
      </c>
      <c r="H468" s="41" t="n">
        <v>7</v>
      </c>
      <c r="I468" s="42" t="n">
        <v>13.0025</v>
      </c>
      <c r="J468" s="42" t="n">
        <v>273.0525</v>
      </c>
      <c r="K468" s="43" t="n">
        <v>43504</v>
      </c>
      <c r="L468" s="44" t="n">
        <v>0.55</v>
      </c>
      <c r="M468" s="41" t="s">
        <v>99</v>
      </c>
      <c r="N468" s="42" t="n">
        <v>260.05</v>
      </c>
      <c r="O468" s="42" t="n">
        <v>13.0025</v>
      </c>
      <c r="P468" s="45" t="n">
        <v>7.7</v>
      </c>
      <c r="Q468" s="41" t="str">
        <f aca="false">CHOOSE(MONTH(K468),"Jan","Feb","Mar","Apr","May","Jun","Jul","Aug","Sep","Oct","Nov","Dec")</f>
        <v>Feb</v>
      </c>
      <c r="R468" s="41" t="n">
        <f aca="false">INT((K468-setMinDate)/7)+1</f>
        <v>6</v>
      </c>
      <c r="S468" s="41" t="n">
        <f aca="false">HOUR(L468)</f>
        <v>13</v>
      </c>
      <c r="T468" s="41" t="str">
        <f aca="false">IF(S468&lt;setMorningEnd,"Morning",IF(S468&lt;setAfternoonEnd,"Afternoon","Evening"))</f>
        <v>Afternoon</v>
      </c>
      <c r="U468" s="41" t="str">
        <f aca="false">IF(J468&gt;=setLarge,"Large",IF(J468&gt;=setMedium,"Medium","Small"))</f>
        <v>Medium</v>
      </c>
      <c r="V468" s="41" t="str">
        <f aca="false">IF(P468&gt;=setExc,"Excellent",IF(P468&gt;=setGood,"Good",IF(P468&gt;=setAvg,"Average","Poor")))</f>
        <v>Good</v>
      </c>
    </row>
    <row r="469" customFormat="false" ht="15" hidden="false" customHeight="false" outlineLevel="0" collapsed="false">
      <c r="A469" s="41" t="s">
        <v>647</v>
      </c>
      <c r="B469" s="41" t="s">
        <v>189</v>
      </c>
      <c r="C469" s="41" t="s">
        <v>86</v>
      </c>
      <c r="D469" s="41" t="s">
        <v>105</v>
      </c>
      <c r="E469" s="41" t="s">
        <v>103</v>
      </c>
      <c r="F469" s="41" t="s">
        <v>77</v>
      </c>
      <c r="G469" s="42" t="n">
        <v>37.02</v>
      </c>
      <c r="H469" s="41" t="n">
        <v>6</v>
      </c>
      <c r="I469" s="42" t="n">
        <v>11.106</v>
      </c>
      <c r="J469" s="42" t="n">
        <v>233.226</v>
      </c>
      <c r="K469" s="43" t="n">
        <v>43546</v>
      </c>
      <c r="L469" s="44" t="n">
        <v>0.772916666666667</v>
      </c>
      <c r="M469" s="41" t="s">
        <v>97</v>
      </c>
      <c r="N469" s="42" t="n">
        <v>222.12</v>
      </c>
      <c r="O469" s="42" t="n">
        <v>11.106</v>
      </c>
      <c r="P469" s="45" t="n">
        <v>4.5</v>
      </c>
      <c r="Q469" s="41" t="str">
        <f aca="false">CHOOSE(MONTH(K469),"Jan","Feb","Mar","Apr","May","Jun","Jul","Aug","Sep","Oct","Nov","Dec")</f>
        <v>Mar</v>
      </c>
      <c r="R469" s="41" t="n">
        <f aca="false">INT((K469-setMinDate)/7)+1</f>
        <v>12</v>
      </c>
      <c r="S469" s="41" t="n">
        <f aca="false">HOUR(L469)</f>
        <v>18</v>
      </c>
      <c r="T469" s="41" t="str">
        <f aca="false">IF(S469&lt;setMorningEnd,"Morning",IF(S469&lt;setAfternoonEnd,"Afternoon","Evening"))</f>
        <v>Evening</v>
      </c>
      <c r="U469" s="41" t="str">
        <f aca="false">IF(J469&gt;=setLarge,"Large",IF(J469&gt;=setMedium,"Medium","Small"))</f>
        <v>Small</v>
      </c>
      <c r="V469" s="41" t="str">
        <f aca="false">IF(P469&gt;=setExc,"Excellent",IF(P469&gt;=setGood,"Good",IF(P469&gt;=setAvg,"Average","Poor")))</f>
        <v>Poor</v>
      </c>
    </row>
    <row r="470" customFormat="false" ht="15" hidden="false" customHeight="false" outlineLevel="0" collapsed="false">
      <c r="A470" s="41" t="s">
        <v>648</v>
      </c>
      <c r="B470" s="41" t="s">
        <v>180</v>
      </c>
      <c r="C470" s="41" t="s">
        <v>87</v>
      </c>
      <c r="D470" s="41" t="s">
        <v>105</v>
      </c>
      <c r="E470" s="41" t="s">
        <v>103</v>
      </c>
      <c r="F470" s="41" t="s">
        <v>76</v>
      </c>
      <c r="G470" s="42" t="n">
        <v>21.58</v>
      </c>
      <c r="H470" s="41" t="n">
        <v>1</v>
      </c>
      <c r="I470" s="42" t="n">
        <v>1.079</v>
      </c>
      <c r="J470" s="42" t="n">
        <v>22.659</v>
      </c>
      <c r="K470" s="43" t="n">
        <v>43505</v>
      </c>
      <c r="L470" s="44" t="n">
        <v>0.418055555555556</v>
      </c>
      <c r="M470" s="41" t="s">
        <v>98</v>
      </c>
      <c r="N470" s="42" t="n">
        <v>21.58</v>
      </c>
      <c r="O470" s="42" t="n">
        <v>1.079</v>
      </c>
      <c r="P470" s="45" t="n">
        <v>7.2</v>
      </c>
      <c r="Q470" s="41" t="str">
        <f aca="false">CHOOSE(MONTH(K470),"Jan","Feb","Mar","Apr","May","Jun","Jul","Aug","Sep","Oct","Nov","Dec")</f>
        <v>Feb</v>
      </c>
      <c r="R470" s="41" t="n">
        <f aca="false">INT((K470-setMinDate)/7)+1</f>
        <v>6</v>
      </c>
      <c r="S470" s="41" t="n">
        <f aca="false">HOUR(L470)</f>
        <v>10</v>
      </c>
      <c r="T470" s="41" t="str">
        <f aca="false">IF(S470&lt;setMorningEnd,"Morning",IF(S470&lt;setAfternoonEnd,"Afternoon","Evening"))</f>
        <v>Morning</v>
      </c>
      <c r="U470" s="41" t="str">
        <f aca="false">IF(J470&gt;=setLarge,"Large",IF(J470&gt;=setMedium,"Medium","Small"))</f>
        <v>Small</v>
      </c>
      <c r="V470" s="41" t="str">
        <f aca="false">IF(P470&gt;=setExc,"Excellent",IF(P470&gt;=setGood,"Good",IF(P470&gt;=setAvg,"Average","Poor")))</f>
        <v>Good</v>
      </c>
    </row>
    <row r="471" customFormat="false" ht="15" hidden="false" customHeight="false" outlineLevel="0" collapsed="false">
      <c r="A471" s="41" t="s">
        <v>649</v>
      </c>
      <c r="B471" s="41" t="s">
        <v>180</v>
      </c>
      <c r="C471" s="41" t="s">
        <v>87</v>
      </c>
      <c r="D471" s="41" t="s">
        <v>104</v>
      </c>
      <c r="E471" s="41" t="s">
        <v>102</v>
      </c>
      <c r="F471" s="41" t="s">
        <v>78</v>
      </c>
      <c r="G471" s="42" t="n">
        <v>98.84</v>
      </c>
      <c r="H471" s="41" t="n">
        <v>1</v>
      </c>
      <c r="I471" s="42" t="n">
        <v>4.942</v>
      </c>
      <c r="J471" s="42" t="n">
        <v>103.782</v>
      </c>
      <c r="K471" s="43" t="n">
        <v>43511</v>
      </c>
      <c r="L471" s="44" t="n">
        <v>0.472916666666667</v>
      </c>
      <c r="M471" s="41" t="s">
        <v>97</v>
      </c>
      <c r="N471" s="42" t="n">
        <v>98.84</v>
      </c>
      <c r="O471" s="42" t="n">
        <v>4.942</v>
      </c>
      <c r="P471" s="45" t="n">
        <v>8.4</v>
      </c>
      <c r="Q471" s="41" t="str">
        <f aca="false">CHOOSE(MONTH(K471),"Jan","Feb","Mar","Apr","May","Jun","Jul","Aug","Sep","Oct","Nov","Dec")</f>
        <v>Feb</v>
      </c>
      <c r="R471" s="41" t="n">
        <f aca="false">INT((K471-setMinDate)/7)+1</f>
        <v>7</v>
      </c>
      <c r="S471" s="41" t="n">
        <f aca="false">HOUR(L471)</f>
        <v>11</v>
      </c>
      <c r="T471" s="41" t="str">
        <f aca="false">IF(S471&lt;setMorningEnd,"Morning",IF(S471&lt;setAfternoonEnd,"Afternoon","Evening"))</f>
        <v>Morning</v>
      </c>
      <c r="U471" s="41" t="str">
        <f aca="false">IF(J471&gt;=setLarge,"Large",IF(J471&gt;=setMedium,"Medium","Small"))</f>
        <v>Small</v>
      </c>
      <c r="V471" s="41" t="str">
        <f aca="false">IF(P471&gt;=setExc,"Excellent",IF(P471&gt;=setGood,"Good",IF(P471&gt;=setAvg,"Average","Poor")))</f>
        <v>Good</v>
      </c>
    </row>
    <row r="472" customFormat="false" ht="15" hidden="false" customHeight="false" outlineLevel="0" collapsed="false">
      <c r="A472" s="41" t="s">
        <v>650</v>
      </c>
      <c r="B472" s="41" t="s">
        <v>180</v>
      </c>
      <c r="C472" s="41" t="s">
        <v>87</v>
      </c>
      <c r="D472" s="41" t="s">
        <v>104</v>
      </c>
      <c r="E472" s="41" t="s">
        <v>102</v>
      </c>
      <c r="F472" s="41" t="s">
        <v>80</v>
      </c>
      <c r="G472" s="42" t="n">
        <v>83.77</v>
      </c>
      <c r="H472" s="41" t="n">
        <v>6</v>
      </c>
      <c r="I472" s="42" t="n">
        <v>25.131</v>
      </c>
      <c r="J472" s="42" t="n">
        <v>527.751</v>
      </c>
      <c r="K472" s="43" t="n">
        <v>43488</v>
      </c>
      <c r="L472" s="44" t="n">
        <v>0.506944444444444</v>
      </c>
      <c r="M472" s="41" t="s">
        <v>98</v>
      </c>
      <c r="N472" s="42" t="n">
        <v>502.62</v>
      </c>
      <c r="O472" s="42" t="n">
        <v>25.131</v>
      </c>
      <c r="P472" s="45" t="n">
        <v>5.4</v>
      </c>
      <c r="Q472" s="41" t="str">
        <f aca="false">CHOOSE(MONTH(K472),"Jan","Feb","Mar","Apr","May","Jun","Jul","Aug","Sep","Oct","Nov","Dec")</f>
        <v>Jan</v>
      </c>
      <c r="R472" s="41" t="n">
        <f aca="false">INT((K472-setMinDate)/7)+1</f>
        <v>4</v>
      </c>
      <c r="S472" s="41" t="n">
        <f aca="false">HOUR(L472)</f>
        <v>12</v>
      </c>
      <c r="T472" s="41" t="str">
        <f aca="false">IF(S472&lt;setMorningEnd,"Morning",IF(S472&lt;setAfternoonEnd,"Afternoon","Evening"))</f>
        <v>Afternoon</v>
      </c>
      <c r="U472" s="41" t="str">
        <f aca="false">IF(J472&gt;=setLarge,"Large",IF(J472&gt;=setMedium,"Medium","Small"))</f>
        <v>Medium</v>
      </c>
      <c r="V472" s="41" t="str">
        <f aca="false">IF(P472&gt;=setExc,"Excellent",IF(P472&gt;=setGood,"Good",IF(P472&gt;=setAvg,"Average","Poor")))</f>
        <v>Average</v>
      </c>
    </row>
    <row r="473" customFormat="false" ht="15" hidden="false" customHeight="false" outlineLevel="0" collapsed="false">
      <c r="A473" s="41" t="s">
        <v>651</v>
      </c>
      <c r="B473" s="41" t="s">
        <v>178</v>
      </c>
      <c r="C473" s="41" t="s">
        <v>85</v>
      </c>
      <c r="D473" s="41" t="s">
        <v>104</v>
      </c>
      <c r="E473" s="41" t="s">
        <v>102</v>
      </c>
      <c r="F473" s="41" t="s">
        <v>77</v>
      </c>
      <c r="G473" s="42" t="n">
        <v>40.05</v>
      </c>
      <c r="H473" s="41" t="n">
        <v>4</v>
      </c>
      <c r="I473" s="42" t="n">
        <v>8.01</v>
      </c>
      <c r="J473" s="42" t="n">
        <v>168.21</v>
      </c>
      <c r="K473" s="43" t="n">
        <v>43490</v>
      </c>
      <c r="L473" s="44" t="n">
        <v>0.486111111111111</v>
      </c>
      <c r="M473" s="41" t="s">
        <v>97</v>
      </c>
      <c r="N473" s="42" t="n">
        <v>160.2</v>
      </c>
      <c r="O473" s="42" t="n">
        <v>8.01</v>
      </c>
      <c r="P473" s="45" t="n">
        <v>9.7</v>
      </c>
      <c r="Q473" s="41" t="str">
        <f aca="false">CHOOSE(MONTH(K473),"Jan","Feb","Mar","Apr","May","Jun","Jul","Aug","Sep","Oct","Nov","Dec")</f>
        <v>Jan</v>
      </c>
      <c r="R473" s="41" t="n">
        <f aca="false">INT((K473-setMinDate)/7)+1</f>
        <v>4</v>
      </c>
      <c r="S473" s="41" t="n">
        <f aca="false">HOUR(L473)</f>
        <v>11</v>
      </c>
      <c r="T473" s="41" t="str">
        <f aca="false">IF(S473&lt;setMorningEnd,"Morning",IF(S473&lt;setAfternoonEnd,"Afternoon","Evening"))</f>
        <v>Morning</v>
      </c>
      <c r="U473" s="41" t="str">
        <f aca="false">IF(J473&gt;=setLarge,"Large",IF(J473&gt;=setMedium,"Medium","Small"))</f>
        <v>Small</v>
      </c>
      <c r="V473" s="41" t="str">
        <f aca="false">IF(P473&gt;=setExc,"Excellent",IF(P473&gt;=setGood,"Good",IF(P473&gt;=setAvg,"Average","Poor")))</f>
        <v>Excellent</v>
      </c>
    </row>
    <row r="474" customFormat="false" ht="15" hidden="false" customHeight="false" outlineLevel="0" collapsed="false">
      <c r="A474" s="41" t="s">
        <v>652</v>
      </c>
      <c r="B474" s="41" t="s">
        <v>178</v>
      </c>
      <c r="C474" s="41" t="s">
        <v>85</v>
      </c>
      <c r="D474" s="41" t="s">
        <v>104</v>
      </c>
      <c r="E474" s="41" t="s">
        <v>103</v>
      </c>
      <c r="F474" s="41" t="s">
        <v>79</v>
      </c>
      <c r="G474" s="42" t="n">
        <v>43.13</v>
      </c>
      <c r="H474" s="41" t="n">
        <v>10</v>
      </c>
      <c r="I474" s="42" t="n">
        <v>21.565</v>
      </c>
      <c r="J474" s="42" t="n">
        <v>452.865</v>
      </c>
      <c r="K474" s="43" t="n">
        <v>43498</v>
      </c>
      <c r="L474" s="44" t="n">
        <v>0.771527777777778</v>
      </c>
      <c r="M474" s="41" t="s">
        <v>99</v>
      </c>
      <c r="N474" s="42" t="n">
        <v>431.3</v>
      </c>
      <c r="O474" s="42" t="n">
        <v>21.565</v>
      </c>
      <c r="P474" s="45" t="n">
        <v>5.5</v>
      </c>
      <c r="Q474" s="41" t="str">
        <f aca="false">CHOOSE(MONTH(K474),"Jan","Feb","Mar","Apr","May","Jun","Jul","Aug","Sep","Oct","Nov","Dec")</f>
        <v>Feb</v>
      </c>
      <c r="R474" s="41" t="n">
        <f aca="false">INT((K474-setMinDate)/7)+1</f>
        <v>5</v>
      </c>
      <c r="S474" s="41" t="n">
        <f aca="false">HOUR(L474)</f>
        <v>18</v>
      </c>
      <c r="T474" s="41" t="str">
        <f aca="false">IF(S474&lt;setMorningEnd,"Morning",IF(S474&lt;setAfternoonEnd,"Afternoon","Evening"))</f>
        <v>Evening</v>
      </c>
      <c r="U474" s="41" t="str">
        <f aca="false">IF(J474&gt;=setLarge,"Large",IF(J474&gt;=setMedium,"Medium","Small"))</f>
        <v>Medium</v>
      </c>
      <c r="V474" s="41" t="str">
        <f aca="false">IF(P474&gt;=setExc,"Excellent",IF(P474&gt;=setGood,"Good",IF(P474&gt;=setAvg,"Average","Poor")))</f>
        <v>Average</v>
      </c>
    </row>
    <row r="475" customFormat="false" ht="15" hidden="false" customHeight="false" outlineLevel="0" collapsed="false">
      <c r="A475" s="41" t="s">
        <v>653</v>
      </c>
      <c r="B475" s="41" t="s">
        <v>189</v>
      </c>
      <c r="C475" s="41" t="s">
        <v>86</v>
      </c>
      <c r="D475" s="41" t="s">
        <v>104</v>
      </c>
      <c r="E475" s="41" t="s">
        <v>103</v>
      </c>
      <c r="F475" s="41" t="s">
        <v>81</v>
      </c>
      <c r="G475" s="42" t="n">
        <v>72.57</v>
      </c>
      <c r="H475" s="41" t="n">
        <v>8</v>
      </c>
      <c r="I475" s="42" t="n">
        <v>29.028</v>
      </c>
      <c r="J475" s="42" t="n">
        <v>609.588</v>
      </c>
      <c r="K475" s="43" t="n">
        <v>43554</v>
      </c>
      <c r="L475" s="44" t="n">
        <v>0.748611111111111</v>
      </c>
      <c r="M475" s="41" t="s">
        <v>97</v>
      </c>
      <c r="N475" s="42" t="n">
        <v>580.56</v>
      </c>
      <c r="O475" s="42" t="n">
        <v>29.028</v>
      </c>
      <c r="P475" s="45" t="n">
        <v>4.6</v>
      </c>
      <c r="Q475" s="41" t="str">
        <f aca="false">CHOOSE(MONTH(K475),"Jan","Feb","Mar","Apr","May","Jun","Jul","Aug","Sep","Oct","Nov","Dec")</f>
        <v>Mar</v>
      </c>
      <c r="R475" s="41" t="n">
        <f aca="false">INT((K475-setMinDate)/7)+1</f>
        <v>13</v>
      </c>
      <c r="S475" s="41" t="n">
        <f aca="false">HOUR(L475)</f>
        <v>17</v>
      </c>
      <c r="T475" s="41" t="str">
        <f aca="false">IF(S475&lt;setMorningEnd,"Morning",IF(S475&lt;setAfternoonEnd,"Afternoon","Evening"))</f>
        <v>Evening</v>
      </c>
      <c r="U475" s="41" t="str">
        <f aca="false">IF(J475&gt;=setLarge,"Large",IF(J475&gt;=setMedium,"Medium","Small"))</f>
        <v>Large</v>
      </c>
      <c r="V475" s="41" t="str">
        <f aca="false">IF(P475&gt;=setExc,"Excellent",IF(P475&gt;=setGood,"Good",IF(P475&gt;=setAvg,"Average","Poor")))</f>
        <v>Poor</v>
      </c>
    </row>
    <row r="476" customFormat="false" ht="15" hidden="false" customHeight="false" outlineLevel="0" collapsed="false">
      <c r="A476" s="41" t="s">
        <v>654</v>
      </c>
      <c r="B476" s="41" t="s">
        <v>178</v>
      </c>
      <c r="C476" s="41" t="s">
        <v>85</v>
      </c>
      <c r="D476" s="41" t="s">
        <v>104</v>
      </c>
      <c r="E476" s="41" t="s">
        <v>102</v>
      </c>
      <c r="F476" s="41" t="s">
        <v>78</v>
      </c>
      <c r="G476" s="42" t="n">
        <v>64.44</v>
      </c>
      <c r="H476" s="41" t="n">
        <v>5</v>
      </c>
      <c r="I476" s="42" t="n">
        <v>16.11</v>
      </c>
      <c r="J476" s="42" t="n">
        <v>338.31</v>
      </c>
      <c r="K476" s="43" t="n">
        <v>43554</v>
      </c>
      <c r="L476" s="44" t="n">
        <v>0.711111111111111</v>
      </c>
      <c r="M476" s="41" t="s">
        <v>97</v>
      </c>
      <c r="N476" s="42" t="n">
        <v>322.2</v>
      </c>
      <c r="O476" s="42" t="n">
        <v>16.11</v>
      </c>
      <c r="P476" s="45" t="n">
        <v>6.6</v>
      </c>
      <c r="Q476" s="41" t="str">
        <f aca="false">CHOOSE(MONTH(K476),"Jan","Feb","Mar","Apr","May","Jun","Jul","Aug","Sep","Oct","Nov","Dec")</f>
        <v>Mar</v>
      </c>
      <c r="R476" s="41" t="n">
        <f aca="false">INT((K476-setMinDate)/7)+1</f>
        <v>13</v>
      </c>
      <c r="S476" s="41" t="n">
        <f aca="false">HOUR(L476)</f>
        <v>17</v>
      </c>
      <c r="T476" s="41" t="str">
        <f aca="false">IF(S476&lt;setMorningEnd,"Morning",IF(S476&lt;setAfternoonEnd,"Afternoon","Evening"))</f>
        <v>Evening</v>
      </c>
      <c r="U476" s="41" t="str">
        <f aca="false">IF(J476&gt;=setLarge,"Large",IF(J476&gt;=setMedium,"Medium","Small"))</f>
        <v>Medium</v>
      </c>
      <c r="V476" s="41" t="str">
        <f aca="false">IF(P476&gt;=setExc,"Excellent",IF(P476&gt;=setGood,"Good",IF(P476&gt;=setAvg,"Average","Poor")))</f>
        <v>Average</v>
      </c>
    </row>
    <row r="477" customFormat="false" ht="15" hidden="false" customHeight="false" outlineLevel="0" collapsed="false">
      <c r="A477" s="41" t="s">
        <v>655</v>
      </c>
      <c r="B477" s="41" t="s">
        <v>178</v>
      </c>
      <c r="C477" s="41" t="s">
        <v>85</v>
      </c>
      <c r="D477" s="41" t="s">
        <v>105</v>
      </c>
      <c r="E477" s="41" t="s">
        <v>103</v>
      </c>
      <c r="F477" s="41" t="s">
        <v>81</v>
      </c>
      <c r="G477" s="42" t="n">
        <v>65.18</v>
      </c>
      <c r="H477" s="41" t="n">
        <v>3</v>
      </c>
      <c r="I477" s="42" t="n">
        <v>9.777</v>
      </c>
      <c r="J477" s="42" t="n">
        <v>205.317</v>
      </c>
      <c r="K477" s="43" t="n">
        <v>43521</v>
      </c>
      <c r="L477" s="44" t="n">
        <v>0.857638888888889</v>
      </c>
      <c r="M477" s="41" t="s">
        <v>99</v>
      </c>
      <c r="N477" s="42" t="n">
        <v>195.54</v>
      </c>
      <c r="O477" s="42" t="n">
        <v>9.777</v>
      </c>
      <c r="P477" s="45" t="n">
        <v>6.3</v>
      </c>
      <c r="Q477" s="41" t="str">
        <f aca="false">CHOOSE(MONTH(K477),"Jan","Feb","Mar","Apr","May","Jun","Jul","Aug","Sep","Oct","Nov","Dec")</f>
        <v>Feb</v>
      </c>
      <c r="R477" s="41" t="n">
        <f aca="false">INT((K477-setMinDate)/7)+1</f>
        <v>8</v>
      </c>
      <c r="S477" s="41" t="n">
        <f aca="false">HOUR(L477)</f>
        <v>20</v>
      </c>
      <c r="T477" s="41" t="str">
        <f aca="false">IF(S477&lt;setMorningEnd,"Morning",IF(S477&lt;setAfternoonEnd,"Afternoon","Evening"))</f>
        <v>Evening</v>
      </c>
      <c r="U477" s="41" t="str">
        <f aca="false">IF(J477&gt;=setLarge,"Large",IF(J477&gt;=setMedium,"Medium","Small"))</f>
        <v>Small</v>
      </c>
      <c r="V477" s="41" t="str">
        <f aca="false">IF(P477&gt;=setExc,"Excellent",IF(P477&gt;=setGood,"Good",IF(P477&gt;=setAvg,"Average","Poor")))</f>
        <v>Average</v>
      </c>
    </row>
    <row r="478" customFormat="false" ht="15" hidden="false" customHeight="false" outlineLevel="0" collapsed="false">
      <c r="A478" s="41" t="s">
        <v>656</v>
      </c>
      <c r="B478" s="41" t="s">
        <v>178</v>
      </c>
      <c r="C478" s="41" t="s">
        <v>85</v>
      </c>
      <c r="D478" s="41" t="s">
        <v>105</v>
      </c>
      <c r="E478" s="41" t="s">
        <v>102</v>
      </c>
      <c r="F478" s="41" t="s">
        <v>77</v>
      </c>
      <c r="G478" s="42" t="n">
        <v>33.26</v>
      </c>
      <c r="H478" s="41" t="n">
        <v>5</v>
      </c>
      <c r="I478" s="42" t="n">
        <v>8.315</v>
      </c>
      <c r="J478" s="42" t="n">
        <v>174.615</v>
      </c>
      <c r="K478" s="43" t="n">
        <v>43542</v>
      </c>
      <c r="L478" s="44" t="n">
        <v>0.673611111111111</v>
      </c>
      <c r="M478" s="41" t="s">
        <v>99</v>
      </c>
      <c r="N478" s="42" t="n">
        <v>166.3</v>
      </c>
      <c r="O478" s="42" t="n">
        <v>8.315</v>
      </c>
      <c r="P478" s="45" t="n">
        <v>4.2</v>
      </c>
      <c r="Q478" s="41" t="str">
        <f aca="false">CHOOSE(MONTH(K478),"Jan","Feb","Mar","Apr","May","Jun","Jul","Aug","Sep","Oct","Nov","Dec")</f>
        <v>Mar</v>
      </c>
      <c r="R478" s="41" t="n">
        <f aca="false">INT((K478-setMinDate)/7)+1</f>
        <v>11</v>
      </c>
      <c r="S478" s="41" t="n">
        <f aca="false">HOUR(L478)</f>
        <v>16</v>
      </c>
      <c r="T478" s="41" t="str">
        <f aca="false">IF(S478&lt;setMorningEnd,"Morning",IF(S478&lt;setAfternoonEnd,"Afternoon","Evening"))</f>
        <v>Afternoon</v>
      </c>
      <c r="U478" s="41" t="str">
        <f aca="false">IF(J478&gt;=setLarge,"Large",IF(J478&gt;=setMedium,"Medium","Small"))</f>
        <v>Small</v>
      </c>
      <c r="V478" s="41" t="str">
        <f aca="false">IF(P478&gt;=setExc,"Excellent",IF(P478&gt;=setGood,"Good",IF(P478&gt;=setAvg,"Average","Poor")))</f>
        <v>Poor</v>
      </c>
    </row>
    <row r="479" customFormat="false" ht="15" hidden="false" customHeight="false" outlineLevel="0" collapsed="false">
      <c r="A479" s="41" t="s">
        <v>657</v>
      </c>
      <c r="B479" s="41" t="s">
        <v>180</v>
      </c>
      <c r="C479" s="41" t="s">
        <v>87</v>
      </c>
      <c r="D479" s="41" t="s">
        <v>105</v>
      </c>
      <c r="E479" s="41" t="s">
        <v>103</v>
      </c>
      <c r="F479" s="41" t="s">
        <v>78</v>
      </c>
      <c r="G479" s="42" t="n">
        <v>84.07</v>
      </c>
      <c r="H479" s="41" t="n">
        <v>4</v>
      </c>
      <c r="I479" s="42" t="n">
        <v>16.814</v>
      </c>
      <c r="J479" s="42" t="n">
        <v>353.094</v>
      </c>
      <c r="K479" s="43" t="n">
        <v>43531</v>
      </c>
      <c r="L479" s="44" t="n">
        <v>0.704166666666667</v>
      </c>
      <c r="M479" s="41" t="s">
        <v>98</v>
      </c>
      <c r="N479" s="42" t="n">
        <v>336.28</v>
      </c>
      <c r="O479" s="42" t="n">
        <v>16.814</v>
      </c>
      <c r="P479" s="45" t="n">
        <v>4.4</v>
      </c>
      <c r="Q479" s="41" t="str">
        <f aca="false">CHOOSE(MONTH(K479),"Jan","Feb","Mar","Apr","May","Jun","Jul","Aug","Sep","Oct","Nov","Dec")</f>
        <v>Mar</v>
      </c>
      <c r="R479" s="41" t="n">
        <f aca="false">INT((K479-setMinDate)/7)+1</f>
        <v>10</v>
      </c>
      <c r="S479" s="41" t="n">
        <f aca="false">HOUR(L479)</f>
        <v>16</v>
      </c>
      <c r="T479" s="41" t="str">
        <f aca="false">IF(S479&lt;setMorningEnd,"Morning",IF(S479&lt;setAfternoonEnd,"Afternoon","Evening"))</f>
        <v>Afternoon</v>
      </c>
      <c r="U479" s="41" t="str">
        <f aca="false">IF(J479&gt;=setLarge,"Large",IF(J479&gt;=setMedium,"Medium","Small"))</f>
        <v>Medium</v>
      </c>
      <c r="V479" s="41" t="str">
        <f aca="false">IF(P479&gt;=setExc,"Excellent",IF(P479&gt;=setGood,"Good",IF(P479&gt;=setAvg,"Average","Poor")))</f>
        <v>Poor</v>
      </c>
    </row>
    <row r="480" customFormat="false" ht="15" hidden="false" customHeight="false" outlineLevel="0" collapsed="false">
      <c r="A480" s="41" t="s">
        <v>658</v>
      </c>
      <c r="B480" s="41" t="s">
        <v>189</v>
      </c>
      <c r="C480" s="41" t="s">
        <v>86</v>
      </c>
      <c r="D480" s="41" t="s">
        <v>105</v>
      </c>
      <c r="E480" s="41" t="s">
        <v>103</v>
      </c>
      <c r="F480" s="41" t="s">
        <v>77</v>
      </c>
      <c r="G480" s="42" t="n">
        <v>34.37</v>
      </c>
      <c r="H480" s="41" t="n">
        <v>10</v>
      </c>
      <c r="I480" s="42" t="n">
        <v>17.185</v>
      </c>
      <c r="J480" s="42" t="n">
        <v>360.885</v>
      </c>
      <c r="K480" s="43" t="n">
        <v>43540</v>
      </c>
      <c r="L480" s="44" t="n">
        <v>0.424305555555556</v>
      </c>
      <c r="M480" s="41" t="s">
        <v>98</v>
      </c>
      <c r="N480" s="42" t="n">
        <v>343.7</v>
      </c>
      <c r="O480" s="42" t="n">
        <v>17.185</v>
      </c>
      <c r="P480" s="45" t="n">
        <v>6.7</v>
      </c>
      <c r="Q480" s="41" t="str">
        <f aca="false">CHOOSE(MONTH(K480),"Jan","Feb","Mar","Apr","May","Jun","Jul","Aug","Sep","Oct","Nov","Dec")</f>
        <v>Mar</v>
      </c>
      <c r="R480" s="41" t="n">
        <f aca="false">INT((K480-setMinDate)/7)+1</f>
        <v>11</v>
      </c>
      <c r="S480" s="41" t="n">
        <f aca="false">HOUR(L480)</f>
        <v>10</v>
      </c>
      <c r="T480" s="41" t="str">
        <f aca="false">IF(S480&lt;setMorningEnd,"Morning",IF(S480&lt;setAfternoonEnd,"Afternoon","Evening"))</f>
        <v>Morning</v>
      </c>
      <c r="U480" s="41" t="str">
        <f aca="false">IF(J480&gt;=setLarge,"Large",IF(J480&gt;=setMedium,"Medium","Small"))</f>
        <v>Medium</v>
      </c>
      <c r="V480" s="41" t="str">
        <f aca="false">IF(P480&gt;=setExc,"Excellent",IF(P480&gt;=setGood,"Good",IF(P480&gt;=setAvg,"Average","Poor")))</f>
        <v>Average</v>
      </c>
    </row>
    <row r="481" customFormat="false" ht="15" hidden="false" customHeight="false" outlineLevel="0" collapsed="false">
      <c r="A481" s="41" t="s">
        <v>659</v>
      </c>
      <c r="B481" s="41" t="s">
        <v>178</v>
      </c>
      <c r="C481" s="41" t="s">
        <v>85</v>
      </c>
      <c r="D481" s="41" t="s">
        <v>105</v>
      </c>
      <c r="E481" s="41" t="s">
        <v>103</v>
      </c>
      <c r="F481" s="41" t="s">
        <v>78</v>
      </c>
      <c r="G481" s="42" t="n">
        <v>38.6</v>
      </c>
      <c r="H481" s="41" t="n">
        <v>1</v>
      </c>
      <c r="I481" s="42" t="n">
        <v>1.93</v>
      </c>
      <c r="J481" s="42" t="n">
        <v>40.53</v>
      </c>
      <c r="K481" s="43" t="n">
        <v>43494</v>
      </c>
      <c r="L481" s="44" t="n">
        <v>0.476388888888889</v>
      </c>
      <c r="M481" s="41" t="s">
        <v>98</v>
      </c>
      <c r="N481" s="42" t="n">
        <v>38.6</v>
      </c>
      <c r="O481" s="42" t="n">
        <v>1.93</v>
      </c>
      <c r="P481" s="45" t="n">
        <v>6.7</v>
      </c>
      <c r="Q481" s="41" t="str">
        <f aca="false">CHOOSE(MONTH(K481),"Jan","Feb","Mar","Apr","May","Jun","Jul","Aug","Sep","Oct","Nov","Dec")</f>
        <v>Jan</v>
      </c>
      <c r="R481" s="41" t="n">
        <f aca="false">INT((K481-setMinDate)/7)+1</f>
        <v>5</v>
      </c>
      <c r="S481" s="41" t="n">
        <f aca="false">HOUR(L481)</f>
        <v>11</v>
      </c>
      <c r="T481" s="41" t="str">
        <f aca="false">IF(S481&lt;setMorningEnd,"Morning",IF(S481&lt;setAfternoonEnd,"Afternoon","Evening"))</f>
        <v>Morning</v>
      </c>
      <c r="U481" s="41" t="str">
        <f aca="false">IF(J481&gt;=setLarge,"Large",IF(J481&gt;=setMedium,"Medium","Small"))</f>
        <v>Small</v>
      </c>
      <c r="V481" s="41" t="str">
        <f aca="false">IF(P481&gt;=setExc,"Excellent",IF(P481&gt;=setGood,"Good",IF(P481&gt;=setAvg,"Average","Poor")))</f>
        <v>Average</v>
      </c>
    </row>
    <row r="482" customFormat="false" ht="15" hidden="false" customHeight="false" outlineLevel="0" collapsed="false">
      <c r="A482" s="41" t="s">
        <v>660</v>
      </c>
      <c r="B482" s="41" t="s">
        <v>180</v>
      </c>
      <c r="C482" s="41" t="s">
        <v>87</v>
      </c>
      <c r="D482" s="41" t="s">
        <v>105</v>
      </c>
      <c r="E482" s="41" t="s">
        <v>103</v>
      </c>
      <c r="F482" s="41" t="s">
        <v>76</v>
      </c>
      <c r="G482" s="42" t="n">
        <v>65.97</v>
      </c>
      <c r="H482" s="41" t="n">
        <v>8</v>
      </c>
      <c r="I482" s="42" t="n">
        <v>26.388</v>
      </c>
      <c r="J482" s="42" t="n">
        <v>554.148</v>
      </c>
      <c r="K482" s="43" t="n">
        <v>43498</v>
      </c>
      <c r="L482" s="44" t="n">
        <v>0.853472222222222</v>
      </c>
      <c r="M482" s="41" t="s">
        <v>97</v>
      </c>
      <c r="N482" s="42" t="n">
        <v>527.76</v>
      </c>
      <c r="O482" s="42" t="n">
        <v>26.388</v>
      </c>
      <c r="P482" s="45" t="n">
        <v>8.4</v>
      </c>
      <c r="Q482" s="41" t="str">
        <f aca="false">CHOOSE(MONTH(K482),"Jan","Feb","Mar","Apr","May","Jun","Jul","Aug","Sep","Oct","Nov","Dec")</f>
        <v>Feb</v>
      </c>
      <c r="R482" s="41" t="n">
        <f aca="false">INT((K482-setMinDate)/7)+1</f>
        <v>5</v>
      </c>
      <c r="S482" s="41" t="n">
        <f aca="false">HOUR(L482)</f>
        <v>20</v>
      </c>
      <c r="T482" s="41" t="str">
        <f aca="false">IF(S482&lt;setMorningEnd,"Morning",IF(S482&lt;setAfternoonEnd,"Afternoon","Evening"))</f>
        <v>Evening</v>
      </c>
      <c r="U482" s="41" t="str">
        <f aca="false">IF(J482&gt;=setLarge,"Large",IF(J482&gt;=setMedium,"Medium","Small"))</f>
        <v>Medium</v>
      </c>
      <c r="V482" s="41" t="str">
        <f aca="false">IF(P482&gt;=setExc,"Excellent",IF(P482&gt;=setGood,"Good",IF(P482&gt;=setAvg,"Average","Poor")))</f>
        <v>Good</v>
      </c>
    </row>
    <row r="483" customFormat="false" ht="15" hidden="false" customHeight="false" outlineLevel="0" collapsed="false">
      <c r="A483" s="41" t="s">
        <v>661</v>
      </c>
      <c r="B483" s="41" t="s">
        <v>180</v>
      </c>
      <c r="C483" s="41" t="s">
        <v>87</v>
      </c>
      <c r="D483" s="41" t="s">
        <v>105</v>
      </c>
      <c r="E483" s="41" t="s">
        <v>102</v>
      </c>
      <c r="F483" s="41" t="s">
        <v>78</v>
      </c>
      <c r="G483" s="42" t="n">
        <v>32.8</v>
      </c>
      <c r="H483" s="41" t="n">
        <v>10</v>
      </c>
      <c r="I483" s="42" t="n">
        <v>16.4</v>
      </c>
      <c r="J483" s="42" t="n">
        <v>344.4</v>
      </c>
      <c r="K483" s="43" t="n">
        <v>43511</v>
      </c>
      <c r="L483" s="44" t="n">
        <v>0.508333333333333</v>
      </c>
      <c r="M483" s="41" t="s">
        <v>97</v>
      </c>
      <c r="N483" s="42" t="n">
        <v>328</v>
      </c>
      <c r="O483" s="42" t="n">
        <v>16.4</v>
      </c>
      <c r="P483" s="45" t="n">
        <v>6.2</v>
      </c>
      <c r="Q483" s="41" t="str">
        <f aca="false">CHOOSE(MONTH(K483),"Jan","Feb","Mar","Apr","May","Jun","Jul","Aug","Sep","Oct","Nov","Dec")</f>
        <v>Feb</v>
      </c>
      <c r="R483" s="41" t="n">
        <f aca="false">INT((K483-setMinDate)/7)+1</f>
        <v>7</v>
      </c>
      <c r="S483" s="41" t="n">
        <f aca="false">HOUR(L483)</f>
        <v>12</v>
      </c>
      <c r="T483" s="41" t="str">
        <f aca="false">IF(S483&lt;setMorningEnd,"Morning",IF(S483&lt;setAfternoonEnd,"Afternoon","Evening"))</f>
        <v>Afternoon</v>
      </c>
      <c r="U483" s="41" t="str">
        <f aca="false">IF(J483&gt;=setLarge,"Large",IF(J483&gt;=setMedium,"Medium","Small"))</f>
        <v>Medium</v>
      </c>
      <c r="V483" s="41" t="str">
        <f aca="false">IF(P483&gt;=setExc,"Excellent",IF(P483&gt;=setGood,"Good",IF(P483&gt;=setAvg,"Average","Poor")))</f>
        <v>Average</v>
      </c>
    </row>
    <row r="484" customFormat="false" ht="15" hidden="false" customHeight="false" outlineLevel="0" collapsed="false">
      <c r="A484" s="41" t="s">
        <v>662</v>
      </c>
      <c r="B484" s="41" t="s">
        <v>178</v>
      </c>
      <c r="C484" s="41" t="s">
        <v>85</v>
      </c>
      <c r="D484" s="41" t="s">
        <v>105</v>
      </c>
      <c r="E484" s="41" t="s">
        <v>103</v>
      </c>
      <c r="F484" s="41" t="s">
        <v>77</v>
      </c>
      <c r="G484" s="42" t="n">
        <v>37.14</v>
      </c>
      <c r="H484" s="41" t="n">
        <v>5</v>
      </c>
      <c r="I484" s="42" t="n">
        <v>9.285</v>
      </c>
      <c r="J484" s="42" t="n">
        <v>194.985</v>
      </c>
      <c r="K484" s="43" t="n">
        <v>43473</v>
      </c>
      <c r="L484" s="44" t="n">
        <v>0.545138888888889</v>
      </c>
      <c r="M484" s="41" t="s">
        <v>98</v>
      </c>
      <c r="N484" s="42" t="n">
        <v>185.7</v>
      </c>
      <c r="O484" s="42" t="n">
        <v>9.285</v>
      </c>
      <c r="P484" s="45" t="n">
        <v>5</v>
      </c>
      <c r="Q484" s="41" t="str">
        <f aca="false">CHOOSE(MONTH(K484),"Jan","Feb","Mar","Apr","May","Jun","Jul","Aug","Sep","Oct","Nov","Dec")</f>
        <v>Jan</v>
      </c>
      <c r="R484" s="41" t="n">
        <f aca="false">INT((K484-setMinDate)/7)+1</f>
        <v>2</v>
      </c>
      <c r="S484" s="41" t="n">
        <f aca="false">HOUR(L484)</f>
        <v>13</v>
      </c>
      <c r="T484" s="41" t="str">
        <f aca="false">IF(S484&lt;setMorningEnd,"Morning",IF(S484&lt;setAfternoonEnd,"Afternoon","Evening"))</f>
        <v>Afternoon</v>
      </c>
      <c r="U484" s="41" t="str">
        <f aca="false">IF(J484&gt;=setLarge,"Large",IF(J484&gt;=setMedium,"Medium","Small"))</f>
        <v>Small</v>
      </c>
      <c r="V484" s="41" t="str">
        <f aca="false">IF(P484&gt;=setExc,"Excellent",IF(P484&gt;=setGood,"Good",IF(P484&gt;=setAvg,"Average","Poor")))</f>
        <v>Average</v>
      </c>
    </row>
    <row r="485" customFormat="false" ht="15" hidden="false" customHeight="false" outlineLevel="0" collapsed="false">
      <c r="A485" s="41" t="s">
        <v>663</v>
      </c>
      <c r="B485" s="41" t="s">
        <v>189</v>
      </c>
      <c r="C485" s="41" t="s">
        <v>86</v>
      </c>
      <c r="D485" s="41" t="s">
        <v>104</v>
      </c>
      <c r="E485" s="41" t="s">
        <v>103</v>
      </c>
      <c r="F485" s="41" t="s">
        <v>80</v>
      </c>
      <c r="G485" s="42" t="n">
        <v>60.38</v>
      </c>
      <c r="H485" s="41" t="n">
        <v>10</v>
      </c>
      <c r="I485" s="42" t="n">
        <v>30.19</v>
      </c>
      <c r="J485" s="42" t="n">
        <v>633.99</v>
      </c>
      <c r="K485" s="43" t="n">
        <v>43508</v>
      </c>
      <c r="L485" s="44" t="n">
        <v>0.679861111111111</v>
      </c>
      <c r="M485" s="41" t="s">
        <v>97</v>
      </c>
      <c r="N485" s="42" t="n">
        <v>603.8</v>
      </c>
      <c r="O485" s="42" t="n">
        <v>30.19</v>
      </c>
      <c r="P485" s="45" t="n">
        <v>6</v>
      </c>
      <c r="Q485" s="41" t="str">
        <f aca="false">CHOOSE(MONTH(K485),"Jan","Feb","Mar","Apr","May","Jun","Jul","Aug","Sep","Oct","Nov","Dec")</f>
        <v>Feb</v>
      </c>
      <c r="R485" s="41" t="n">
        <f aca="false">INT((K485-setMinDate)/7)+1</f>
        <v>7</v>
      </c>
      <c r="S485" s="41" t="n">
        <f aca="false">HOUR(L485)</f>
        <v>16</v>
      </c>
      <c r="T485" s="41" t="str">
        <f aca="false">IF(S485&lt;setMorningEnd,"Morning",IF(S485&lt;setAfternoonEnd,"Afternoon","Evening"))</f>
        <v>Afternoon</v>
      </c>
      <c r="U485" s="41" t="str">
        <f aca="false">IF(J485&gt;=setLarge,"Large",IF(J485&gt;=setMedium,"Medium","Small"))</f>
        <v>Large</v>
      </c>
      <c r="V485" s="41" t="str">
        <f aca="false">IF(P485&gt;=setExc,"Excellent",IF(P485&gt;=setGood,"Good",IF(P485&gt;=setAvg,"Average","Poor")))</f>
        <v>Average</v>
      </c>
    </row>
    <row r="486" customFormat="false" ht="15" hidden="false" customHeight="false" outlineLevel="0" collapsed="false">
      <c r="A486" s="41" t="s">
        <v>664</v>
      </c>
      <c r="B486" s="41" t="s">
        <v>180</v>
      </c>
      <c r="C486" s="41" t="s">
        <v>87</v>
      </c>
      <c r="D486" s="41" t="s">
        <v>104</v>
      </c>
      <c r="E486" s="41" t="s">
        <v>102</v>
      </c>
      <c r="F486" s="41" t="s">
        <v>77</v>
      </c>
      <c r="G486" s="42" t="n">
        <v>36.98</v>
      </c>
      <c r="H486" s="41" t="n">
        <v>10</v>
      </c>
      <c r="I486" s="42" t="n">
        <v>18.49</v>
      </c>
      <c r="J486" s="42" t="n">
        <v>388.29</v>
      </c>
      <c r="K486" s="43" t="n">
        <v>43466</v>
      </c>
      <c r="L486" s="44" t="n">
        <v>0.825</v>
      </c>
      <c r="M486" s="41" t="s">
        <v>99</v>
      </c>
      <c r="N486" s="42" t="n">
        <v>369.8</v>
      </c>
      <c r="O486" s="42" t="n">
        <v>18.49</v>
      </c>
      <c r="P486" s="45" t="n">
        <v>7</v>
      </c>
      <c r="Q486" s="41" t="str">
        <f aca="false">CHOOSE(MONTH(K486),"Jan","Feb","Mar","Apr","May","Jun","Jul","Aug","Sep","Oct","Nov","Dec")</f>
        <v>Jan</v>
      </c>
      <c r="R486" s="41" t="n">
        <f aca="false">INT((K486-setMinDate)/7)+1</f>
        <v>1</v>
      </c>
      <c r="S486" s="41" t="n">
        <f aca="false">HOUR(L486)</f>
        <v>19</v>
      </c>
      <c r="T486" s="41" t="str">
        <f aca="false">IF(S486&lt;setMorningEnd,"Morning",IF(S486&lt;setAfternoonEnd,"Afternoon","Evening"))</f>
        <v>Evening</v>
      </c>
      <c r="U486" s="41" t="str">
        <f aca="false">IF(J486&gt;=setLarge,"Large",IF(J486&gt;=setMedium,"Medium","Small"))</f>
        <v>Medium</v>
      </c>
      <c r="V486" s="41" t="str">
        <f aca="false">IF(P486&gt;=setExc,"Excellent",IF(P486&gt;=setGood,"Good",IF(P486&gt;=setAvg,"Average","Poor")))</f>
        <v>Good</v>
      </c>
    </row>
    <row r="487" customFormat="false" ht="15" hidden="false" customHeight="false" outlineLevel="0" collapsed="false">
      <c r="A487" s="41" t="s">
        <v>665</v>
      </c>
      <c r="B487" s="41" t="s">
        <v>189</v>
      </c>
      <c r="C487" s="41" t="s">
        <v>86</v>
      </c>
      <c r="D487" s="41" t="s">
        <v>104</v>
      </c>
      <c r="E487" s="41" t="s">
        <v>102</v>
      </c>
      <c r="F487" s="41" t="s">
        <v>77</v>
      </c>
      <c r="G487" s="42" t="n">
        <v>49.49</v>
      </c>
      <c r="H487" s="41" t="n">
        <v>4</v>
      </c>
      <c r="I487" s="42" t="n">
        <v>9.898</v>
      </c>
      <c r="J487" s="42" t="n">
        <v>207.858</v>
      </c>
      <c r="K487" s="43" t="n">
        <v>43545</v>
      </c>
      <c r="L487" s="44" t="n">
        <v>0.642361111111111</v>
      </c>
      <c r="M487" s="41" t="s">
        <v>98</v>
      </c>
      <c r="N487" s="42" t="n">
        <v>197.96</v>
      </c>
      <c r="O487" s="42" t="n">
        <v>9.898</v>
      </c>
      <c r="P487" s="45" t="n">
        <v>6.6</v>
      </c>
      <c r="Q487" s="41" t="str">
        <f aca="false">CHOOSE(MONTH(K487),"Jan","Feb","Mar","Apr","May","Jun","Jul","Aug","Sep","Oct","Nov","Dec")</f>
        <v>Mar</v>
      </c>
      <c r="R487" s="41" t="n">
        <f aca="false">INT((K487-setMinDate)/7)+1</f>
        <v>12</v>
      </c>
      <c r="S487" s="41" t="n">
        <f aca="false">HOUR(L487)</f>
        <v>15</v>
      </c>
      <c r="T487" s="41" t="str">
        <f aca="false">IF(S487&lt;setMorningEnd,"Morning",IF(S487&lt;setAfternoonEnd,"Afternoon","Evening"))</f>
        <v>Afternoon</v>
      </c>
      <c r="U487" s="41" t="str">
        <f aca="false">IF(J487&gt;=setLarge,"Large",IF(J487&gt;=setMedium,"Medium","Small"))</f>
        <v>Small</v>
      </c>
      <c r="V487" s="41" t="str">
        <f aca="false">IF(P487&gt;=setExc,"Excellent",IF(P487&gt;=setGood,"Good",IF(P487&gt;=setAvg,"Average","Poor")))</f>
        <v>Average</v>
      </c>
    </row>
    <row r="488" customFormat="false" ht="15" hidden="false" customHeight="false" outlineLevel="0" collapsed="false">
      <c r="A488" s="41" t="s">
        <v>666</v>
      </c>
      <c r="B488" s="41" t="s">
        <v>189</v>
      </c>
      <c r="C488" s="41" t="s">
        <v>86</v>
      </c>
      <c r="D488" s="41" t="s">
        <v>105</v>
      </c>
      <c r="E488" s="41" t="s">
        <v>102</v>
      </c>
      <c r="F488" s="41" t="s">
        <v>79</v>
      </c>
      <c r="G488" s="42" t="n">
        <v>41.09</v>
      </c>
      <c r="H488" s="41" t="n">
        <v>10</v>
      </c>
      <c r="I488" s="42" t="n">
        <v>20.545</v>
      </c>
      <c r="J488" s="42" t="n">
        <v>431.445</v>
      </c>
      <c r="K488" s="43" t="n">
        <v>43524</v>
      </c>
      <c r="L488" s="44" t="n">
        <v>0.6125</v>
      </c>
      <c r="M488" s="41" t="s">
        <v>97</v>
      </c>
      <c r="N488" s="42" t="n">
        <v>410.9</v>
      </c>
      <c r="O488" s="42" t="n">
        <v>20.545</v>
      </c>
      <c r="P488" s="45" t="n">
        <v>7.3</v>
      </c>
      <c r="Q488" s="41" t="str">
        <f aca="false">CHOOSE(MONTH(K488),"Jan","Feb","Mar","Apr","May","Jun","Jul","Aug","Sep","Oct","Nov","Dec")</f>
        <v>Feb</v>
      </c>
      <c r="R488" s="41" t="n">
        <f aca="false">INT((K488-setMinDate)/7)+1</f>
        <v>9</v>
      </c>
      <c r="S488" s="41" t="n">
        <f aca="false">HOUR(L488)</f>
        <v>14</v>
      </c>
      <c r="T488" s="41" t="str">
        <f aca="false">IF(S488&lt;setMorningEnd,"Morning",IF(S488&lt;setAfternoonEnd,"Afternoon","Evening"))</f>
        <v>Afternoon</v>
      </c>
      <c r="U488" s="41" t="str">
        <f aca="false">IF(J488&gt;=setLarge,"Large",IF(J488&gt;=setMedium,"Medium","Small"))</f>
        <v>Medium</v>
      </c>
      <c r="V488" s="41" t="str">
        <f aca="false">IF(P488&gt;=setExc,"Excellent",IF(P488&gt;=setGood,"Good",IF(P488&gt;=setAvg,"Average","Poor")))</f>
        <v>Good</v>
      </c>
    </row>
    <row r="489" customFormat="false" ht="15" hidden="false" customHeight="false" outlineLevel="0" collapsed="false">
      <c r="A489" s="41" t="s">
        <v>667</v>
      </c>
      <c r="B489" s="41" t="s">
        <v>178</v>
      </c>
      <c r="C489" s="41" t="s">
        <v>85</v>
      </c>
      <c r="D489" s="41" t="s">
        <v>105</v>
      </c>
      <c r="E489" s="41" t="s">
        <v>103</v>
      </c>
      <c r="F489" s="41" t="s">
        <v>79</v>
      </c>
      <c r="G489" s="42" t="n">
        <v>37.15</v>
      </c>
      <c r="H489" s="41" t="n">
        <v>4</v>
      </c>
      <c r="I489" s="42" t="n">
        <v>7.43</v>
      </c>
      <c r="J489" s="42" t="n">
        <v>156.03</v>
      </c>
      <c r="K489" s="43" t="n">
        <v>43547</v>
      </c>
      <c r="L489" s="44" t="n">
        <v>0.790972222222222</v>
      </c>
      <c r="M489" s="41" t="s">
        <v>98</v>
      </c>
      <c r="N489" s="42" t="n">
        <v>148.6</v>
      </c>
      <c r="O489" s="42" t="n">
        <v>7.43</v>
      </c>
      <c r="P489" s="45" t="n">
        <v>8.3</v>
      </c>
      <c r="Q489" s="41" t="str">
        <f aca="false">CHOOSE(MONTH(K489),"Jan","Feb","Mar","Apr","May","Jun","Jul","Aug","Sep","Oct","Nov","Dec")</f>
        <v>Mar</v>
      </c>
      <c r="R489" s="41" t="n">
        <f aca="false">INT((K489-setMinDate)/7)+1</f>
        <v>12</v>
      </c>
      <c r="S489" s="41" t="n">
        <f aca="false">HOUR(L489)</f>
        <v>18</v>
      </c>
      <c r="T489" s="41" t="str">
        <f aca="false">IF(S489&lt;setMorningEnd,"Morning",IF(S489&lt;setAfternoonEnd,"Afternoon","Evening"))</f>
        <v>Evening</v>
      </c>
      <c r="U489" s="41" t="str">
        <f aca="false">IF(J489&gt;=setLarge,"Large",IF(J489&gt;=setMedium,"Medium","Small"))</f>
        <v>Small</v>
      </c>
      <c r="V489" s="41" t="str">
        <f aca="false">IF(P489&gt;=setExc,"Excellent",IF(P489&gt;=setGood,"Good",IF(P489&gt;=setAvg,"Average","Poor")))</f>
        <v>Good</v>
      </c>
    </row>
    <row r="490" customFormat="false" ht="15" hidden="false" customHeight="false" outlineLevel="0" collapsed="false">
      <c r="A490" s="41" t="s">
        <v>668</v>
      </c>
      <c r="B490" s="41" t="s">
        <v>180</v>
      </c>
      <c r="C490" s="41" t="s">
        <v>87</v>
      </c>
      <c r="D490" s="41" t="s">
        <v>105</v>
      </c>
      <c r="E490" s="41" t="s">
        <v>103</v>
      </c>
      <c r="F490" s="41" t="s">
        <v>80</v>
      </c>
      <c r="G490" s="42" t="n">
        <v>22.96</v>
      </c>
      <c r="H490" s="41" t="n">
        <v>1</v>
      </c>
      <c r="I490" s="42" t="n">
        <v>1.148</v>
      </c>
      <c r="J490" s="42" t="n">
        <v>24.108</v>
      </c>
      <c r="K490" s="43" t="n">
        <v>43495</v>
      </c>
      <c r="L490" s="44" t="n">
        <v>0.865972222222222</v>
      </c>
      <c r="M490" s="41" t="s">
        <v>97</v>
      </c>
      <c r="N490" s="42" t="n">
        <v>22.96</v>
      </c>
      <c r="O490" s="42" t="n">
        <v>1.148</v>
      </c>
      <c r="P490" s="45" t="n">
        <v>4.3</v>
      </c>
      <c r="Q490" s="41" t="str">
        <f aca="false">CHOOSE(MONTH(K490),"Jan","Feb","Mar","Apr","May","Jun","Jul","Aug","Sep","Oct","Nov","Dec")</f>
        <v>Jan</v>
      </c>
      <c r="R490" s="41" t="n">
        <f aca="false">INT((K490-setMinDate)/7)+1</f>
        <v>5</v>
      </c>
      <c r="S490" s="41" t="n">
        <f aca="false">HOUR(L490)</f>
        <v>20</v>
      </c>
      <c r="T490" s="41" t="str">
        <f aca="false">IF(S490&lt;setMorningEnd,"Morning",IF(S490&lt;setAfternoonEnd,"Afternoon","Evening"))</f>
        <v>Evening</v>
      </c>
      <c r="U490" s="41" t="str">
        <f aca="false">IF(J490&gt;=setLarge,"Large",IF(J490&gt;=setMedium,"Medium","Small"))</f>
        <v>Small</v>
      </c>
      <c r="V490" s="41" t="str">
        <f aca="false">IF(P490&gt;=setExc,"Excellent",IF(P490&gt;=setGood,"Good",IF(P490&gt;=setAvg,"Average","Poor")))</f>
        <v>Poor</v>
      </c>
    </row>
    <row r="491" customFormat="false" ht="15" hidden="false" customHeight="false" outlineLevel="0" collapsed="false">
      <c r="A491" s="41" t="s">
        <v>669</v>
      </c>
      <c r="B491" s="41" t="s">
        <v>189</v>
      </c>
      <c r="C491" s="41" t="s">
        <v>86</v>
      </c>
      <c r="D491" s="41" t="s">
        <v>104</v>
      </c>
      <c r="E491" s="41" t="s">
        <v>102</v>
      </c>
      <c r="F491" s="41" t="s">
        <v>80</v>
      </c>
      <c r="G491" s="42" t="n">
        <v>77.68</v>
      </c>
      <c r="H491" s="41" t="n">
        <v>9</v>
      </c>
      <c r="I491" s="42" t="n">
        <v>34.956</v>
      </c>
      <c r="J491" s="42" t="n">
        <v>734.076</v>
      </c>
      <c r="K491" s="43" t="n">
        <v>43500</v>
      </c>
      <c r="L491" s="44" t="n">
        <v>0.55625</v>
      </c>
      <c r="M491" s="41" t="s">
        <v>98</v>
      </c>
      <c r="N491" s="42" t="n">
        <v>699.12</v>
      </c>
      <c r="O491" s="42" t="n">
        <v>34.956</v>
      </c>
      <c r="P491" s="45" t="n">
        <v>9.8</v>
      </c>
      <c r="Q491" s="41" t="str">
        <f aca="false">CHOOSE(MONTH(K491),"Jan","Feb","Mar","Apr","May","Jun","Jul","Aug","Sep","Oct","Nov","Dec")</f>
        <v>Feb</v>
      </c>
      <c r="R491" s="41" t="n">
        <f aca="false">INT((K491-setMinDate)/7)+1</f>
        <v>5</v>
      </c>
      <c r="S491" s="41" t="n">
        <f aca="false">HOUR(L491)</f>
        <v>13</v>
      </c>
      <c r="T491" s="41" t="str">
        <f aca="false">IF(S491&lt;setMorningEnd,"Morning",IF(S491&lt;setAfternoonEnd,"Afternoon","Evening"))</f>
        <v>Afternoon</v>
      </c>
      <c r="U491" s="41" t="str">
        <f aca="false">IF(J491&gt;=setLarge,"Large",IF(J491&gt;=setMedium,"Medium","Small"))</f>
        <v>Large</v>
      </c>
      <c r="V491" s="41" t="str">
        <f aca="false">IF(P491&gt;=setExc,"Excellent",IF(P491&gt;=setGood,"Good",IF(P491&gt;=setAvg,"Average","Poor")))</f>
        <v>Excellent</v>
      </c>
    </row>
    <row r="492" customFormat="false" ht="15" hidden="false" customHeight="false" outlineLevel="0" collapsed="false">
      <c r="A492" s="41" t="s">
        <v>670</v>
      </c>
      <c r="B492" s="41" t="s">
        <v>189</v>
      </c>
      <c r="C492" s="41" t="s">
        <v>86</v>
      </c>
      <c r="D492" s="41" t="s">
        <v>105</v>
      </c>
      <c r="E492" s="41" t="s">
        <v>102</v>
      </c>
      <c r="F492" s="41" t="s">
        <v>79</v>
      </c>
      <c r="G492" s="42" t="n">
        <v>34.7</v>
      </c>
      <c r="H492" s="41" t="n">
        <v>2</v>
      </c>
      <c r="I492" s="42" t="n">
        <v>3.47</v>
      </c>
      <c r="J492" s="42" t="n">
        <v>72.87</v>
      </c>
      <c r="K492" s="43" t="n">
        <v>43537</v>
      </c>
      <c r="L492" s="44" t="n">
        <v>0.825</v>
      </c>
      <c r="M492" s="41" t="s">
        <v>98</v>
      </c>
      <c r="N492" s="42" t="n">
        <v>69.4</v>
      </c>
      <c r="O492" s="42" t="n">
        <v>3.47</v>
      </c>
      <c r="P492" s="45" t="n">
        <v>8.2</v>
      </c>
      <c r="Q492" s="41" t="str">
        <f aca="false">CHOOSE(MONTH(K492),"Jan","Feb","Mar","Apr","May","Jun","Jul","Aug","Sep","Oct","Nov","Dec")</f>
        <v>Mar</v>
      </c>
      <c r="R492" s="41" t="n">
        <f aca="false">INT((K492-setMinDate)/7)+1</f>
        <v>11</v>
      </c>
      <c r="S492" s="41" t="n">
        <f aca="false">HOUR(L492)</f>
        <v>19</v>
      </c>
      <c r="T492" s="41" t="str">
        <f aca="false">IF(S492&lt;setMorningEnd,"Morning",IF(S492&lt;setAfternoonEnd,"Afternoon","Evening"))</f>
        <v>Evening</v>
      </c>
      <c r="U492" s="41" t="str">
        <f aca="false">IF(J492&gt;=setLarge,"Large",IF(J492&gt;=setMedium,"Medium","Small"))</f>
        <v>Small</v>
      </c>
      <c r="V492" s="41" t="str">
        <f aca="false">IF(P492&gt;=setExc,"Excellent",IF(P492&gt;=setGood,"Good",IF(P492&gt;=setAvg,"Average","Poor")))</f>
        <v>Good</v>
      </c>
    </row>
    <row r="493" customFormat="false" ht="15" hidden="false" customHeight="false" outlineLevel="0" collapsed="false">
      <c r="A493" s="41" t="s">
        <v>671</v>
      </c>
      <c r="B493" s="41" t="s">
        <v>178</v>
      </c>
      <c r="C493" s="41" t="s">
        <v>85</v>
      </c>
      <c r="D493" s="41" t="s">
        <v>104</v>
      </c>
      <c r="E493" s="41" t="s">
        <v>102</v>
      </c>
      <c r="F493" s="41" t="s">
        <v>79</v>
      </c>
      <c r="G493" s="42" t="n">
        <v>19.66</v>
      </c>
      <c r="H493" s="41" t="n">
        <v>10</v>
      </c>
      <c r="I493" s="42" t="n">
        <v>9.83</v>
      </c>
      <c r="J493" s="42" t="n">
        <v>206.43</v>
      </c>
      <c r="K493" s="43" t="n">
        <v>43539</v>
      </c>
      <c r="L493" s="44" t="n">
        <v>0.763888888888889</v>
      </c>
      <c r="M493" s="41" t="s">
        <v>99</v>
      </c>
      <c r="N493" s="42" t="n">
        <v>196.6</v>
      </c>
      <c r="O493" s="42" t="n">
        <v>9.83</v>
      </c>
      <c r="P493" s="45" t="n">
        <v>7.2</v>
      </c>
      <c r="Q493" s="41" t="str">
        <f aca="false">CHOOSE(MONTH(K493),"Jan","Feb","Mar","Apr","May","Jun","Jul","Aug","Sep","Oct","Nov","Dec")</f>
        <v>Mar</v>
      </c>
      <c r="R493" s="41" t="n">
        <f aca="false">INT((K493-setMinDate)/7)+1</f>
        <v>11</v>
      </c>
      <c r="S493" s="41" t="n">
        <f aca="false">HOUR(L493)</f>
        <v>18</v>
      </c>
      <c r="T493" s="41" t="str">
        <f aca="false">IF(S493&lt;setMorningEnd,"Morning",IF(S493&lt;setAfternoonEnd,"Afternoon","Evening"))</f>
        <v>Evening</v>
      </c>
      <c r="U493" s="41" t="str">
        <f aca="false">IF(J493&gt;=setLarge,"Large",IF(J493&gt;=setMedium,"Medium","Small"))</f>
        <v>Small</v>
      </c>
      <c r="V493" s="41" t="str">
        <f aca="false">IF(P493&gt;=setExc,"Excellent",IF(P493&gt;=setGood,"Good",IF(P493&gt;=setAvg,"Average","Poor")))</f>
        <v>Good</v>
      </c>
    </row>
    <row r="494" customFormat="false" ht="15" hidden="false" customHeight="false" outlineLevel="0" collapsed="false">
      <c r="A494" s="41" t="s">
        <v>672</v>
      </c>
      <c r="B494" s="41" t="s">
        <v>189</v>
      </c>
      <c r="C494" s="41" t="s">
        <v>86</v>
      </c>
      <c r="D494" s="41" t="s">
        <v>104</v>
      </c>
      <c r="E494" s="41" t="s">
        <v>102</v>
      </c>
      <c r="F494" s="41" t="s">
        <v>81</v>
      </c>
      <c r="G494" s="42" t="n">
        <v>25.32</v>
      </c>
      <c r="H494" s="41" t="n">
        <v>8</v>
      </c>
      <c r="I494" s="42" t="n">
        <v>10.128</v>
      </c>
      <c r="J494" s="42" t="n">
        <v>212.688</v>
      </c>
      <c r="K494" s="43" t="n">
        <v>43529</v>
      </c>
      <c r="L494" s="44" t="n">
        <v>0.85</v>
      </c>
      <c r="M494" s="41" t="s">
        <v>98</v>
      </c>
      <c r="N494" s="42" t="n">
        <v>202.56</v>
      </c>
      <c r="O494" s="42" t="n">
        <v>10.128</v>
      </c>
      <c r="P494" s="45" t="n">
        <v>8.7</v>
      </c>
      <c r="Q494" s="41" t="str">
        <f aca="false">CHOOSE(MONTH(K494),"Jan","Feb","Mar","Apr","May","Jun","Jul","Aug","Sep","Oct","Nov","Dec")</f>
        <v>Mar</v>
      </c>
      <c r="R494" s="41" t="n">
        <f aca="false">INT((K494-setMinDate)/7)+1</f>
        <v>10</v>
      </c>
      <c r="S494" s="41" t="n">
        <f aca="false">HOUR(L494)</f>
        <v>20</v>
      </c>
      <c r="T494" s="41" t="str">
        <f aca="false">IF(S494&lt;setMorningEnd,"Morning",IF(S494&lt;setAfternoonEnd,"Afternoon","Evening"))</f>
        <v>Evening</v>
      </c>
      <c r="U494" s="41" t="str">
        <f aca="false">IF(J494&gt;=setLarge,"Large",IF(J494&gt;=setMedium,"Medium","Small"))</f>
        <v>Small</v>
      </c>
      <c r="V494" s="41" t="str">
        <f aca="false">IF(P494&gt;=setExc,"Excellent",IF(P494&gt;=setGood,"Good",IF(P494&gt;=setAvg,"Average","Poor")))</f>
        <v>Good</v>
      </c>
    </row>
    <row r="495" customFormat="false" ht="15" hidden="false" customHeight="false" outlineLevel="0" collapsed="false">
      <c r="A495" s="41" t="s">
        <v>673</v>
      </c>
      <c r="B495" s="41" t="s">
        <v>180</v>
      </c>
      <c r="C495" s="41" t="s">
        <v>87</v>
      </c>
      <c r="D495" s="41" t="s">
        <v>104</v>
      </c>
      <c r="E495" s="41" t="s">
        <v>102</v>
      </c>
      <c r="F495" s="41" t="s">
        <v>80</v>
      </c>
      <c r="G495" s="42" t="n">
        <v>12.12</v>
      </c>
      <c r="H495" s="41" t="n">
        <v>10</v>
      </c>
      <c r="I495" s="42" t="n">
        <v>6.06</v>
      </c>
      <c r="J495" s="42" t="n">
        <v>127.26</v>
      </c>
      <c r="K495" s="43" t="n">
        <v>43529</v>
      </c>
      <c r="L495" s="44" t="n">
        <v>0.572222222222222</v>
      </c>
      <c r="M495" s="41" t="s">
        <v>99</v>
      </c>
      <c r="N495" s="42" t="n">
        <v>121.2</v>
      </c>
      <c r="O495" s="42" t="n">
        <v>6.06</v>
      </c>
      <c r="P495" s="45" t="n">
        <v>8.4</v>
      </c>
      <c r="Q495" s="41" t="str">
        <f aca="false">CHOOSE(MONTH(K495),"Jan","Feb","Mar","Apr","May","Jun","Jul","Aug","Sep","Oct","Nov","Dec")</f>
        <v>Mar</v>
      </c>
      <c r="R495" s="41" t="n">
        <f aca="false">INT((K495-setMinDate)/7)+1</f>
        <v>10</v>
      </c>
      <c r="S495" s="41" t="n">
        <f aca="false">HOUR(L495)</f>
        <v>13</v>
      </c>
      <c r="T495" s="41" t="str">
        <f aca="false">IF(S495&lt;setMorningEnd,"Morning",IF(S495&lt;setAfternoonEnd,"Afternoon","Evening"))</f>
        <v>Afternoon</v>
      </c>
      <c r="U495" s="41" t="str">
        <f aca="false">IF(J495&gt;=setLarge,"Large",IF(J495&gt;=setMedium,"Medium","Small"))</f>
        <v>Small</v>
      </c>
      <c r="V495" s="41" t="str">
        <f aca="false">IF(P495&gt;=setExc,"Excellent",IF(P495&gt;=setGood,"Good",IF(P495&gt;=setAvg,"Average","Poor")))</f>
        <v>Good</v>
      </c>
    </row>
    <row r="496" customFormat="false" ht="15" hidden="false" customHeight="false" outlineLevel="0" collapsed="false">
      <c r="A496" s="41" t="s">
        <v>674</v>
      </c>
      <c r="B496" s="41" t="s">
        <v>189</v>
      </c>
      <c r="C496" s="41" t="s">
        <v>86</v>
      </c>
      <c r="D496" s="41" t="s">
        <v>105</v>
      </c>
      <c r="E496" s="41" t="s">
        <v>103</v>
      </c>
      <c r="F496" s="41" t="s">
        <v>79</v>
      </c>
      <c r="G496" s="42" t="n">
        <v>99.89</v>
      </c>
      <c r="H496" s="41" t="n">
        <v>2</v>
      </c>
      <c r="I496" s="42" t="n">
        <v>9.989</v>
      </c>
      <c r="J496" s="42" t="n">
        <v>209.769</v>
      </c>
      <c r="K496" s="43" t="n">
        <v>43522</v>
      </c>
      <c r="L496" s="44" t="n">
        <v>0.491666666666667</v>
      </c>
      <c r="M496" s="41" t="s">
        <v>98</v>
      </c>
      <c r="N496" s="42" t="n">
        <v>199.78</v>
      </c>
      <c r="O496" s="42" t="n">
        <v>9.989</v>
      </c>
      <c r="P496" s="45" t="n">
        <v>7.1</v>
      </c>
      <c r="Q496" s="41" t="str">
        <f aca="false">CHOOSE(MONTH(K496),"Jan","Feb","Mar","Apr","May","Jun","Jul","Aug","Sep","Oct","Nov","Dec")</f>
        <v>Feb</v>
      </c>
      <c r="R496" s="41" t="n">
        <f aca="false">INT((K496-setMinDate)/7)+1</f>
        <v>9</v>
      </c>
      <c r="S496" s="41" t="n">
        <f aca="false">HOUR(L496)</f>
        <v>11</v>
      </c>
      <c r="T496" s="41" t="str">
        <f aca="false">IF(S496&lt;setMorningEnd,"Morning",IF(S496&lt;setAfternoonEnd,"Afternoon","Evening"))</f>
        <v>Morning</v>
      </c>
      <c r="U496" s="41" t="str">
        <f aca="false">IF(J496&gt;=setLarge,"Large",IF(J496&gt;=setMedium,"Medium","Small"))</f>
        <v>Small</v>
      </c>
      <c r="V496" s="41" t="str">
        <f aca="false">IF(P496&gt;=setExc,"Excellent",IF(P496&gt;=setGood,"Good",IF(P496&gt;=setAvg,"Average","Poor")))</f>
        <v>Good</v>
      </c>
    </row>
    <row r="497" customFormat="false" ht="15" hidden="false" customHeight="false" outlineLevel="0" collapsed="false">
      <c r="A497" s="41" t="s">
        <v>675</v>
      </c>
      <c r="B497" s="41" t="s">
        <v>189</v>
      </c>
      <c r="C497" s="41" t="s">
        <v>86</v>
      </c>
      <c r="D497" s="41" t="s">
        <v>105</v>
      </c>
      <c r="E497" s="41" t="s">
        <v>103</v>
      </c>
      <c r="F497" s="41" t="s">
        <v>77</v>
      </c>
      <c r="G497" s="42" t="n">
        <v>75.92</v>
      </c>
      <c r="H497" s="41" t="n">
        <v>8</v>
      </c>
      <c r="I497" s="42" t="n">
        <v>30.368</v>
      </c>
      <c r="J497" s="42" t="n">
        <v>637.728</v>
      </c>
      <c r="K497" s="43" t="n">
        <v>43544</v>
      </c>
      <c r="L497" s="44" t="n">
        <v>0.593055555555556</v>
      </c>
      <c r="M497" s="41" t="s">
        <v>97</v>
      </c>
      <c r="N497" s="42" t="n">
        <v>607.36</v>
      </c>
      <c r="O497" s="42" t="n">
        <v>30.368</v>
      </c>
      <c r="P497" s="45" t="n">
        <v>5.5</v>
      </c>
      <c r="Q497" s="41" t="str">
        <f aca="false">CHOOSE(MONTH(K497),"Jan","Feb","Mar","Apr","May","Jun","Jul","Aug","Sep","Oct","Nov","Dec")</f>
        <v>Mar</v>
      </c>
      <c r="R497" s="41" t="n">
        <f aca="false">INT((K497-setMinDate)/7)+1</f>
        <v>12</v>
      </c>
      <c r="S497" s="41" t="n">
        <f aca="false">HOUR(L497)</f>
        <v>14</v>
      </c>
      <c r="T497" s="41" t="str">
        <f aca="false">IF(S497&lt;setMorningEnd,"Morning",IF(S497&lt;setAfternoonEnd,"Afternoon","Evening"))</f>
        <v>Afternoon</v>
      </c>
      <c r="U497" s="41" t="str">
        <f aca="false">IF(J497&gt;=setLarge,"Large",IF(J497&gt;=setMedium,"Medium","Small"))</f>
        <v>Large</v>
      </c>
      <c r="V497" s="41" t="str">
        <f aca="false">IF(P497&gt;=setExc,"Excellent",IF(P497&gt;=setGood,"Good",IF(P497&gt;=setAvg,"Average","Poor")))</f>
        <v>Average</v>
      </c>
    </row>
    <row r="498" customFormat="false" ht="15" hidden="false" customHeight="false" outlineLevel="0" collapsed="false">
      <c r="A498" s="41" t="s">
        <v>676</v>
      </c>
      <c r="B498" s="41" t="s">
        <v>180</v>
      </c>
      <c r="C498" s="41" t="s">
        <v>87</v>
      </c>
      <c r="D498" s="41" t="s">
        <v>105</v>
      </c>
      <c r="E498" s="41" t="s">
        <v>102</v>
      </c>
      <c r="F498" s="41" t="s">
        <v>78</v>
      </c>
      <c r="G498" s="42" t="n">
        <v>63.22</v>
      </c>
      <c r="H498" s="41" t="n">
        <v>2</v>
      </c>
      <c r="I498" s="42" t="n">
        <v>6.322</v>
      </c>
      <c r="J498" s="42" t="n">
        <v>132.762</v>
      </c>
      <c r="K498" s="43" t="n">
        <v>43466</v>
      </c>
      <c r="L498" s="44" t="n">
        <v>0.660416666666667</v>
      </c>
      <c r="M498" s="41" t="s">
        <v>97</v>
      </c>
      <c r="N498" s="42" t="n">
        <v>126.44</v>
      </c>
      <c r="O498" s="42" t="n">
        <v>6.322</v>
      </c>
      <c r="P498" s="45" t="n">
        <v>8.5</v>
      </c>
      <c r="Q498" s="41" t="str">
        <f aca="false">CHOOSE(MONTH(K498),"Jan","Feb","Mar","Apr","May","Jun","Jul","Aug","Sep","Oct","Nov","Dec")</f>
        <v>Jan</v>
      </c>
      <c r="R498" s="41" t="n">
        <f aca="false">INT((K498-setMinDate)/7)+1</f>
        <v>1</v>
      </c>
      <c r="S498" s="41" t="n">
        <f aca="false">HOUR(L498)</f>
        <v>15</v>
      </c>
      <c r="T498" s="41" t="str">
        <f aca="false">IF(S498&lt;setMorningEnd,"Morning",IF(S498&lt;setAfternoonEnd,"Afternoon","Evening"))</f>
        <v>Afternoon</v>
      </c>
      <c r="U498" s="41" t="str">
        <f aca="false">IF(J498&gt;=setLarge,"Large",IF(J498&gt;=setMedium,"Medium","Small"))</f>
        <v>Small</v>
      </c>
      <c r="V498" s="41" t="str">
        <f aca="false">IF(P498&gt;=setExc,"Excellent",IF(P498&gt;=setGood,"Good",IF(P498&gt;=setAvg,"Average","Poor")))</f>
        <v>Good</v>
      </c>
    </row>
    <row r="499" customFormat="false" ht="15" hidden="false" customHeight="false" outlineLevel="0" collapsed="false">
      <c r="A499" s="41" t="s">
        <v>677</v>
      </c>
      <c r="B499" s="41" t="s">
        <v>180</v>
      </c>
      <c r="C499" s="41" t="s">
        <v>87</v>
      </c>
      <c r="D499" s="41" t="s">
        <v>105</v>
      </c>
      <c r="E499" s="41" t="s">
        <v>102</v>
      </c>
      <c r="F499" s="41" t="s">
        <v>76</v>
      </c>
      <c r="G499" s="42" t="n">
        <v>90.24</v>
      </c>
      <c r="H499" s="41" t="n">
        <v>6</v>
      </c>
      <c r="I499" s="42" t="n">
        <v>27.072</v>
      </c>
      <c r="J499" s="42" t="n">
        <v>568.512</v>
      </c>
      <c r="K499" s="43" t="n">
        <v>43492</v>
      </c>
      <c r="L499" s="44" t="n">
        <v>0.470138888888889</v>
      </c>
      <c r="M499" s="41" t="s">
        <v>97</v>
      </c>
      <c r="N499" s="42" t="n">
        <v>541.44</v>
      </c>
      <c r="O499" s="42" t="n">
        <v>27.072</v>
      </c>
      <c r="P499" s="45" t="n">
        <v>6.2</v>
      </c>
      <c r="Q499" s="41" t="str">
        <f aca="false">CHOOSE(MONTH(K499),"Jan","Feb","Mar","Apr","May","Jun","Jul","Aug","Sep","Oct","Nov","Dec")</f>
        <v>Jan</v>
      </c>
      <c r="R499" s="41" t="n">
        <f aca="false">INT((K499-setMinDate)/7)+1</f>
        <v>4</v>
      </c>
      <c r="S499" s="41" t="n">
        <f aca="false">HOUR(L499)</f>
        <v>11</v>
      </c>
      <c r="T499" s="41" t="str">
        <f aca="false">IF(S499&lt;setMorningEnd,"Morning",IF(S499&lt;setAfternoonEnd,"Afternoon","Evening"))</f>
        <v>Morning</v>
      </c>
      <c r="U499" s="41" t="str">
        <f aca="false">IF(J499&gt;=setLarge,"Large",IF(J499&gt;=setMedium,"Medium","Small"))</f>
        <v>Medium</v>
      </c>
      <c r="V499" s="41" t="str">
        <f aca="false">IF(P499&gt;=setExc,"Excellent",IF(P499&gt;=setGood,"Good",IF(P499&gt;=setAvg,"Average","Poor")))</f>
        <v>Average</v>
      </c>
    </row>
    <row r="500" customFormat="false" ht="15" hidden="false" customHeight="false" outlineLevel="0" collapsed="false">
      <c r="A500" s="41" t="s">
        <v>678</v>
      </c>
      <c r="B500" s="41" t="s">
        <v>189</v>
      </c>
      <c r="C500" s="41" t="s">
        <v>86</v>
      </c>
      <c r="D500" s="41" t="s">
        <v>104</v>
      </c>
      <c r="E500" s="41" t="s">
        <v>102</v>
      </c>
      <c r="F500" s="41" t="s">
        <v>77</v>
      </c>
      <c r="G500" s="42" t="n">
        <v>98.13</v>
      </c>
      <c r="H500" s="41" t="n">
        <v>1</v>
      </c>
      <c r="I500" s="42" t="n">
        <v>4.9065</v>
      </c>
      <c r="J500" s="42" t="n">
        <v>103.0365</v>
      </c>
      <c r="K500" s="43" t="n">
        <v>43486</v>
      </c>
      <c r="L500" s="44" t="n">
        <v>0.733333333333333</v>
      </c>
      <c r="M500" s="41" t="s">
        <v>97</v>
      </c>
      <c r="N500" s="42" t="n">
        <v>98.13</v>
      </c>
      <c r="O500" s="42" t="n">
        <v>4.9065</v>
      </c>
      <c r="P500" s="45" t="n">
        <v>8.9</v>
      </c>
      <c r="Q500" s="41" t="str">
        <f aca="false">CHOOSE(MONTH(K500),"Jan","Feb","Mar","Apr","May","Jun","Jul","Aug","Sep","Oct","Nov","Dec")</f>
        <v>Jan</v>
      </c>
      <c r="R500" s="41" t="n">
        <f aca="false">INT((K500-setMinDate)/7)+1</f>
        <v>3</v>
      </c>
      <c r="S500" s="41" t="n">
        <f aca="false">HOUR(L500)</f>
        <v>17</v>
      </c>
      <c r="T500" s="41" t="str">
        <f aca="false">IF(S500&lt;setMorningEnd,"Morning",IF(S500&lt;setAfternoonEnd,"Afternoon","Evening"))</f>
        <v>Evening</v>
      </c>
      <c r="U500" s="41" t="str">
        <f aca="false">IF(J500&gt;=setLarge,"Large",IF(J500&gt;=setMedium,"Medium","Small"))</f>
        <v>Small</v>
      </c>
      <c r="V500" s="41" t="str">
        <f aca="false">IF(P500&gt;=setExc,"Excellent",IF(P500&gt;=setGood,"Good",IF(P500&gt;=setAvg,"Average","Poor")))</f>
        <v>Good</v>
      </c>
    </row>
    <row r="501" customFormat="false" ht="15" hidden="false" customHeight="false" outlineLevel="0" collapsed="false">
      <c r="A501" s="41" t="s">
        <v>679</v>
      </c>
      <c r="B501" s="41" t="s">
        <v>178</v>
      </c>
      <c r="C501" s="41" t="s">
        <v>85</v>
      </c>
      <c r="D501" s="41" t="s">
        <v>104</v>
      </c>
      <c r="E501" s="41" t="s">
        <v>102</v>
      </c>
      <c r="F501" s="41" t="s">
        <v>77</v>
      </c>
      <c r="G501" s="42" t="n">
        <v>51.52</v>
      </c>
      <c r="H501" s="41" t="n">
        <v>8</v>
      </c>
      <c r="I501" s="42" t="n">
        <v>20.608</v>
      </c>
      <c r="J501" s="42" t="n">
        <v>432.768</v>
      </c>
      <c r="K501" s="43" t="n">
        <v>43498</v>
      </c>
      <c r="L501" s="44" t="n">
        <v>0.657638888888889</v>
      </c>
      <c r="M501" s="41" t="s">
        <v>97</v>
      </c>
      <c r="N501" s="42" t="n">
        <v>412.16</v>
      </c>
      <c r="O501" s="42" t="n">
        <v>20.608</v>
      </c>
      <c r="P501" s="45" t="n">
        <v>9.6</v>
      </c>
      <c r="Q501" s="41" t="str">
        <f aca="false">CHOOSE(MONTH(K501),"Jan","Feb","Mar","Apr","May","Jun","Jul","Aug","Sep","Oct","Nov","Dec")</f>
        <v>Feb</v>
      </c>
      <c r="R501" s="41" t="n">
        <f aca="false">INT((K501-setMinDate)/7)+1</f>
        <v>5</v>
      </c>
      <c r="S501" s="41" t="n">
        <f aca="false">HOUR(L501)</f>
        <v>15</v>
      </c>
      <c r="T501" s="41" t="str">
        <f aca="false">IF(S501&lt;setMorningEnd,"Morning",IF(S501&lt;setAfternoonEnd,"Afternoon","Evening"))</f>
        <v>Afternoon</v>
      </c>
      <c r="U501" s="41" t="str">
        <f aca="false">IF(J501&gt;=setLarge,"Large",IF(J501&gt;=setMedium,"Medium","Small"))</f>
        <v>Medium</v>
      </c>
      <c r="V501" s="41" t="str">
        <f aca="false">IF(P501&gt;=setExc,"Excellent",IF(P501&gt;=setGood,"Good",IF(P501&gt;=setAvg,"Average","Poor")))</f>
        <v>Excellent</v>
      </c>
    </row>
    <row r="502" customFormat="false" ht="15" hidden="false" customHeight="false" outlineLevel="0" collapsed="false">
      <c r="A502" s="41" t="s">
        <v>680</v>
      </c>
      <c r="B502" s="41" t="s">
        <v>189</v>
      </c>
      <c r="C502" s="41" t="s">
        <v>86</v>
      </c>
      <c r="D502" s="41" t="s">
        <v>104</v>
      </c>
      <c r="E502" s="41" t="s">
        <v>103</v>
      </c>
      <c r="F502" s="41" t="s">
        <v>77</v>
      </c>
      <c r="G502" s="42" t="n">
        <v>73.97</v>
      </c>
      <c r="H502" s="41" t="n">
        <v>1</v>
      </c>
      <c r="I502" s="42" t="n">
        <v>3.6985</v>
      </c>
      <c r="J502" s="42" t="n">
        <v>77.6685</v>
      </c>
      <c r="K502" s="43" t="n">
        <v>43499</v>
      </c>
      <c r="L502" s="44" t="n">
        <v>0.661805555555556</v>
      </c>
      <c r="M502" s="41" t="s">
        <v>99</v>
      </c>
      <c r="N502" s="42" t="n">
        <v>73.97</v>
      </c>
      <c r="O502" s="42" t="n">
        <v>3.6985</v>
      </c>
      <c r="P502" s="45" t="n">
        <v>5.4</v>
      </c>
      <c r="Q502" s="41" t="str">
        <f aca="false">CHOOSE(MONTH(K502),"Jan","Feb","Mar","Apr","May","Jun","Jul","Aug","Sep","Oct","Nov","Dec")</f>
        <v>Feb</v>
      </c>
      <c r="R502" s="41" t="n">
        <f aca="false">INT((K502-setMinDate)/7)+1</f>
        <v>5</v>
      </c>
      <c r="S502" s="41" t="n">
        <f aca="false">HOUR(L502)</f>
        <v>15</v>
      </c>
      <c r="T502" s="41" t="str">
        <f aca="false">IF(S502&lt;setMorningEnd,"Morning",IF(S502&lt;setAfternoonEnd,"Afternoon","Evening"))</f>
        <v>Afternoon</v>
      </c>
      <c r="U502" s="41" t="str">
        <f aca="false">IF(J502&gt;=setLarge,"Large",IF(J502&gt;=setMedium,"Medium","Small"))</f>
        <v>Small</v>
      </c>
      <c r="V502" s="41" t="str">
        <f aca="false">IF(P502&gt;=setExc,"Excellent",IF(P502&gt;=setGood,"Good",IF(P502&gt;=setAvg,"Average","Poor")))</f>
        <v>Average</v>
      </c>
    </row>
    <row r="503" customFormat="false" ht="15" hidden="false" customHeight="false" outlineLevel="0" collapsed="false">
      <c r="A503" s="41" t="s">
        <v>681</v>
      </c>
      <c r="B503" s="41" t="s">
        <v>180</v>
      </c>
      <c r="C503" s="41" t="s">
        <v>87</v>
      </c>
      <c r="D503" s="41" t="s">
        <v>104</v>
      </c>
      <c r="E503" s="41" t="s">
        <v>102</v>
      </c>
      <c r="F503" s="41" t="s">
        <v>79</v>
      </c>
      <c r="G503" s="42" t="n">
        <v>31.9</v>
      </c>
      <c r="H503" s="41" t="n">
        <v>1</v>
      </c>
      <c r="I503" s="42" t="n">
        <v>1.595</v>
      </c>
      <c r="J503" s="42" t="n">
        <v>33.495</v>
      </c>
      <c r="K503" s="43" t="n">
        <v>43470</v>
      </c>
      <c r="L503" s="44" t="n">
        <v>0.527777777777778</v>
      </c>
      <c r="M503" s="41" t="s">
        <v>98</v>
      </c>
      <c r="N503" s="42" t="n">
        <v>31.9</v>
      </c>
      <c r="O503" s="42" t="n">
        <v>1.595</v>
      </c>
      <c r="P503" s="45" t="n">
        <v>9.1</v>
      </c>
      <c r="Q503" s="41" t="str">
        <f aca="false">CHOOSE(MONTH(K503),"Jan","Feb","Mar","Apr","May","Jun","Jul","Aug","Sep","Oct","Nov","Dec")</f>
        <v>Jan</v>
      </c>
      <c r="R503" s="41" t="n">
        <f aca="false">INT((K503-setMinDate)/7)+1</f>
        <v>1</v>
      </c>
      <c r="S503" s="41" t="n">
        <f aca="false">HOUR(L503)</f>
        <v>12</v>
      </c>
      <c r="T503" s="41" t="str">
        <f aca="false">IF(S503&lt;setMorningEnd,"Morning",IF(S503&lt;setAfternoonEnd,"Afternoon","Evening"))</f>
        <v>Afternoon</v>
      </c>
      <c r="U503" s="41" t="str">
        <f aca="false">IF(J503&gt;=setLarge,"Large",IF(J503&gt;=setMedium,"Medium","Small"))</f>
        <v>Small</v>
      </c>
      <c r="V503" s="41" t="str">
        <f aca="false">IF(P503&gt;=setExc,"Excellent",IF(P503&gt;=setGood,"Good",IF(P503&gt;=setAvg,"Average","Poor")))</f>
        <v>Excellent</v>
      </c>
    </row>
    <row r="504" customFormat="false" ht="15" hidden="false" customHeight="false" outlineLevel="0" collapsed="false">
      <c r="A504" s="41" t="s">
        <v>682</v>
      </c>
      <c r="B504" s="41" t="s">
        <v>180</v>
      </c>
      <c r="C504" s="41" t="s">
        <v>87</v>
      </c>
      <c r="D504" s="41" t="s">
        <v>105</v>
      </c>
      <c r="E504" s="41" t="s">
        <v>103</v>
      </c>
      <c r="F504" s="41" t="s">
        <v>80</v>
      </c>
      <c r="G504" s="42" t="n">
        <v>69.4</v>
      </c>
      <c r="H504" s="41" t="n">
        <v>2</v>
      </c>
      <c r="I504" s="42" t="n">
        <v>6.94</v>
      </c>
      <c r="J504" s="42" t="n">
        <v>145.74</v>
      </c>
      <c r="K504" s="43" t="n">
        <v>43492</v>
      </c>
      <c r="L504" s="44" t="n">
        <v>0.825</v>
      </c>
      <c r="M504" s="41" t="s">
        <v>98</v>
      </c>
      <c r="N504" s="42" t="n">
        <v>138.8</v>
      </c>
      <c r="O504" s="42" t="n">
        <v>6.94</v>
      </c>
      <c r="P504" s="45" t="n">
        <v>9</v>
      </c>
      <c r="Q504" s="41" t="str">
        <f aca="false">CHOOSE(MONTH(K504),"Jan","Feb","Mar","Apr","May","Jun","Jul","Aug","Sep","Oct","Nov","Dec")</f>
        <v>Jan</v>
      </c>
      <c r="R504" s="41" t="n">
        <f aca="false">INT((K504-setMinDate)/7)+1</f>
        <v>4</v>
      </c>
      <c r="S504" s="41" t="n">
        <f aca="false">HOUR(L504)</f>
        <v>19</v>
      </c>
      <c r="T504" s="41" t="str">
        <f aca="false">IF(S504&lt;setMorningEnd,"Morning",IF(S504&lt;setAfternoonEnd,"Afternoon","Evening"))</f>
        <v>Evening</v>
      </c>
      <c r="U504" s="41" t="str">
        <f aca="false">IF(J504&gt;=setLarge,"Large",IF(J504&gt;=setMedium,"Medium","Small"))</f>
        <v>Small</v>
      </c>
      <c r="V504" s="41" t="str">
        <f aca="false">IF(P504&gt;=setExc,"Excellent",IF(P504&gt;=setGood,"Good",IF(P504&gt;=setAvg,"Average","Poor")))</f>
        <v>Excellent</v>
      </c>
    </row>
    <row r="505" customFormat="false" ht="15" hidden="false" customHeight="false" outlineLevel="0" collapsed="false">
      <c r="A505" s="41" t="s">
        <v>683</v>
      </c>
      <c r="B505" s="41" t="s">
        <v>189</v>
      </c>
      <c r="C505" s="41" t="s">
        <v>86</v>
      </c>
      <c r="D505" s="41" t="s">
        <v>105</v>
      </c>
      <c r="E505" s="41" t="s">
        <v>102</v>
      </c>
      <c r="F505" s="41" t="s">
        <v>77</v>
      </c>
      <c r="G505" s="42" t="n">
        <v>93.31</v>
      </c>
      <c r="H505" s="41" t="n">
        <v>2</v>
      </c>
      <c r="I505" s="42" t="n">
        <v>9.331</v>
      </c>
      <c r="J505" s="42" t="n">
        <v>195.951</v>
      </c>
      <c r="K505" s="43" t="n">
        <v>43549</v>
      </c>
      <c r="L505" s="44" t="n">
        <v>0.745138888888889</v>
      </c>
      <c r="M505" s="41" t="s">
        <v>97</v>
      </c>
      <c r="N505" s="42" t="n">
        <v>186.62</v>
      </c>
      <c r="O505" s="42" t="n">
        <v>9.331</v>
      </c>
      <c r="P505" s="45" t="n">
        <v>6.3</v>
      </c>
      <c r="Q505" s="41" t="str">
        <f aca="false">CHOOSE(MONTH(K505),"Jan","Feb","Mar","Apr","May","Jun","Jul","Aug","Sep","Oct","Nov","Dec")</f>
        <v>Mar</v>
      </c>
      <c r="R505" s="41" t="n">
        <f aca="false">INT((K505-setMinDate)/7)+1</f>
        <v>12</v>
      </c>
      <c r="S505" s="41" t="n">
        <f aca="false">HOUR(L505)</f>
        <v>17</v>
      </c>
      <c r="T505" s="41" t="str">
        <f aca="false">IF(S505&lt;setMorningEnd,"Morning",IF(S505&lt;setAfternoonEnd,"Afternoon","Evening"))</f>
        <v>Evening</v>
      </c>
      <c r="U505" s="41" t="str">
        <f aca="false">IF(J505&gt;=setLarge,"Large",IF(J505&gt;=setMedium,"Medium","Small"))</f>
        <v>Small</v>
      </c>
      <c r="V505" s="41" t="str">
        <f aca="false">IF(P505&gt;=setExc,"Excellent",IF(P505&gt;=setGood,"Good",IF(P505&gt;=setAvg,"Average","Poor")))</f>
        <v>Average</v>
      </c>
    </row>
    <row r="506" customFormat="false" ht="15" hidden="false" customHeight="false" outlineLevel="0" collapsed="false">
      <c r="A506" s="41" t="s">
        <v>684</v>
      </c>
      <c r="B506" s="41" t="s">
        <v>189</v>
      </c>
      <c r="C506" s="41" t="s">
        <v>86</v>
      </c>
      <c r="D506" s="41" t="s">
        <v>105</v>
      </c>
      <c r="E506" s="41" t="s">
        <v>103</v>
      </c>
      <c r="F506" s="41" t="s">
        <v>77</v>
      </c>
      <c r="G506" s="42" t="n">
        <v>88.45</v>
      </c>
      <c r="H506" s="41" t="n">
        <v>1</v>
      </c>
      <c r="I506" s="42" t="n">
        <v>4.4225</v>
      </c>
      <c r="J506" s="42" t="n">
        <v>92.8725</v>
      </c>
      <c r="K506" s="43" t="n">
        <v>43521</v>
      </c>
      <c r="L506" s="44" t="n">
        <v>0.691666666666667</v>
      </c>
      <c r="M506" s="41" t="s">
        <v>99</v>
      </c>
      <c r="N506" s="42" t="n">
        <v>88.45</v>
      </c>
      <c r="O506" s="42" t="n">
        <v>4.4225</v>
      </c>
      <c r="P506" s="45" t="n">
        <v>9.5</v>
      </c>
      <c r="Q506" s="41" t="str">
        <f aca="false">CHOOSE(MONTH(K506),"Jan","Feb","Mar","Apr","May","Jun","Jul","Aug","Sep","Oct","Nov","Dec")</f>
        <v>Feb</v>
      </c>
      <c r="R506" s="41" t="n">
        <f aca="false">INT((K506-setMinDate)/7)+1</f>
        <v>8</v>
      </c>
      <c r="S506" s="41" t="n">
        <f aca="false">HOUR(L506)</f>
        <v>16</v>
      </c>
      <c r="T506" s="41" t="str">
        <f aca="false">IF(S506&lt;setMorningEnd,"Morning",IF(S506&lt;setAfternoonEnd,"Afternoon","Evening"))</f>
        <v>Afternoon</v>
      </c>
      <c r="U506" s="41" t="str">
        <f aca="false">IF(J506&gt;=setLarge,"Large",IF(J506&gt;=setMedium,"Medium","Small"))</f>
        <v>Small</v>
      </c>
      <c r="V506" s="41" t="str">
        <f aca="false">IF(P506&gt;=setExc,"Excellent",IF(P506&gt;=setGood,"Good",IF(P506&gt;=setAvg,"Average","Poor")))</f>
        <v>Excellent</v>
      </c>
    </row>
    <row r="507" customFormat="false" ht="15" hidden="false" customHeight="false" outlineLevel="0" collapsed="false">
      <c r="A507" s="41" t="s">
        <v>685</v>
      </c>
      <c r="B507" s="41" t="s">
        <v>178</v>
      </c>
      <c r="C507" s="41" t="s">
        <v>85</v>
      </c>
      <c r="D507" s="41" t="s">
        <v>104</v>
      </c>
      <c r="E507" s="41" t="s">
        <v>103</v>
      </c>
      <c r="F507" s="41" t="s">
        <v>78</v>
      </c>
      <c r="G507" s="42" t="n">
        <v>24.18</v>
      </c>
      <c r="H507" s="41" t="n">
        <v>8</v>
      </c>
      <c r="I507" s="42" t="n">
        <v>9.672</v>
      </c>
      <c r="J507" s="42" t="n">
        <v>203.112</v>
      </c>
      <c r="K507" s="43" t="n">
        <v>43493</v>
      </c>
      <c r="L507" s="44" t="n">
        <v>0.870833333333333</v>
      </c>
      <c r="M507" s="41" t="s">
        <v>98</v>
      </c>
      <c r="N507" s="42" t="n">
        <v>193.44</v>
      </c>
      <c r="O507" s="42" t="n">
        <v>9.672</v>
      </c>
      <c r="P507" s="45" t="n">
        <v>9.8</v>
      </c>
      <c r="Q507" s="41" t="str">
        <f aca="false">CHOOSE(MONTH(K507),"Jan","Feb","Mar","Apr","May","Jun","Jul","Aug","Sep","Oct","Nov","Dec")</f>
        <v>Jan</v>
      </c>
      <c r="R507" s="41" t="n">
        <f aca="false">INT((K507-setMinDate)/7)+1</f>
        <v>4</v>
      </c>
      <c r="S507" s="41" t="n">
        <f aca="false">HOUR(L507)</f>
        <v>20</v>
      </c>
      <c r="T507" s="41" t="str">
        <f aca="false">IF(S507&lt;setMorningEnd,"Morning",IF(S507&lt;setAfternoonEnd,"Afternoon","Evening"))</f>
        <v>Evening</v>
      </c>
      <c r="U507" s="41" t="str">
        <f aca="false">IF(J507&gt;=setLarge,"Large",IF(J507&gt;=setMedium,"Medium","Small"))</f>
        <v>Small</v>
      </c>
      <c r="V507" s="41" t="str">
        <f aca="false">IF(P507&gt;=setExc,"Excellent",IF(P507&gt;=setGood,"Good",IF(P507&gt;=setAvg,"Average","Poor")))</f>
        <v>Excellent</v>
      </c>
    </row>
    <row r="508" customFormat="false" ht="15" hidden="false" customHeight="false" outlineLevel="0" collapsed="false">
      <c r="A508" s="41" t="s">
        <v>686</v>
      </c>
      <c r="B508" s="41" t="s">
        <v>189</v>
      </c>
      <c r="C508" s="41" t="s">
        <v>86</v>
      </c>
      <c r="D508" s="41" t="s">
        <v>104</v>
      </c>
      <c r="E508" s="41" t="s">
        <v>102</v>
      </c>
      <c r="F508" s="41" t="s">
        <v>77</v>
      </c>
      <c r="G508" s="42" t="n">
        <v>48.5</v>
      </c>
      <c r="H508" s="41" t="n">
        <v>3</v>
      </c>
      <c r="I508" s="42" t="n">
        <v>7.275</v>
      </c>
      <c r="J508" s="42" t="n">
        <v>152.775</v>
      </c>
      <c r="K508" s="43" t="n">
        <v>43473</v>
      </c>
      <c r="L508" s="44" t="n">
        <v>0.534722222222222</v>
      </c>
      <c r="M508" s="41" t="s">
        <v>97</v>
      </c>
      <c r="N508" s="42" t="n">
        <v>145.5</v>
      </c>
      <c r="O508" s="42" t="n">
        <v>7.275</v>
      </c>
      <c r="P508" s="45" t="n">
        <v>6.7</v>
      </c>
      <c r="Q508" s="41" t="str">
        <f aca="false">CHOOSE(MONTH(K508),"Jan","Feb","Mar","Apr","May","Jun","Jul","Aug","Sep","Oct","Nov","Dec")</f>
        <v>Jan</v>
      </c>
      <c r="R508" s="41" t="n">
        <f aca="false">INT((K508-setMinDate)/7)+1</f>
        <v>2</v>
      </c>
      <c r="S508" s="41" t="n">
        <f aca="false">HOUR(L508)</f>
        <v>12</v>
      </c>
      <c r="T508" s="41" t="str">
        <f aca="false">IF(S508&lt;setMorningEnd,"Morning",IF(S508&lt;setAfternoonEnd,"Afternoon","Evening"))</f>
        <v>Afternoon</v>
      </c>
      <c r="U508" s="41" t="str">
        <f aca="false">IF(J508&gt;=setLarge,"Large",IF(J508&gt;=setMedium,"Medium","Small"))</f>
        <v>Small</v>
      </c>
      <c r="V508" s="41" t="str">
        <f aca="false">IF(P508&gt;=setExc,"Excellent",IF(P508&gt;=setGood,"Good",IF(P508&gt;=setAvg,"Average","Poor")))</f>
        <v>Average</v>
      </c>
    </row>
    <row r="509" customFormat="false" ht="15" hidden="false" customHeight="false" outlineLevel="0" collapsed="false">
      <c r="A509" s="41" t="s">
        <v>687</v>
      </c>
      <c r="B509" s="41" t="s">
        <v>189</v>
      </c>
      <c r="C509" s="41" t="s">
        <v>86</v>
      </c>
      <c r="D509" s="41" t="s">
        <v>105</v>
      </c>
      <c r="E509" s="41" t="s">
        <v>102</v>
      </c>
      <c r="F509" s="41" t="s">
        <v>76</v>
      </c>
      <c r="G509" s="42" t="n">
        <v>84.05</v>
      </c>
      <c r="H509" s="41" t="n">
        <v>6</v>
      </c>
      <c r="I509" s="42" t="n">
        <v>25.215</v>
      </c>
      <c r="J509" s="42" t="n">
        <v>529.515</v>
      </c>
      <c r="K509" s="43" t="n">
        <v>43494</v>
      </c>
      <c r="L509" s="44" t="n">
        <v>0.45</v>
      </c>
      <c r="M509" s="41" t="s">
        <v>99</v>
      </c>
      <c r="N509" s="42" t="n">
        <v>504.3</v>
      </c>
      <c r="O509" s="42" t="n">
        <v>25.215</v>
      </c>
      <c r="P509" s="45" t="n">
        <v>7.7</v>
      </c>
      <c r="Q509" s="41" t="str">
        <f aca="false">CHOOSE(MONTH(K509),"Jan","Feb","Mar","Apr","May","Jun","Jul","Aug","Sep","Oct","Nov","Dec")</f>
        <v>Jan</v>
      </c>
      <c r="R509" s="41" t="n">
        <f aca="false">INT((K509-setMinDate)/7)+1</f>
        <v>5</v>
      </c>
      <c r="S509" s="41" t="n">
        <f aca="false">HOUR(L509)</f>
        <v>10</v>
      </c>
      <c r="T509" s="41" t="str">
        <f aca="false">IF(S509&lt;setMorningEnd,"Morning",IF(S509&lt;setAfternoonEnd,"Afternoon","Evening"))</f>
        <v>Morning</v>
      </c>
      <c r="U509" s="41" t="str">
        <f aca="false">IF(J509&gt;=setLarge,"Large",IF(J509&gt;=setMedium,"Medium","Small"))</f>
        <v>Medium</v>
      </c>
      <c r="V509" s="41" t="str">
        <f aca="false">IF(P509&gt;=setExc,"Excellent",IF(P509&gt;=setGood,"Good",IF(P509&gt;=setAvg,"Average","Poor")))</f>
        <v>Good</v>
      </c>
    </row>
    <row r="510" customFormat="false" ht="15" hidden="false" customHeight="false" outlineLevel="0" collapsed="false">
      <c r="A510" s="41" t="s">
        <v>688</v>
      </c>
      <c r="B510" s="41" t="s">
        <v>189</v>
      </c>
      <c r="C510" s="41" t="s">
        <v>86</v>
      </c>
      <c r="D510" s="41" t="s">
        <v>104</v>
      </c>
      <c r="E510" s="41" t="s">
        <v>103</v>
      </c>
      <c r="F510" s="41" t="s">
        <v>81</v>
      </c>
      <c r="G510" s="42" t="n">
        <v>61.29</v>
      </c>
      <c r="H510" s="41" t="n">
        <v>5</v>
      </c>
      <c r="I510" s="42" t="n">
        <v>15.3225</v>
      </c>
      <c r="J510" s="42" t="n">
        <v>321.7725</v>
      </c>
      <c r="K510" s="43" t="n">
        <v>43553</v>
      </c>
      <c r="L510" s="44" t="n">
        <v>0.602777777777778</v>
      </c>
      <c r="M510" s="41" t="s">
        <v>97</v>
      </c>
      <c r="N510" s="42" t="n">
        <v>306.45</v>
      </c>
      <c r="O510" s="42" t="n">
        <v>15.3225</v>
      </c>
      <c r="P510" s="45" t="n">
        <v>7</v>
      </c>
      <c r="Q510" s="41" t="str">
        <f aca="false">CHOOSE(MONTH(K510),"Jan","Feb","Mar","Apr","May","Jun","Jul","Aug","Sep","Oct","Nov","Dec")</f>
        <v>Mar</v>
      </c>
      <c r="R510" s="41" t="n">
        <f aca="false">INT((K510-setMinDate)/7)+1</f>
        <v>13</v>
      </c>
      <c r="S510" s="41" t="n">
        <f aca="false">HOUR(L510)</f>
        <v>14</v>
      </c>
      <c r="T510" s="41" t="str">
        <f aca="false">IF(S510&lt;setMorningEnd,"Morning",IF(S510&lt;setAfternoonEnd,"Afternoon","Evening"))</f>
        <v>Afternoon</v>
      </c>
      <c r="U510" s="41" t="str">
        <f aca="false">IF(J510&gt;=setLarge,"Large",IF(J510&gt;=setMedium,"Medium","Small"))</f>
        <v>Medium</v>
      </c>
      <c r="V510" s="41" t="str">
        <f aca="false">IF(P510&gt;=setExc,"Excellent",IF(P510&gt;=setGood,"Good",IF(P510&gt;=setAvg,"Average","Poor")))</f>
        <v>Good</v>
      </c>
    </row>
    <row r="511" customFormat="false" ht="15" hidden="false" customHeight="false" outlineLevel="0" collapsed="false">
      <c r="A511" s="41" t="s">
        <v>689</v>
      </c>
      <c r="B511" s="41" t="s">
        <v>180</v>
      </c>
      <c r="C511" s="41" t="s">
        <v>87</v>
      </c>
      <c r="D511" s="41" t="s">
        <v>104</v>
      </c>
      <c r="E511" s="41" t="s">
        <v>102</v>
      </c>
      <c r="F511" s="41" t="s">
        <v>80</v>
      </c>
      <c r="G511" s="42" t="n">
        <v>15.95</v>
      </c>
      <c r="H511" s="41" t="n">
        <v>6</v>
      </c>
      <c r="I511" s="42" t="n">
        <v>4.785</v>
      </c>
      <c r="J511" s="42" t="n">
        <v>100.485</v>
      </c>
      <c r="K511" s="43" t="n">
        <v>43505</v>
      </c>
      <c r="L511" s="44" t="n">
        <v>0.71875</v>
      </c>
      <c r="M511" s="41" t="s">
        <v>99</v>
      </c>
      <c r="N511" s="42" t="n">
        <v>95.7</v>
      </c>
      <c r="O511" s="42" t="n">
        <v>4.785</v>
      </c>
      <c r="P511" s="45" t="n">
        <v>5.1</v>
      </c>
      <c r="Q511" s="41" t="str">
        <f aca="false">CHOOSE(MONTH(K511),"Jan","Feb","Mar","Apr","May","Jun","Jul","Aug","Sep","Oct","Nov","Dec")</f>
        <v>Feb</v>
      </c>
      <c r="R511" s="41" t="n">
        <f aca="false">INT((K511-setMinDate)/7)+1</f>
        <v>6</v>
      </c>
      <c r="S511" s="41" t="n">
        <f aca="false">HOUR(L511)</f>
        <v>17</v>
      </c>
      <c r="T511" s="41" t="str">
        <f aca="false">IF(S511&lt;setMorningEnd,"Morning",IF(S511&lt;setAfternoonEnd,"Afternoon","Evening"))</f>
        <v>Evening</v>
      </c>
      <c r="U511" s="41" t="str">
        <f aca="false">IF(J511&gt;=setLarge,"Large",IF(J511&gt;=setMedium,"Medium","Small"))</f>
        <v>Small</v>
      </c>
      <c r="V511" s="41" t="str">
        <f aca="false">IF(P511&gt;=setExc,"Excellent",IF(P511&gt;=setGood,"Good",IF(P511&gt;=setAvg,"Average","Poor")))</f>
        <v>Average</v>
      </c>
    </row>
    <row r="512" customFormat="false" ht="15" hidden="false" customHeight="false" outlineLevel="0" collapsed="false">
      <c r="A512" s="41" t="s">
        <v>690</v>
      </c>
      <c r="B512" s="41" t="s">
        <v>189</v>
      </c>
      <c r="C512" s="41" t="s">
        <v>86</v>
      </c>
      <c r="D512" s="41" t="s">
        <v>104</v>
      </c>
      <c r="E512" s="41" t="s">
        <v>102</v>
      </c>
      <c r="F512" s="41" t="s">
        <v>77</v>
      </c>
      <c r="G512" s="42" t="n">
        <v>90.74</v>
      </c>
      <c r="H512" s="41" t="n">
        <v>7</v>
      </c>
      <c r="I512" s="42" t="n">
        <v>31.759</v>
      </c>
      <c r="J512" s="42" t="n">
        <v>666.939</v>
      </c>
      <c r="K512" s="43" t="n">
        <v>43481</v>
      </c>
      <c r="L512" s="44" t="n">
        <v>0.752083333333333</v>
      </c>
      <c r="M512" s="41" t="s">
        <v>99</v>
      </c>
      <c r="N512" s="42" t="n">
        <v>635.18</v>
      </c>
      <c r="O512" s="42" t="n">
        <v>31.759</v>
      </c>
      <c r="P512" s="45" t="n">
        <v>6.2</v>
      </c>
      <c r="Q512" s="41" t="str">
        <f aca="false">CHOOSE(MONTH(K512),"Jan","Feb","Mar","Apr","May","Jun","Jul","Aug","Sep","Oct","Nov","Dec")</f>
        <v>Jan</v>
      </c>
      <c r="R512" s="41" t="n">
        <f aca="false">INT((K512-setMinDate)/7)+1</f>
        <v>3</v>
      </c>
      <c r="S512" s="41" t="n">
        <f aca="false">HOUR(L512)</f>
        <v>18</v>
      </c>
      <c r="T512" s="41" t="str">
        <f aca="false">IF(S512&lt;setMorningEnd,"Morning",IF(S512&lt;setAfternoonEnd,"Afternoon","Evening"))</f>
        <v>Evening</v>
      </c>
      <c r="U512" s="41" t="str">
        <f aca="false">IF(J512&gt;=setLarge,"Large",IF(J512&gt;=setMedium,"Medium","Small"))</f>
        <v>Large</v>
      </c>
      <c r="V512" s="41" t="str">
        <f aca="false">IF(P512&gt;=setExc,"Excellent",IF(P512&gt;=setGood,"Good",IF(P512&gt;=setAvg,"Average","Poor")))</f>
        <v>Average</v>
      </c>
    </row>
    <row r="513" customFormat="false" ht="15" hidden="false" customHeight="false" outlineLevel="0" collapsed="false">
      <c r="A513" s="41" t="s">
        <v>691</v>
      </c>
      <c r="B513" s="41" t="s">
        <v>178</v>
      </c>
      <c r="C513" s="41" t="s">
        <v>85</v>
      </c>
      <c r="D513" s="41" t="s">
        <v>105</v>
      </c>
      <c r="E513" s="41" t="s">
        <v>102</v>
      </c>
      <c r="F513" s="41" t="s">
        <v>80</v>
      </c>
      <c r="G513" s="42" t="n">
        <v>42.91</v>
      </c>
      <c r="H513" s="41" t="n">
        <v>5</v>
      </c>
      <c r="I513" s="42" t="n">
        <v>10.7275</v>
      </c>
      <c r="J513" s="42" t="n">
        <v>225.2775</v>
      </c>
      <c r="K513" s="43" t="n">
        <v>43470</v>
      </c>
      <c r="L513" s="44" t="n">
        <v>0.728472222222222</v>
      </c>
      <c r="M513" s="41" t="s">
        <v>98</v>
      </c>
      <c r="N513" s="42" t="n">
        <v>214.55</v>
      </c>
      <c r="O513" s="42" t="n">
        <v>10.7275</v>
      </c>
      <c r="P513" s="45" t="n">
        <v>6.1</v>
      </c>
      <c r="Q513" s="41" t="str">
        <f aca="false">CHOOSE(MONTH(K513),"Jan","Feb","Mar","Apr","May","Jun","Jul","Aug","Sep","Oct","Nov","Dec")</f>
        <v>Jan</v>
      </c>
      <c r="R513" s="41" t="n">
        <f aca="false">INT((K513-setMinDate)/7)+1</f>
        <v>1</v>
      </c>
      <c r="S513" s="41" t="n">
        <f aca="false">HOUR(L513)</f>
        <v>17</v>
      </c>
      <c r="T513" s="41" t="str">
        <f aca="false">IF(S513&lt;setMorningEnd,"Morning",IF(S513&lt;setAfternoonEnd,"Afternoon","Evening"))</f>
        <v>Evening</v>
      </c>
      <c r="U513" s="41" t="str">
        <f aca="false">IF(J513&gt;=setLarge,"Large",IF(J513&gt;=setMedium,"Medium","Small"))</f>
        <v>Small</v>
      </c>
      <c r="V513" s="41" t="str">
        <f aca="false">IF(P513&gt;=setExc,"Excellent",IF(P513&gt;=setGood,"Good",IF(P513&gt;=setAvg,"Average","Poor")))</f>
        <v>Average</v>
      </c>
    </row>
    <row r="514" customFormat="false" ht="15" hidden="false" customHeight="false" outlineLevel="0" collapsed="false">
      <c r="A514" s="41" t="s">
        <v>692</v>
      </c>
      <c r="B514" s="41" t="s">
        <v>178</v>
      </c>
      <c r="C514" s="41" t="s">
        <v>85</v>
      </c>
      <c r="D514" s="41" t="s">
        <v>105</v>
      </c>
      <c r="E514" s="41" t="s">
        <v>102</v>
      </c>
      <c r="F514" s="41" t="s">
        <v>79</v>
      </c>
      <c r="G514" s="42" t="n">
        <v>54.28</v>
      </c>
      <c r="H514" s="41" t="n">
        <v>7</v>
      </c>
      <c r="I514" s="42" t="n">
        <v>18.998</v>
      </c>
      <c r="J514" s="42" t="n">
        <v>398.958</v>
      </c>
      <c r="K514" s="43" t="n">
        <v>43492</v>
      </c>
      <c r="L514" s="44" t="n">
        <v>0.753472222222222</v>
      </c>
      <c r="M514" s="41" t="s">
        <v>98</v>
      </c>
      <c r="N514" s="42" t="n">
        <v>379.96</v>
      </c>
      <c r="O514" s="42" t="n">
        <v>18.998</v>
      </c>
      <c r="P514" s="45" t="n">
        <v>9.3</v>
      </c>
      <c r="Q514" s="41" t="str">
        <f aca="false">CHOOSE(MONTH(K514),"Jan","Feb","Mar","Apr","May","Jun","Jul","Aug","Sep","Oct","Nov","Dec")</f>
        <v>Jan</v>
      </c>
      <c r="R514" s="41" t="n">
        <f aca="false">INT((K514-setMinDate)/7)+1</f>
        <v>4</v>
      </c>
      <c r="S514" s="41" t="n">
        <f aca="false">HOUR(L514)</f>
        <v>18</v>
      </c>
      <c r="T514" s="41" t="str">
        <f aca="false">IF(S514&lt;setMorningEnd,"Morning",IF(S514&lt;setAfternoonEnd,"Afternoon","Evening"))</f>
        <v>Evening</v>
      </c>
      <c r="U514" s="41" t="str">
        <f aca="false">IF(J514&gt;=setLarge,"Large",IF(J514&gt;=setMedium,"Medium","Small"))</f>
        <v>Medium</v>
      </c>
      <c r="V514" s="41" t="str">
        <f aca="false">IF(P514&gt;=setExc,"Excellent",IF(P514&gt;=setGood,"Good",IF(P514&gt;=setAvg,"Average","Poor")))</f>
        <v>Excellent</v>
      </c>
    </row>
    <row r="515" customFormat="false" ht="15" hidden="false" customHeight="false" outlineLevel="0" collapsed="false">
      <c r="A515" s="41" t="s">
        <v>693</v>
      </c>
      <c r="B515" s="41" t="s">
        <v>178</v>
      </c>
      <c r="C515" s="41" t="s">
        <v>85</v>
      </c>
      <c r="D515" s="41" t="s">
        <v>105</v>
      </c>
      <c r="E515" s="41" t="s">
        <v>103</v>
      </c>
      <c r="F515" s="41" t="s">
        <v>78</v>
      </c>
      <c r="G515" s="42" t="n">
        <v>99.55</v>
      </c>
      <c r="H515" s="41" t="n">
        <v>7</v>
      </c>
      <c r="I515" s="42" t="n">
        <v>34.8425</v>
      </c>
      <c r="J515" s="42" t="n">
        <v>731.6925</v>
      </c>
      <c r="K515" s="43" t="n">
        <v>43538</v>
      </c>
      <c r="L515" s="44" t="n">
        <v>0.504861111111111</v>
      </c>
      <c r="M515" s="41" t="s">
        <v>97</v>
      </c>
      <c r="N515" s="42" t="n">
        <v>696.85</v>
      </c>
      <c r="O515" s="42" t="n">
        <v>34.8425</v>
      </c>
      <c r="P515" s="45" t="n">
        <v>7.6</v>
      </c>
      <c r="Q515" s="41" t="str">
        <f aca="false">CHOOSE(MONTH(K515),"Jan","Feb","Mar","Apr","May","Jun","Jul","Aug","Sep","Oct","Nov","Dec")</f>
        <v>Mar</v>
      </c>
      <c r="R515" s="41" t="n">
        <f aca="false">INT((K515-setMinDate)/7)+1</f>
        <v>11</v>
      </c>
      <c r="S515" s="41" t="n">
        <f aca="false">HOUR(L515)</f>
        <v>12</v>
      </c>
      <c r="T515" s="41" t="str">
        <f aca="false">IF(S515&lt;setMorningEnd,"Morning",IF(S515&lt;setAfternoonEnd,"Afternoon","Evening"))</f>
        <v>Afternoon</v>
      </c>
      <c r="U515" s="41" t="str">
        <f aca="false">IF(J515&gt;=setLarge,"Large",IF(J515&gt;=setMedium,"Medium","Small"))</f>
        <v>Large</v>
      </c>
      <c r="V515" s="41" t="str">
        <f aca="false">IF(P515&gt;=setExc,"Excellent",IF(P515&gt;=setGood,"Good",IF(P515&gt;=setAvg,"Average","Poor")))</f>
        <v>Good</v>
      </c>
    </row>
    <row r="516" customFormat="false" ht="15" hidden="false" customHeight="false" outlineLevel="0" collapsed="false">
      <c r="A516" s="41" t="s">
        <v>694</v>
      </c>
      <c r="B516" s="41" t="s">
        <v>180</v>
      </c>
      <c r="C516" s="41" t="s">
        <v>87</v>
      </c>
      <c r="D516" s="41" t="s">
        <v>104</v>
      </c>
      <c r="E516" s="41" t="s">
        <v>103</v>
      </c>
      <c r="F516" s="41" t="s">
        <v>77</v>
      </c>
      <c r="G516" s="42" t="n">
        <v>58.39</v>
      </c>
      <c r="H516" s="41" t="n">
        <v>7</v>
      </c>
      <c r="I516" s="42" t="n">
        <v>20.4365</v>
      </c>
      <c r="J516" s="42" t="n">
        <v>429.1665</v>
      </c>
      <c r="K516" s="43" t="n">
        <v>43519</v>
      </c>
      <c r="L516" s="44" t="n">
        <v>0.825694444444444</v>
      </c>
      <c r="M516" s="41" t="s">
        <v>99</v>
      </c>
      <c r="N516" s="42" t="n">
        <v>408.73</v>
      </c>
      <c r="O516" s="42" t="n">
        <v>20.4365</v>
      </c>
      <c r="P516" s="45" t="n">
        <v>8.2</v>
      </c>
      <c r="Q516" s="41" t="str">
        <f aca="false">CHOOSE(MONTH(K516),"Jan","Feb","Mar","Apr","May","Jun","Jul","Aug","Sep","Oct","Nov","Dec")</f>
        <v>Feb</v>
      </c>
      <c r="R516" s="41" t="n">
        <f aca="false">INT((K516-setMinDate)/7)+1</f>
        <v>8</v>
      </c>
      <c r="S516" s="41" t="n">
        <f aca="false">HOUR(L516)</f>
        <v>19</v>
      </c>
      <c r="T516" s="41" t="str">
        <f aca="false">IF(S516&lt;setMorningEnd,"Morning",IF(S516&lt;setAfternoonEnd,"Afternoon","Evening"))</f>
        <v>Evening</v>
      </c>
      <c r="U516" s="41" t="str">
        <f aca="false">IF(J516&gt;=setLarge,"Large",IF(J516&gt;=setMedium,"Medium","Small"))</f>
        <v>Medium</v>
      </c>
      <c r="V516" s="41" t="str">
        <f aca="false">IF(P516&gt;=setExc,"Excellent",IF(P516&gt;=setGood,"Good",IF(P516&gt;=setAvg,"Average","Poor")))</f>
        <v>Good</v>
      </c>
    </row>
    <row r="517" customFormat="false" ht="15" hidden="false" customHeight="false" outlineLevel="0" collapsed="false">
      <c r="A517" s="41" t="s">
        <v>695</v>
      </c>
      <c r="B517" s="41" t="s">
        <v>180</v>
      </c>
      <c r="C517" s="41" t="s">
        <v>87</v>
      </c>
      <c r="D517" s="41" t="s">
        <v>104</v>
      </c>
      <c r="E517" s="41" t="s">
        <v>102</v>
      </c>
      <c r="F517" s="41" t="s">
        <v>79</v>
      </c>
      <c r="G517" s="42" t="n">
        <v>51.47</v>
      </c>
      <c r="H517" s="41" t="n">
        <v>1</v>
      </c>
      <c r="I517" s="42" t="n">
        <v>2.5735</v>
      </c>
      <c r="J517" s="42" t="n">
        <v>54.0435</v>
      </c>
      <c r="K517" s="43" t="n">
        <v>43542</v>
      </c>
      <c r="L517" s="44" t="n">
        <v>0.661111111111111</v>
      </c>
      <c r="M517" s="41" t="s">
        <v>98</v>
      </c>
      <c r="N517" s="42" t="n">
        <v>51.47</v>
      </c>
      <c r="O517" s="42" t="n">
        <v>2.5735</v>
      </c>
      <c r="P517" s="45" t="n">
        <v>8.5</v>
      </c>
      <c r="Q517" s="41" t="str">
        <f aca="false">CHOOSE(MONTH(K517),"Jan","Feb","Mar","Apr","May","Jun","Jul","Aug","Sep","Oct","Nov","Dec")</f>
        <v>Mar</v>
      </c>
      <c r="R517" s="41" t="n">
        <f aca="false">INT((K517-setMinDate)/7)+1</f>
        <v>11</v>
      </c>
      <c r="S517" s="41" t="n">
        <f aca="false">HOUR(L517)</f>
        <v>15</v>
      </c>
      <c r="T517" s="41" t="str">
        <f aca="false">IF(S517&lt;setMorningEnd,"Morning",IF(S517&lt;setAfternoonEnd,"Afternoon","Evening"))</f>
        <v>Afternoon</v>
      </c>
      <c r="U517" s="41" t="str">
        <f aca="false">IF(J517&gt;=setLarge,"Large",IF(J517&gt;=setMedium,"Medium","Small"))</f>
        <v>Small</v>
      </c>
      <c r="V517" s="41" t="str">
        <f aca="false">IF(P517&gt;=setExc,"Excellent",IF(P517&gt;=setGood,"Good",IF(P517&gt;=setAvg,"Average","Poor")))</f>
        <v>Good</v>
      </c>
    </row>
    <row r="518" customFormat="false" ht="15" hidden="false" customHeight="false" outlineLevel="0" collapsed="false">
      <c r="A518" s="41" t="s">
        <v>696</v>
      </c>
      <c r="B518" s="41" t="s">
        <v>189</v>
      </c>
      <c r="C518" s="41" t="s">
        <v>86</v>
      </c>
      <c r="D518" s="41" t="s">
        <v>104</v>
      </c>
      <c r="E518" s="41" t="s">
        <v>103</v>
      </c>
      <c r="F518" s="41" t="s">
        <v>81</v>
      </c>
      <c r="G518" s="42" t="n">
        <v>54.86</v>
      </c>
      <c r="H518" s="41" t="n">
        <v>5</v>
      </c>
      <c r="I518" s="42" t="n">
        <v>13.715</v>
      </c>
      <c r="J518" s="42" t="n">
        <v>288.015</v>
      </c>
      <c r="K518" s="43" t="n">
        <v>43553</v>
      </c>
      <c r="L518" s="44" t="n">
        <v>0.7</v>
      </c>
      <c r="M518" s="41" t="s">
        <v>98</v>
      </c>
      <c r="N518" s="42" t="n">
        <v>274.3</v>
      </c>
      <c r="O518" s="42" t="n">
        <v>13.715</v>
      </c>
      <c r="P518" s="45" t="n">
        <v>9.8</v>
      </c>
      <c r="Q518" s="41" t="str">
        <f aca="false">CHOOSE(MONTH(K518),"Jan","Feb","Mar","Apr","May","Jun","Jul","Aug","Sep","Oct","Nov","Dec")</f>
        <v>Mar</v>
      </c>
      <c r="R518" s="41" t="n">
        <f aca="false">INT((K518-setMinDate)/7)+1</f>
        <v>13</v>
      </c>
      <c r="S518" s="41" t="n">
        <f aca="false">HOUR(L518)</f>
        <v>16</v>
      </c>
      <c r="T518" s="41" t="str">
        <f aca="false">IF(S518&lt;setMorningEnd,"Morning",IF(S518&lt;setAfternoonEnd,"Afternoon","Evening"))</f>
        <v>Afternoon</v>
      </c>
      <c r="U518" s="41" t="str">
        <f aca="false">IF(J518&gt;=setLarge,"Large",IF(J518&gt;=setMedium,"Medium","Small"))</f>
        <v>Medium</v>
      </c>
      <c r="V518" s="41" t="str">
        <f aca="false">IF(P518&gt;=setExc,"Excellent",IF(P518&gt;=setGood,"Good",IF(P518&gt;=setAvg,"Average","Poor")))</f>
        <v>Excellent</v>
      </c>
    </row>
    <row r="519" customFormat="false" ht="15" hidden="false" customHeight="false" outlineLevel="0" collapsed="false">
      <c r="A519" s="41" t="s">
        <v>697</v>
      </c>
      <c r="B519" s="41" t="s">
        <v>180</v>
      </c>
      <c r="C519" s="41" t="s">
        <v>87</v>
      </c>
      <c r="D519" s="41" t="s">
        <v>104</v>
      </c>
      <c r="E519" s="41" t="s">
        <v>103</v>
      </c>
      <c r="F519" s="41" t="s">
        <v>80</v>
      </c>
      <c r="G519" s="42" t="n">
        <v>39.39</v>
      </c>
      <c r="H519" s="41" t="n">
        <v>5</v>
      </c>
      <c r="I519" s="42" t="n">
        <v>9.8475</v>
      </c>
      <c r="J519" s="42" t="n">
        <v>206.7975</v>
      </c>
      <c r="K519" s="43" t="n">
        <v>43487</v>
      </c>
      <c r="L519" s="44" t="n">
        <v>0.865277777777778</v>
      </c>
      <c r="M519" s="41" t="s">
        <v>99</v>
      </c>
      <c r="N519" s="42" t="n">
        <v>196.95</v>
      </c>
      <c r="O519" s="42" t="n">
        <v>9.8475</v>
      </c>
      <c r="P519" s="45" t="n">
        <v>8.7</v>
      </c>
      <c r="Q519" s="41" t="str">
        <f aca="false">CHOOSE(MONTH(K519),"Jan","Feb","Mar","Apr","May","Jun","Jul","Aug","Sep","Oct","Nov","Dec")</f>
        <v>Jan</v>
      </c>
      <c r="R519" s="41" t="n">
        <f aca="false">INT((K519-setMinDate)/7)+1</f>
        <v>4</v>
      </c>
      <c r="S519" s="41" t="n">
        <f aca="false">HOUR(L519)</f>
        <v>20</v>
      </c>
      <c r="T519" s="41" t="str">
        <f aca="false">IF(S519&lt;setMorningEnd,"Morning",IF(S519&lt;setAfternoonEnd,"Afternoon","Evening"))</f>
        <v>Evening</v>
      </c>
      <c r="U519" s="41" t="str">
        <f aca="false">IF(J519&gt;=setLarge,"Large",IF(J519&gt;=setMedium,"Medium","Small"))</f>
        <v>Small</v>
      </c>
      <c r="V519" s="41" t="str">
        <f aca="false">IF(P519&gt;=setExc,"Excellent",IF(P519&gt;=setGood,"Good",IF(P519&gt;=setAvg,"Average","Poor")))</f>
        <v>Good</v>
      </c>
    </row>
    <row r="520" customFormat="false" ht="15" hidden="false" customHeight="false" outlineLevel="0" collapsed="false">
      <c r="A520" s="41" t="s">
        <v>698</v>
      </c>
      <c r="B520" s="41" t="s">
        <v>178</v>
      </c>
      <c r="C520" s="41" t="s">
        <v>85</v>
      </c>
      <c r="D520" s="41" t="s">
        <v>105</v>
      </c>
      <c r="E520" s="41" t="s">
        <v>103</v>
      </c>
      <c r="F520" s="41" t="s">
        <v>80</v>
      </c>
      <c r="G520" s="42" t="n">
        <v>34.73</v>
      </c>
      <c r="H520" s="41" t="n">
        <v>2</v>
      </c>
      <c r="I520" s="42" t="n">
        <v>3.473</v>
      </c>
      <c r="J520" s="42" t="n">
        <v>72.933</v>
      </c>
      <c r="K520" s="43" t="n">
        <v>43525</v>
      </c>
      <c r="L520" s="44" t="n">
        <v>0.759722222222222</v>
      </c>
      <c r="M520" s="41" t="s">
        <v>98</v>
      </c>
      <c r="N520" s="42" t="n">
        <v>69.46</v>
      </c>
      <c r="O520" s="42" t="n">
        <v>3.473</v>
      </c>
      <c r="P520" s="45" t="n">
        <v>9.7</v>
      </c>
      <c r="Q520" s="41" t="str">
        <f aca="false">CHOOSE(MONTH(K520),"Jan","Feb","Mar","Apr","May","Jun","Jul","Aug","Sep","Oct","Nov","Dec")</f>
        <v>Mar</v>
      </c>
      <c r="R520" s="41" t="n">
        <f aca="false">INT((K520-setMinDate)/7)+1</f>
        <v>9</v>
      </c>
      <c r="S520" s="41" t="n">
        <f aca="false">HOUR(L520)</f>
        <v>18</v>
      </c>
      <c r="T520" s="41" t="str">
        <f aca="false">IF(S520&lt;setMorningEnd,"Morning",IF(S520&lt;setAfternoonEnd,"Afternoon","Evening"))</f>
        <v>Evening</v>
      </c>
      <c r="U520" s="41" t="str">
        <f aca="false">IF(J520&gt;=setLarge,"Large",IF(J520&gt;=setMedium,"Medium","Small"))</f>
        <v>Small</v>
      </c>
      <c r="V520" s="41" t="str">
        <f aca="false">IF(P520&gt;=setExc,"Excellent",IF(P520&gt;=setGood,"Good",IF(P520&gt;=setAvg,"Average","Poor")))</f>
        <v>Excellent</v>
      </c>
    </row>
    <row r="521" customFormat="false" ht="15" hidden="false" customHeight="false" outlineLevel="0" collapsed="false">
      <c r="A521" s="41" t="s">
        <v>699</v>
      </c>
      <c r="B521" s="41" t="s">
        <v>180</v>
      </c>
      <c r="C521" s="41" t="s">
        <v>87</v>
      </c>
      <c r="D521" s="41" t="s">
        <v>104</v>
      </c>
      <c r="E521" s="41" t="s">
        <v>103</v>
      </c>
      <c r="F521" s="41" t="s">
        <v>77</v>
      </c>
      <c r="G521" s="42" t="n">
        <v>71.92</v>
      </c>
      <c r="H521" s="41" t="n">
        <v>5</v>
      </c>
      <c r="I521" s="42" t="n">
        <v>17.98</v>
      </c>
      <c r="J521" s="42" t="n">
        <v>377.58</v>
      </c>
      <c r="K521" s="43" t="n">
        <v>43482</v>
      </c>
      <c r="L521" s="44" t="n">
        <v>0.628472222222222</v>
      </c>
      <c r="M521" s="41" t="s">
        <v>99</v>
      </c>
      <c r="N521" s="42" t="n">
        <v>359.6</v>
      </c>
      <c r="O521" s="42" t="n">
        <v>17.98</v>
      </c>
      <c r="P521" s="45" t="n">
        <v>4.3</v>
      </c>
      <c r="Q521" s="41" t="str">
        <f aca="false">CHOOSE(MONTH(K521),"Jan","Feb","Mar","Apr","May","Jun","Jul","Aug","Sep","Oct","Nov","Dec")</f>
        <v>Jan</v>
      </c>
      <c r="R521" s="41" t="n">
        <f aca="false">INT((K521-setMinDate)/7)+1</f>
        <v>3</v>
      </c>
      <c r="S521" s="41" t="n">
        <f aca="false">HOUR(L521)</f>
        <v>15</v>
      </c>
      <c r="T521" s="41" t="str">
        <f aca="false">IF(S521&lt;setMorningEnd,"Morning",IF(S521&lt;setAfternoonEnd,"Afternoon","Evening"))</f>
        <v>Afternoon</v>
      </c>
      <c r="U521" s="41" t="str">
        <f aca="false">IF(J521&gt;=setLarge,"Large",IF(J521&gt;=setMedium,"Medium","Small"))</f>
        <v>Medium</v>
      </c>
      <c r="V521" s="41" t="str">
        <f aca="false">IF(P521&gt;=setExc,"Excellent",IF(P521&gt;=setGood,"Good",IF(P521&gt;=setAvg,"Average","Poor")))</f>
        <v>Poor</v>
      </c>
    </row>
    <row r="522" customFormat="false" ht="15" hidden="false" customHeight="false" outlineLevel="0" collapsed="false">
      <c r="A522" s="41" t="s">
        <v>700</v>
      </c>
      <c r="B522" s="41" t="s">
        <v>189</v>
      </c>
      <c r="C522" s="41" t="s">
        <v>86</v>
      </c>
      <c r="D522" s="41" t="s">
        <v>105</v>
      </c>
      <c r="E522" s="41" t="s">
        <v>102</v>
      </c>
      <c r="F522" s="41" t="s">
        <v>78</v>
      </c>
      <c r="G522" s="42" t="n">
        <v>45.71</v>
      </c>
      <c r="H522" s="41" t="n">
        <v>3</v>
      </c>
      <c r="I522" s="42" t="n">
        <v>6.8565</v>
      </c>
      <c r="J522" s="42" t="n">
        <v>143.9865</v>
      </c>
      <c r="K522" s="43" t="n">
        <v>43550</v>
      </c>
      <c r="L522" s="44" t="n">
        <v>0.440277777777778</v>
      </c>
      <c r="M522" s="41" t="s">
        <v>99</v>
      </c>
      <c r="N522" s="42" t="n">
        <v>137.13</v>
      </c>
      <c r="O522" s="42" t="n">
        <v>6.8565</v>
      </c>
      <c r="P522" s="45" t="n">
        <v>7.7</v>
      </c>
      <c r="Q522" s="41" t="str">
        <f aca="false">CHOOSE(MONTH(K522),"Jan","Feb","Mar","Apr","May","Jun","Jul","Aug","Sep","Oct","Nov","Dec")</f>
        <v>Mar</v>
      </c>
      <c r="R522" s="41" t="n">
        <f aca="false">INT((K522-setMinDate)/7)+1</f>
        <v>13</v>
      </c>
      <c r="S522" s="41" t="n">
        <f aca="false">HOUR(L522)</f>
        <v>10</v>
      </c>
      <c r="T522" s="41" t="str">
        <f aca="false">IF(S522&lt;setMorningEnd,"Morning",IF(S522&lt;setAfternoonEnd,"Afternoon","Evening"))</f>
        <v>Morning</v>
      </c>
      <c r="U522" s="41" t="str">
        <f aca="false">IF(J522&gt;=setLarge,"Large",IF(J522&gt;=setMedium,"Medium","Small"))</f>
        <v>Small</v>
      </c>
      <c r="V522" s="41" t="str">
        <f aca="false">IF(P522&gt;=setExc,"Excellent",IF(P522&gt;=setGood,"Good",IF(P522&gt;=setAvg,"Average","Poor")))</f>
        <v>Good</v>
      </c>
    </row>
    <row r="523" customFormat="false" ht="15" hidden="false" customHeight="false" outlineLevel="0" collapsed="false">
      <c r="A523" s="41" t="s">
        <v>701</v>
      </c>
      <c r="B523" s="41" t="s">
        <v>180</v>
      </c>
      <c r="C523" s="41" t="s">
        <v>87</v>
      </c>
      <c r="D523" s="41" t="s">
        <v>104</v>
      </c>
      <c r="E523" s="41" t="s">
        <v>102</v>
      </c>
      <c r="F523" s="41" t="s">
        <v>80</v>
      </c>
      <c r="G523" s="42" t="n">
        <v>83.17</v>
      </c>
      <c r="H523" s="41" t="n">
        <v>6</v>
      </c>
      <c r="I523" s="42" t="n">
        <v>24.951</v>
      </c>
      <c r="J523" s="42" t="n">
        <v>523.971</v>
      </c>
      <c r="K523" s="43" t="n">
        <v>43544</v>
      </c>
      <c r="L523" s="44" t="n">
        <v>0.474305555555556</v>
      </c>
      <c r="M523" s="41" t="s">
        <v>97</v>
      </c>
      <c r="N523" s="42" t="n">
        <v>499.02</v>
      </c>
      <c r="O523" s="42" t="n">
        <v>24.951</v>
      </c>
      <c r="P523" s="45" t="n">
        <v>7.3</v>
      </c>
      <c r="Q523" s="41" t="str">
        <f aca="false">CHOOSE(MONTH(K523),"Jan","Feb","Mar","Apr","May","Jun","Jul","Aug","Sep","Oct","Nov","Dec")</f>
        <v>Mar</v>
      </c>
      <c r="R523" s="41" t="n">
        <f aca="false">INT((K523-setMinDate)/7)+1</f>
        <v>12</v>
      </c>
      <c r="S523" s="41" t="n">
        <f aca="false">HOUR(L523)</f>
        <v>11</v>
      </c>
      <c r="T523" s="41" t="str">
        <f aca="false">IF(S523&lt;setMorningEnd,"Morning",IF(S523&lt;setAfternoonEnd,"Afternoon","Evening"))</f>
        <v>Morning</v>
      </c>
      <c r="U523" s="41" t="str">
        <f aca="false">IF(J523&gt;=setLarge,"Large",IF(J523&gt;=setMedium,"Medium","Small"))</f>
        <v>Medium</v>
      </c>
      <c r="V523" s="41" t="str">
        <f aca="false">IF(P523&gt;=setExc,"Excellent",IF(P523&gt;=setGood,"Good",IF(P523&gt;=setAvg,"Average","Poor")))</f>
        <v>Good</v>
      </c>
    </row>
    <row r="524" customFormat="false" ht="15" hidden="false" customHeight="false" outlineLevel="0" collapsed="false">
      <c r="A524" s="41" t="s">
        <v>702</v>
      </c>
      <c r="B524" s="41" t="s">
        <v>178</v>
      </c>
      <c r="C524" s="41" t="s">
        <v>85</v>
      </c>
      <c r="D524" s="41" t="s">
        <v>104</v>
      </c>
      <c r="E524" s="41" t="s">
        <v>102</v>
      </c>
      <c r="F524" s="41" t="s">
        <v>80</v>
      </c>
      <c r="G524" s="42" t="n">
        <v>37.44</v>
      </c>
      <c r="H524" s="41" t="n">
        <v>6</v>
      </c>
      <c r="I524" s="42" t="n">
        <v>11.232</v>
      </c>
      <c r="J524" s="42" t="n">
        <v>235.872</v>
      </c>
      <c r="K524" s="43" t="n">
        <v>43502</v>
      </c>
      <c r="L524" s="44" t="n">
        <v>0.579861111111111</v>
      </c>
      <c r="M524" s="41" t="s">
        <v>99</v>
      </c>
      <c r="N524" s="42" t="n">
        <v>224.64</v>
      </c>
      <c r="O524" s="42" t="n">
        <v>11.232</v>
      </c>
      <c r="P524" s="45" t="n">
        <v>5.9</v>
      </c>
      <c r="Q524" s="41" t="str">
        <f aca="false">CHOOSE(MONTH(K524),"Jan","Feb","Mar","Apr","May","Jun","Jul","Aug","Sep","Oct","Nov","Dec")</f>
        <v>Feb</v>
      </c>
      <c r="R524" s="41" t="n">
        <f aca="false">INT((K524-setMinDate)/7)+1</f>
        <v>6</v>
      </c>
      <c r="S524" s="41" t="n">
        <f aca="false">HOUR(L524)</f>
        <v>13</v>
      </c>
      <c r="T524" s="41" t="str">
        <f aca="false">IF(S524&lt;setMorningEnd,"Morning",IF(S524&lt;setAfternoonEnd,"Afternoon","Evening"))</f>
        <v>Afternoon</v>
      </c>
      <c r="U524" s="41" t="str">
        <f aca="false">IF(J524&gt;=setLarge,"Large",IF(J524&gt;=setMedium,"Medium","Small"))</f>
        <v>Small</v>
      </c>
      <c r="V524" s="41" t="str">
        <f aca="false">IF(P524&gt;=setExc,"Excellent",IF(P524&gt;=setGood,"Good",IF(P524&gt;=setAvg,"Average","Poor")))</f>
        <v>Average</v>
      </c>
    </row>
    <row r="525" customFormat="false" ht="15" hidden="false" customHeight="false" outlineLevel="0" collapsed="false">
      <c r="A525" s="41" t="s">
        <v>703</v>
      </c>
      <c r="B525" s="41" t="s">
        <v>180</v>
      </c>
      <c r="C525" s="41" t="s">
        <v>87</v>
      </c>
      <c r="D525" s="41" t="s">
        <v>105</v>
      </c>
      <c r="E525" s="41" t="s">
        <v>103</v>
      </c>
      <c r="F525" s="41" t="s">
        <v>81</v>
      </c>
      <c r="G525" s="42" t="n">
        <v>62.87</v>
      </c>
      <c r="H525" s="41" t="n">
        <v>2</v>
      </c>
      <c r="I525" s="42" t="n">
        <v>6.287</v>
      </c>
      <c r="J525" s="42" t="n">
        <v>132.027</v>
      </c>
      <c r="K525" s="43" t="n">
        <v>43466</v>
      </c>
      <c r="L525" s="44" t="n">
        <v>0.488194444444444</v>
      </c>
      <c r="M525" s="41" t="s">
        <v>97</v>
      </c>
      <c r="N525" s="42" t="n">
        <v>125.74</v>
      </c>
      <c r="O525" s="42" t="n">
        <v>6.287</v>
      </c>
      <c r="P525" s="45" t="n">
        <v>5</v>
      </c>
      <c r="Q525" s="41" t="str">
        <f aca="false">CHOOSE(MONTH(K525),"Jan","Feb","Mar","Apr","May","Jun","Jul","Aug","Sep","Oct","Nov","Dec")</f>
        <v>Jan</v>
      </c>
      <c r="R525" s="41" t="n">
        <f aca="false">INT((K525-setMinDate)/7)+1</f>
        <v>1</v>
      </c>
      <c r="S525" s="41" t="n">
        <f aca="false">HOUR(L525)</f>
        <v>11</v>
      </c>
      <c r="T525" s="41" t="str">
        <f aca="false">IF(S525&lt;setMorningEnd,"Morning",IF(S525&lt;setAfternoonEnd,"Afternoon","Evening"))</f>
        <v>Morning</v>
      </c>
      <c r="U525" s="41" t="str">
        <f aca="false">IF(J525&gt;=setLarge,"Large",IF(J525&gt;=setMedium,"Medium","Small"))</f>
        <v>Small</v>
      </c>
      <c r="V525" s="41" t="str">
        <f aca="false">IF(P525&gt;=setExc,"Excellent",IF(P525&gt;=setGood,"Good",IF(P525&gt;=setAvg,"Average","Poor")))</f>
        <v>Average</v>
      </c>
    </row>
    <row r="526" customFormat="false" ht="15" hidden="false" customHeight="false" outlineLevel="0" collapsed="false">
      <c r="A526" s="41" t="s">
        <v>704</v>
      </c>
      <c r="B526" s="41" t="s">
        <v>178</v>
      </c>
      <c r="C526" s="41" t="s">
        <v>85</v>
      </c>
      <c r="D526" s="41" t="s">
        <v>105</v>
      </c>
      <c r="E526" s="41" t="s">
        <v>103</v>
      </c>
      <c r="F526" s="41" t="s">
        <v>76</v>
      </c>
      <c r="G526" s="42" t="n">
        <v>81.71</v>
      </c>
      <c r="H526" s="41" t="n">
        <v>6</v>
      </c>
      <c r="I526" s="42" t="n">
        <v>24.513</v>
      </c>
      <c r="J526" s="42" t="n">
        <v>514.773</v>
      </c>
      <c r="K526" s="43" t="n">
        <v>43492</v>
      </c>
      <c r="L526" s="44" t="n">
        <v>0.608333333333333</v>
      </c>
      <c r="M526" s="41" t="s">
        <v>99</v>
      </c>
      <c r="N526" s="42" t="n">
        <v>490.26</v>
      </c>
      <c r="O526" s="42" t="n">
        <v>24.513</v>
      </c>
      <c r="P526" s="45" t="n">
        <v>8</v>
      </c>
      <c r="Q526" s="41" t="str">
        <f aca="false">CHOOSE(MONTH(K526),"Jan","Feb","Mar","Apr","May","Jun","Jul","Aug","Sep","Oct","Nov","Dec")</f>
        <v>Jan</v>
      </c>
      <c r="R526" s="41" t="n">
        <f aca="false">INT((K526-setMinDate)/7)+1</f>
        <v>4</v>
      </c>
      <c r="S526" s="41" t="n">
        <f aca="false">HOUR(L526)</f>
        <v>14</v>
      </c>
      <c r="T526" s="41" t="str">
        <f aca="false">IF(S526&lt;setMorningEnd,"Morning",IF(S526&lt;setAfternoonEnd,"Afternoon","Evening"))</f>
        <v>Afternoon</v>
      </c>
      <c r="U526" s="41" t="str">
        <f aca="false">IF(J526&gt;=setLarge,"Large",IF(J526&gt;=setMedium,"Medium","Small"))</f>
        <v>Medium</v>
      </c>
      <c r="V526" s="41" t="str">
        <f aca="false">IF(P526&gt;=setExc,"Excellent",IF(P526&gt;=setGood,"Good",IF(P526&gt;=setAvg,"Average","Poor")))</f>
        <v>Good</v>
      </c>
    </row>
    <row r="527" customFormat="false" ht="15" hidden="false" customHeight="false" outlineLevel="0" collapsed="false">
      <c r="A527" s="41" t="s">
        <v>705</v>
      </c>
      <c r="B527" s="41" t="s">
        <v>178</v>
      </c>
      <c r="C527" s="41" t="s">
        <v>85</v>
      </c>
      <c r="D527" s="41" t="s">
        <v>104</v>
      </c>
      <c r="E527" s="41" t="s">
        <v>102</v>
      </c>
      <c r="F527" s="41" t="s">
        <v>77</v>
      </c>
      <c r="G527" s="42" t="n">
        <v>91.41</v>
      </c>
      <c r="H527" s="41" t="n">
        <v>5</v>
      </c>
      <c r="I527" s="42" t="n">
        <v>22.8525</v>
      </c>
      <c r="J527" s="42" t="n">
        <v>479.9025</v>
      </c>
      <c r="K527" s="43" t="n">
        <v>43521</v>
      </c>
      <c r="L527" s="44" t="n">
        <v>0.66875</v>
      </c>
      <c r="M527" s="41" t="s">
        <v>98</v>
      </c>
      <c r="N527" s="42" t="n">
        <v>457.05</v>
      </c>
      <c r="O527" s="42" t="n">
        <v>22.8525</v>
      </c>
      <c r="P527" s="45" t="n">
        <v>7.1</v>
      </c>
      <c r="Q527" s="41" t="str">
        <f aca="false">CHOOSE(MONTH(K527),"Jan","Feb","Mar","Apr","May","Jun","Jul","Aug","Sep","Oct","Nov","Dec")</f>
        <v>Feb</v>
      </c>
      <c r="R527" s="41" t="n">
        <f aca="false">INT((K527-setMinDate)/7)+1</f>
        <v>8</v>
      </c>
      <c r="S527" s="41" t="n">
        <f aca="false">HOUR(L527)</f>
        <v>16</v>
      </c>
      <c r="T527" s="41" t="str">
        <f aca="false">IF(S527&lt;setMorningEnd,"Morning",IF(S527&lt;setAfternoonEnd,"Afternoon","Evening"))</f>
        <v>Afternoon</v>
      </c>
      <c r="U527" s="41" t="str">
        <f aca="false">IF(J527&gt;=setLarge,"Large",IF(J527&gt;=setMedium,"Medium","Small"))</f>
        <v>Medium</v>
      </c>
      <c r="V527" s="41" t="str">
        <f aca="false">IF(P527&gt;=setExc,"Excellent",IF(P527&gt;=setGood,"Good",IF(P527&gt;=setAvg,"Average","Poor")))</f>
        <v>Good</v>
      </c>
    </row>
    <row r="528" customFormat="false" ht="15" hidden="false" customHeight="false" outlineLevel="0" collapsed="false">
      <c r="A528" s="41" t="s">
        <v>706</v>
      </c>
      <c r="B528" s="41" t="s">
        <v>189</v>
      </c>
      <c r="C528" s="41" t="s">
        <v>86</v>
      </c>
      <c r="D528" s="41" t="s">
        <v>105</v>
      </c>
      <c r="E528" s="41" t="s">
        <v>103</v>
      </c>
      <c r="F528" s="41" t="s">
        <v>79</v>
      </c>
      <c r="G528" s="42" t="n">
        <v>39.21</v>
      </c>
      <c r="H528" s="41" t="n">
        <v>4</v>
      </c>
      <c r="I528" s="42" t="n">
        <v>7.842</v>
      </c>
      <c r="J528" s="42" t="n">
        <v>164.682</v>
      </c>
      <c r="K528" s="43" t="n">
        <v>43481</v>
      </c>
      <c r="L528" s="44" t="n">
        <v>0.835416666666667</v>
      </c>
      <c r="M528" s="41" t="s">
        <v>99</v>
      </c>
      <c r="N528" s="42" t="n">
        <v>156.84</v>
      </c>
      <c r="O528" s="42" t="n">
        <v>7.842</v>
      </c>
      <c r="P528" s="45" t="n">
        <v>9</v>
      </c>
      <c r="Q528" s="41" t="str">
        <f aca="false">CHOOSE(MONTH(K528),"Jan","Feb","Mar","Apr","May","Jun","Jul","Aug","Sep","Oct","Nov","Dec")</f>
        <v>Jan</v>
      </c>
      <c r="R528" s="41" t="n">
        <f aca="false">INT((K528-setMinDate)/7)+1</f>
        <v>3</v>
      </c>
      <c r="S528" s="41" t="n">
        <f aca="false">HOUR(L528)</f>
        <v>20</v>
      </c>
      <c r="T528" s="41" t="str">
        <f aca="false">IF(S528&lt;setMorningEnd,"Morning",IF(S528&lt;setAfternoonEnd,"Afternoon","Evening"))</f>
        <v>Evening</v>
      </c>
      <c r="U528" s="41" t="str">
        <f aca="false">IF(J528&gt;=setLarge,"Large",IF(J528&gt;=setMedium,"Medium","Small"))</f>
        <v>Small</v>
      </c>
      <c r="V528" s="41" t="str">
        <f aca="false">IF(P528&gt;=setExc,"Excellent",IF(P528&gt;=setGood,"Good",IF(P528&gt;=setAvg,"Average","Poor")))</f>
        <v>Excellent</v>
      </c>
    </row>
    <row r="529" customFormat="false" ht="15" hidden="false" customHeight="false" outlineLevel="0" collapsed="false">
      <c r="A529" s="41" t="s">
        <v>707</v>
      </c>
      <c r="B529" s="41" t="s">
        <v>189</v>
      </c>
      <c r="C529" s="41" t="s">
        <v>86</v>
      </c>
      <c r="D529" s="41" t="s">
        <v>104</v>
      </c>
      <c r="E529" s="41" t="s">
        <v>103</v>
      </c>
      <c r="F529" s="41" t="s">
        <v>79</v>
      </c>
      <c r="G529" s="42" t="n">
        <v>59.86</v>
      </c>
      <c r="H529" s="41" t="n">
        <v>2</v>
      </c>
      <c r="I529" s="42" t="n">
        <v>5.986</v>
      </c>
      <c r="J529" s="42" t="n">
        <v>125.706</v>
      </c>
      <c r="K529" s="43" t="n">
        <v>43478</v>
      </c>
      <c r="L529" s="44" t="n">
        <v>0.621527777777778</v>
      </c>
      <c r="M529" s="41" t="s">
        <v>98</v>
      </c>
      <c r="N529" s="42" t="n">
        <v>119.72</v>
      </c>
      <c r="O529" s="42" t="n">
        <v>5.986</v>
      </c>
      <c r="P529" s="45" t="n">
        <v>6.7</v>
      </c>
      <c r="Q529" s="41" t="str">
        <f aca="false">CHOOSE(MONTH(K529),"Jan","Feb","Mar","Apr","May","Jun","Jul","Aug","Sep","Oct","Nov","Dec")</f>
        <v>Jan</v>
      </c>
      <c r="R529" s="41" t="n">
        <f aca="false">INT((K529-setMinDate)/7)+1</f>
        <v>2</v>
      </c>
      <c r="S529" s="41" t="n">
        <f aca="false">HOUR(L529)</f>
        <v>14</v>
      </c>
      <c r="T529" s="41" t="str">
        <f aca="false">IF(S529&lt;setMorningEnd,"Morning",IF(S529&lt;setAfternoonEnd,"Afternoon","Evening"))</f>
        <v>Afternoon</v>
      </c>
      <c r="U529" s="41" t="str">
        <f aca="false">IF(J529&gt;=setLarge,"Large",IF(J529&gt;=setMedium,"Medium","Small"))</f>
        <v>Small</v>
      </c>
      <c r="V529" s="41" t="str">
        <f aca="false">IF(P529&gt;=setExc,"Excellent",IF(P529&gt;=setGood,"Good",IF(P529&gt;=setAvg,"Average","Poor")))</f>
        <v>Average</v>
      </c>
    </row>
    <row r="530" customFormat="false" ht="15" hidden="false" customHeight="false" outlineLevel="0" collapsed="false">
      <c r="A530" s="41" t="s">
        <v>708</v>
      </c>
      <c r="B530" s="41" t="s">
        <v>189</v>
      </c>
      <c r="C530" s="41" t="s">
        <v>86</v>
      </c>
      <c r="D530" s="41" t="s">
        <v>104</v>
      </c>
      <c r="E530" s="41" t="s">
        <v>102</v>
      </c>
      <c r="F530" s="41" t="s">
        <v>76</v>
      </c>
      <c r="G530" s="42" t="n">
        <v>54.36</v>
      </c>
      <c r="H530" s="41" t="n">
        <v>10</v>
      </c>
      <c r="I530" s="42" t="n">
        <v>27.18</v>
      </c>
      <c r="J530" s="42" t="n">
        <v>570.78</v>
      </c>
      <c r="K530" s="43" t="n">
        <v>43503</v>
      </c>
      <c r="L530" s="44" t="n">
        <v>0.477777777777778</v>
      </c>
      <c r="M530" s="41" t="s">
        <v>99</v>
      </c>
      <c r="N530" s="42" t="n">
        <v>543.6</v>
      </c>
      <c r="O530" s="42" t="n">
        <v>27.18</v>
      </c>
      <c r="P530" s="45" t="n">
        <v>6.1</v>
      </c>
      <c r="Q530" s="41" t="str">
        <f aca="false">CHOOSE(MONTH(K530),"Jan","Feb","Mar","Apr","May","Jun","Jul","Aug","Sep","Oct","Nov","Dec")</f>
        <v>Feb</v>
      </c>
      <c r="R530" s="41" t="n">
        <f aca="false">INT((K530-setMinDate)/7)+1</f>
        <v>6</v>
      </c>
      <c r="S530" s="41" t="n">
        <f aca="false">HOUR(L530)</f>
        <v>11</v>
      </c>
      <c r="T530" s="41" t="str">
        <f aca="false">IF(S530&lt;setMorningEnd,"Morning",IF(S530&lt;setAfternoonEnd,"Afternoon","Evening"))</f>
        <v>Morning</v>
      </c>
      <c r="U530" s="41" t="str">
        <f aca="false">IF(J530&gt;=setLarge,"Large",IF(J530&gt;=setMedium,"Medium","Small"))</f>
        <v>Medium</v>
      </c>
      <c r="V530" s="41" t="str">
        <f aca="false">IF(P530&gt;=setExc,"Excellent",IF(P530&gt;=setGood,"Good",IF(P530&gt;=setAvg,"Average","Poor")))</f>
        <v>Average</v>
      </c>
    </row>
    <row r="531" customFormat="false" ht="15" hidden="false" customHeight="false" outlineLevel="0" collapsed="false">
      <c r="A531" s="41" t="s">
        <v>709</v>
      </c>
      <c r="B531" s="41" t="s">
        <v>178</v>
      </c>
      <c r="C531" s="41" t="s">
        <v>85</v>
      </c>
      <c r="D531" s="41" t="s">
        <v>105</v>
      </c>
      <c r="E531" s="41" t="s">
        <v>103</v>
      </c>
      <c r="F531" s="41" t="s">
        <v>77</v>
      </c>
      <c r="G531" s="42" t="n">
        <v>98.09</v>
      </c>
      <c r="H531" s="41" t="n">
        <v>9</v>
      </c>
      <c r="I531" s="42" t="n">
        <v>44.1405</v>
      </c>
      <c r="J531" s="42" t="n">
        <v>926.9505</v>
      </c>
      <c r="K531" s="43" t="n">
        <v>43513</v>
      </c>
      <c r="L531" s="44" t="n">
        <v>0.820138888888889</v>
      </c>
      <c r="M531" s="41" t="s">
        <v>97</v>
      </c>
      <c r="N531" s="42" t="n">
        <v>882.81</v>
      </c>
      <c r="O531" s="42" t="n">
        <v>44.1405</v>
      </c>
      <c r="P531" s="45" t="n">
        <v>9.3</v>
      </c>
      <c r="Q531" s="41" t="str">
        <f aca="false">CHOOSE(MONTH(K531),"Jan","Feb","Mar","Apr","May","Jun","Jul","Aug","Sep","Oct","Nov","Dec")</f>
        <v>Feb</v>
      </c>
      <c r="R531" s="41" t="n">
        <f aca="false">INT((K531-setMinDate)/7)+1</f>
        <v>7</v>
      </c>
      <c r="S531" s="41" t="n">
        <f aca="false">HOUR(L531)</f>
        <v>19</v>
      </c>
      <c r="T531" s="41" t="str">
        <f aca="false">IF(S531&lt;setMorningEnd,"Morning",IF(S531&lt;setAfternoonEnd,"Afternoon","Evening"))</f>
        <v>Evening</v>
      </c>
      <c r="U531" s="41" t="str">
        <f aca="false">IF(J531&gt;=setLarge,"Large",IF(J531&gt;=setMedium,"Medium","Small"))</f>
        <v>Large</v>
      </c>
      <c r="V531" s="41" t="str">
        <f aca="false">IF(P531&gt;=setExc,"Excellent",IF(P531&gt;=setGood,"Good",IF(P531&gt;=setAvg,"Average","Poor")))</f>
        <v>Excellent</v>
      </c>
    </row>
    <row r="532" customFormat="false" ht="15" hidden="false" customHeight="false" outlineLevel="0" collapsed="false">
      <c r="A532" s="41" t="s">
        <v>710</v>
      </c>
      <c r="B532" s="41" t="s">
        <v>178</v>
      </c>
      <c r="C532" s="41" t="s">
        <v>85</v>
      </c>
      <c r="D532" s="41" t="s">
        <v>105</v>
      </c>
      <c r="E532" s="41" t="s">
        <v>103</v>
      </c>
      <c r="F532" s="41" t="s">
        <v>81</v>
      </c>
      <c r="G532" s="42" t="n">
        <v>25.43</v>
      </c>
      <c r="H532" s="41" t="n">
        <v>6</v>
      </c>
      <c r="I532" s="42" t="n">
        <v>7.629</v>
      </c>
      <c r="J532" s="42" t="n">
        <v>160.209</v>
      </c>
      <c r="K532" s="43" t="n">
        <v>43508</v>
      </c>
      <c r="L532" s="44" t="n">
        <v>0.792361111111111</v>
      </c>
      <c r="M532" s="41" t="s">
        <v>98</v>
      </c>
      <c r="N532" s="42" t="n">
        <v>152.58</v>
      </c>
      <c r="O532" s="42" t="n">
        <v>7.629</v>
      </c>
      <c r="P532" s="45" t="n">
        <v>7</v>
      </c>
      <c r="Q532" s="41" t="str">
        <f aca="false">CHOOSE(MONTH(K532),"Jan","Feb","Mar","Apr","May","Jun","Jul","Aug","Sep","Oct","Nov","Dec")</f>
        <v>Feb</v>
      </c>
      <c r="R532" s="41" t="n">
        <f aca="false">INT((K532-setMinDate)/7)+1</f>
        <v>7</v>
      </c>
      <c r="S532" s="41" t="n">
        <f aca="false">HOUR(L532)</f>
        <v>19</v>
      </c>
      <c r="T532" s="41" t="str">
        <f aca="false">IF(S532&lt;setMorningEnd,"Morning",IF(S532&lt;setAfternoonEnd,"Afternoon","Evening"))</f>
        <v>Evening</v>
      </c>
      <c r="U532" s="41" t="str">
        <f aca="false">IF(J532&gt;=setLarge,"Large",IF(J532&gt;=setMedium,"Medium","Small"))</f>
        <v>Small</v>
      </c>
      <c r="V532" s="41" t="str">
        <f aca="false">IF(P532&gt;=setExc,"Excellent",IF(P532&gt;=setGood,"Good",IF(P532&gt;=setAvg,"Average","Poor")))</f>
        <v>Good</v>
      </c>
    </row>
    <row r="533" customFormat="false" ht="15" hidden="false" customHeight="false" outlineLevel="0" collapsed="false">
      <c r="A533" s="41" t="s">
        <v>711</v>
      </c>
      <c r="B533" s="41" t="s">
        <v>178</v>
      </c>
      <c r="C533" s="41" t="s">
        <v>85</v>
      </c>
      <c r="D533" s="41" t="s">
        <v>104</v>
      </c>
      <c r="E533" s="41" t="s">
        <v>103</v>
      </c>
      <c r="F533" s="41" t="s">
        <v>79</v>
      </c>
      <c r="G533" s="42" t="n">
        <v>86.68</v>
      </c>
      <c r="H533" s="41" t="n">
        <v>8</v>
      </c>
      <c r="I533" s="42" t="n">
        <v>34.672</v>
      </c>
      <c r="J533" s="42" t="n">
        <v>728.112</v>
      </c>
      <c r="K533" s="43" t="n">
        <v>43489</v>
      </c>
      <c r="L533" s="44" t="n">
        <v>0.752777777777778</v>
      </c>
      <c r="M533" s="41" t="s">
        <v>99</v>
      </c>
      <c r="N533" s="42" t="n">
        <v>693.44</v>
      </c>
      <c r="O533" s="42" t="n">
        <v>34.672</v>
      </c>
      <c r="P533" s="45" t="n">
        <v>7.2</v>
      </c>
      <c r="Q533" s="41" t="str">
        <f aca="false">CHOOSE(MONTH(K533),"Jan","Feb","Mar","Apr","May","Jun","Jul","Aug","Sep","Oct","Nov","Dec")</f>
        <v>Jan</v>
      </c>
      <c r="R533" s="41" t="n">
        <f aca="false">INT((K533-setMinDate)/7)+1</f>
        <v>4</v>
      </c>
      <c r="S533" s="41" t="n">
        <f aca="false">HOUR(L533)</f>
        <v>18</v>
      </c>
      <c r="T533" s="41" t="str">
        <f aca="false">IF(S533&lt;setMorningEnd,"Morning",IF(S533&lt;setAfternoonEnd,"Afternoon","Evening"))</f>
        <v>Evening</v>
      </c>
      <c r="U533" s="41" t="str">
        <f aca="false">IF(J533&gt;=setLarge,"Large",IF(J533&gt;=setMedium,"Medium","Small"))</f>
        <v>Large</v>
      </c>
      <c r="V533" s="41" t="str">
        <f aca="false">IF(P533&gt;=setExc,"Excellent",IF(P533&gt;=setGood,"Good",IF(P533&gt;=setAvg,"Average","Poor")))</f>
        <v>Good</v>
      </c>
    </row>
    <row r="534" customFormat="false" ht="15" hidden="false" customHeight="false" outlineLevel="0" collapsed="false">
      <c r="A534" s="41" t="s">
        <v>712</v>
      </c>
      <c r="B534" s="41" t="s">
        <v>189</v>
      </c>
      <c r="C534" s="41" t="s">
        <v>86</v>
      </c>
      <c r="D534" s="41" t="s">
        <v>105</v>
      </c>
      <c r="E534" s="41" t="s">
        <v>103</v>
      </c>
      <c r="F534" s="41" t="s">
        <v>78</v>
      </c>
      <c r="G534" s="42" t="n">
        <v>22.95</v>
      </c>
      <c r="H534" s="41" t="n">
        <v>10</v>
      </c>
      <c r="I534" s="42" t="n">
        <v>11.475</v>
      </c>
      <c r="J534" s="42" t="n">
        <v>240.975</v>
      </c>
      <c r="K534" s="43" t="n">
        <v>43502</v>
      </c>
      <c r="L534" s="44" t="n">
        <v>0.805555555555556</v>
      </c>
      <c r="M534" s="41" t="s">
        <v>98</v>
      </c>
      <c r="N534" s="42" t="n">
        <v>229.5</v>
      </c>
      <c r="O534" s="42" t="n">
        <v>11.475</v>
      </c>
      <c r="P534" s="45" t="n">
        <v>8.2</v>
      </c>
      <c r="Q534" s="41" t="str">
        <f aca="false">CHOOSE(MONTH(K534),"Jan","Feb","Mar","Apr","May","Jun","Jul","Aug","Sep","Oct","Nov","Dec")</f>
        <v>Feb</v>
      </c>
      <c r="R534" s="41" t="n">
        <f aca="false">INT((K534-setMinDate)/7)+1</f>
        <v>6</v>
      </c>
      <c r="S534" s="41" t="n">
        <f aca="false">HOUR(L534)</f>
        <v>19</v>
      </c>
      <c r="T534" s="41" t="str">
        <f aca="false">IF(S534&lt;setMorningEnd,"Morning",IF(S534&lt;setAfternoonEnd,"Afternoon","Evening"))</f>
        <v>Evening</v>
      </c>
      <c r="U534" s="41" t="str">
        <f aca="false">IF(J534&gt;=setLarge,"Large",IF(J534&gt;=setMedium,"Medium","Small"))</f>
        <v>Small</v>
      </c>
      <c r="V534" s="41" t="str">
        <f aca="false">IF(P534&gt;=setExc,"Excellent",IF(P534&gt;=setGood,"Good",IF(P534&gt;=setAvg,"Average","Poor")))</f>
        <v>Good</v>
      </c>
    </row>
    <row r="535" customFormat="false" ht="15" hidden="false" customHeight="false" outlineLevel="0" collapsed="false">
      <c r="A535" s="41" t="s">
        <v>713</v>
      </c>
      <c r="B535" s="41" t="s">
        <v>180</v>
      </c>
      <c r="C535" s="41" t="s">
        <v>87</v>
      </c>
      <c r="D535" s="41" t="s">
        <v>105</v>
      </c>
      <c r="E535" s="41" t="s">
        <v>102</v>
      </c>
      <c r="F535" s="41" t="s">
        <v>76</v>
      </c>
      <c r="G535" s="42" t="n">
        <v>16.31</v>
      </c>
      <c r="H535" s="41" t="n">
        <v>9</v>
      </c>
      <c r="I535" s="42" t="n">
        <v>7.3395</v>
      </c>
      <c r="J535" s="42" t="n">
        <v>154.1295</v>
      </c>
      <c r="K535" s="43" t="n">
        <v>43550</v>
      </c>
      <c r="L535" s="44" t="n">
        <v>0.438194444444444</v>
      </c>
      <c r="M535" s="41" t="s">
        <v>98</v>
      </c>
      <c r="N535" s="42" t="n">
        <v>146.79</v>
      </c>
      <c r="O535" s="42" t="n">
        <v>7.3395</v>
      </c>
      <c r="P535" s="45" t="n">
        <v>8.4</v>
      </c>
      <c r="Q535" s="41" t="str">
        <f aca="false">CHOOSE(MONTH(K535),"Jan","Feb","Mar","Apr","May","Jun","Jul","Aug","Sep","Oct","Nov","Dec")</f>
        <v>Mar</v>
      </c>
      <c r="R535" s="41" t="n">
        <f aca="false">INT((K535-setMinDate)/7)+1</f>
        <v>13</v>
      </c>
      <c r="S535" s="41" t="n">
        <f aca="false">HOUR(L535)</f>
        <v>10</v>
      </c>
      <c r="T535" s="41" t="str">
        <f aca="false">IF(S535&lt;setMorningEnd,"Morning",IF(S535&lt;setAfternoonEnd,"Afternoon","Evening"))</f>
        <v>Morning</v>
      </c>
      <c r="U535" s="41" t="str">
        <f aca="false">IF(J535&gt;=setLarge,"Large",IF(J535&gt;=setMedium,"Medium","Small"))</f>
        <v>Small</v>
      </c>
      <c r="V535" s="41" t="str">
        <f aca="false">IF(P535&gt;=setExc,"Excellent",IF(P535&gt;=setGood,"Good",IF(P535&gt;=setAvg,"Average","Poor")))</f>
        <v>Good</v>
      </c>
    </row>
    <row r="536" customFormat="false" ht="15" hidden="false" customHeight="false" outlineLevel="0" collapsed="false">
      <c r="A536" s="41" t="s">
        <v>714</v>
      </c>
      <c r="B536" s="41" t="s">
        <v>178</v>
      </c>
      <c r="C536" s="41" t="s">
        <v>85</v>
      </c>
      <c r="D536" s="41" t="s">
        <v>105</v>
      </c>
      <c r="E536" s="41" t="s">
        <v>102</v>
      </c>
      <c r="F536" s="41" t="s">
        <v>80</v>
      </c>
      <c r="G536" s="42" t="n">
        <v>28.32</v>
      </c>
      <c r="H536" s="41" t="n">
        <v>5</v>
      </c>
      <c r="I536" s="42" t="n">
        <v>7.08</v>
      </c>
      <c r="J536" s="42" t="n">
        <v>148.68</v>
      </c>
      <c r="K536" s="43" t="n">
        <v>43535</v>
      </c>
      <c r="L536" s="44" t="n">
        <v>0.561111111111111</v>
      </c>
      <c r="M536" s="41" t="s">
        <v>98</v>
      </c>
      <c r="N536" s="42" t="n">
        <v>141.6</v>
      </c>
      <c r="O536" s="42" t="n">
        <v>7.08</v>
      </c>
      <c r="P536" s="45" t="n">
        <v>6.2</v>
      </c>
      <c r="Q536" s="41" t="str">
        <f aca="false">CHOOSE(MONTH(K536),"Jan","Feb","Mar","Apr","May","Jun","Jul","Aug","Sep","Oct","Nov","Dec")</f>
        <v>Mar</v>
      </c>
      <c r="R536" s="41" t="n">
        <f aca="false">INT((K536-setMinDate)/7)+1</f>
        <v>10</v>
      </c>
      <c r="S536" s="41" t="n">
        <f aca="false">HOUR(L536)</f>
        <v>13</v>
      </c>
      <c r="T536" s="41" t="str">
        <f aca="false">IF(S536&lt;setMorningEnd,"Morning",IF(S536&lt;setAfternoonEnd,"Afternoon","Evening"))</f>
        <v>Afternoon</v>
      </c>
      <c r="U536" s="41" t="str">
        <f aca="false">IF(J536&gt;=setLarge,"Large",IF(J536&gt;=setMedium,"Medium","Small"))</f>
        <v>Small</v>
      </c>
      <c r="V536" s="41" t="str">
        <f aca="false">IF(P536&gt;=setExc,"Excellent",IF(P536&gt;=setGood,"Good",IF(P536&gt;=setAvg,"Average","Poor")))</f>
        <v>Average</v>
      </c>
    </row>
    <row r="537" customFormat="false" ht="15" hidden="false" customHeight="false" outlineLevel="0" collapsed="false">
      <c r="A537" s="41" t="s">
        <v>715</v>
      </c>
      <c r="B537" s="41" t="s">
        <v>180</v>
      </c>
      <c r="C537" s="41" t="s">
        <v>87</v>
      </c>
      <c r="D537" s="41" t="s">
        <v>105</v>
      </c>
      <c r="E537" s="41" t="s">
        <v>103</v>
      </c>
      <c r="F537" s="41" t="s">
        <v>80</v>
      </c>
      <c r="G537" s="42" t="n">
        <v>16.67</v>
      </c>
      <c r="H537" s="41" t="n">
        <v>7</v>
      </c>
      <c r="I537" s="42" t="n">
        <v>5.8345</v>
      </c>
      <c r="J537" s="42" t="n">
        <v>122.5245</v>
      </c>
      <c r="K537" s="43" t="n">
        <v>43503</v>
      </c>
      <c r="L537" s="44" t="n">
        <v>0.483333333333333</v>
      </c>
      <c r="M537" s="41" t="s">
        <v>98</v>
      </c>
      <c r="N537" s="42" t="n">
        <v>116.69</v>
      </c>
      <c r="O537" s="42" t="n">
        <v>5.8345</v>
      </c>
      <c r="P537" s="45" t="n">
        <v>7.4</v>
      </c>
      <c r="Q537" s="41" t="str">
        <f aca="false">CHOOSE(MONTH(K537),"Jan","Feb","Mar","Apr","May","Jun","Jul","Aug","Sep","Oct","Nov","Dec")</f>
        <v>Feb</v>
      </c>
      <c r="R537" s="41" t="n">
        <f aca="false">INT((K537-setMinDate)/7)+1</f>
        <v>6</v>
      </c>
      <c r="S537" s="41" t="n">
        <f aca="false">HOUR(L537)</f>
        <v>11</v>
      </c>
      <c r="T537" s="41" t="str">
        <f aca="false">IF(S537&lt;setMorningEnd,"Morning",IF(S537&lt;setAfternoonEnd,"Afternoon","Evening"))</f>
        <v>Morning</v>
      </c>
      <c r="U537" s="41" t="str">
        <f aca="false">IF(J537&gt;=setLarge,"Large",IF(J537&gt;=setMedium,"Medium","Small"))</f>
        <v>Small</v>
      </c>
      <c r="V537" s="41" t="str">
        <f aca="false">IF(P537&gt;=setExc,"Excellent",IF(P537&gt;=setGood,"Good",IF(P537&gt;=setAvg,"Average","Poor")))</f>
        <v>Good</v>
      </c>
    </row>
    <row r="538" customFormat="false" ht="15" hidden="false" customHeight="false" outlineLevel="0" collapsed="false">
      <c r="A538" s="41" t="s">
        <v>716</v>
      </c>
      <c r="B538" s="41" t="s">
        <v>189</v>
      </c>
      <c r="C538" s="41" t="s">
        <v>86</v>
      </c>
      <c r="D538" s="41" t="s">
        <v>104</v>
      </c>
      <c r="E538" s="41" t="s">
        <v>102</v>
      </c>
      <c r="F538" s="41" t="s">
        <v>79</v>
      </c>
      <c r="G538" s="42" t="n">
        <v>73.96</v>
      </c>
      <c r="H538" s="41" t="n">
        <v>1</v>
      </c>
      <c r="I538" s="42" t="n">
        <v>3.698</v>
      </c>
      <c r="J538" s="42" t="n">
        <v>77.658</v>
      </c>
      <c r="K538" s="43" t="n">
        <v>43470</v>
      </c>
      <c r="L538" s="44" t="n">
        <v>0.480555555555556</v>
      </c>
      <c r="M538" s="41" t="s">
        <v>99</v>
      </c>
      <c r="N538" s="42" t="n">
        <v>73.96</v>
      </c>
      <c r="O538" s="42" t="n">
        <v>3.698</v>
      </c>
      <c r="P538" s="45" t="n">
        <v>5</v>
      </c>
      <c r="Q538" s="41" t="str">
        <f aca="false">CHOOSE(MONTH(K538),"Jan","Feb","Mar","Apr","May","Jun","Jul","Aug","Sep","Oct","Nov","Dec")</f>
        <v>Jan</v>
      </c>
      <c r="R538" s="41" t="n">
        <f aca="false">INT((K538-setMinDate)/7)+1</f>
        <v>1</v>
      </c>
      <c r="S538" s="41" t="n">
        <f aca="false">HOUR(L538)</f>
        <v>11</v>
      </c>
      <c r="T538" s="41" t="str">
        <f aca="false">IF(S538&lt;setMorningEnd,"Morning",IF(S538&lt;setAfternoonEnd,"Afternoon","Evening"))</f>
        <v>Morning</v>
      </c>
      <c r="U538" s="41" t="str">
        <f aca="false">IF(J538&gt;=setLarge,"Large",IF(J538&gt;=setMedium,"Medium","Small"))</f>
        <v>Small</v>
      </c>
      <c r="V538" s="41" t="str">
        <f aca="false">IF(P538&gt;=setExc,"Excellent",IF(P538&gt;=setGood,"Good",IF(P538&gt;=setAvg,"Average","Poor")))</f>
        <v>Average</v>
      </c>
    </row>
    <row r="539" customFormat="false" ht="15" hidden="false" customHeight="false" outlineLevel="0" collapsed="false">
      <c r="A539" s="41" t="s">
        <v>717</v>
      </c>
      <c r="B539" s="41" t="s">
        <v>178</v>
      </c>
      <c r="C539" s="41" t="s">
        <v>85</v>
      </c>
      <c r="D539" s="41" t="s">
        <v>105</v>
      </c>
      <c r="E539" s="41" t="s">
        <v>103</v>
      </c>
      <c r="F539" s="41" t="s">
        <v>80</v>
      </c>
      <c r="G539" s="42" t="n">
        <v>97.94</v>
      </c>
      <c r="H539" s="41" t="n">
        <v>1</v>
      </c>
      <c r="I539" s="42" t="n">
        <v>4.897</v>
      </c>
      <c r="J539" s="42" t="n">
        <v>102.837</v>
      </c>
      <c r="K539" s="43" t="n">
        <v>43531</v>
      </c>
      <c r="L539" s="44" t="n">
        <v>0.488888888888889</v>
      </c>
      <c r="M539" s="41" t="s">
        <v>98</v>
      </c>
      <c r="N539" s="42" t="n">
        <v>97.94</v>
      </c>
      <c r="O539" s="42" t="n">
        <v>4.897</v>
      </c>
      <c r="P539" s="45" t="n">
        <v>6.9</v>
      </c>
      <c r="Q539" s="41" t="str">
        <f aca="false">CHOOSE(MONTH(K539),"Jan","Feb","Mar","Apr","May","Jun","Jul","Aug","Sep","Oct","Nov","Dec")</f>
        <v>Mar</v>
      </c>
      <c r="R539" s="41" t="n">
        <f aca="false">INT((K539-setMinDate)/7)+1</f>
        <v>10</v>
      </c>
      <c r="S539" s="41" t="n">
        <f aca="false">HOUR(L539)</f>
        <v>11</v>
      </c>
      <c r="T539" s="41" t="str">
        <f aca="false">IF(S539&lt;setMorningEnd,"Morning",IF(S539&lt;setAfternoonEnd,"Afternoon","Evening"))</f>
        <v>Morning</v>
      </c>
      <c r="U539" s="41" t="str">
        <f aca="false">IF(J539&gt;=setLarge,"Large",IF(J539&gt;=setMedium,"Medium","Small"))</f>
        <v>Small</v>
      </c>
      <c r="V539" s="41" t="str">
        <f aca="false">IF(P539&gt;=setExc,"Excellent",IF(P539&gt;=setGood,"Good",IF(P539&gt;=setAvg,"Average","Poor")))</f>
        <v>Average</v>
      </c>
    </row>
    <row r="540" customFormat="false" ht="15" hidden="false" customHeight="false" outlineLevel="0" collapsed="false">
      <c r="A540" s="41" t="s">
        <v>718</v>
      </c>
      <c r="B540" s="41" t="s">
        <v>178</v>
      </c>
      <c r="C540" s="41" t="s">
        <v>85</v>
      </c>
      <c r="D540" s="41" t="s">
        <v>105</v>
      </c>
      <c r="E540" s="41" t="s">
        <v>102</v>
      </c>
      <c r="F540" s="41" t="s">
        <v>79</v>
      </c>
      <c r="G540" s="42" t="n">
        <v>73.05</v>
      </c>
      <c r="H540" s="41" t="n">
        <v>4</v>
      </c>
      <c r="I540" s="42" t="n">
        <v>14.61</v>
      </c>
      <c r="J540" s="42" t="n">
        <v>306.81</v>
      </c>
      <c r="K540" s="43" t="n">
        <v>43521</v>
      </c>
      <c r="L540" s="44" t="n">
        <v>0.719444444444444</v>
      </c>
      <c r="M540" s="41" t="s">
        <v>99</v>
      </c>
      <c r="N540" s="42" t="n">
        <v>292.2</v>
      </c>
      <c r="O540" s="42" t="n">
        <v>14.61</v>
      </c>
      <c r="P540" s="45" t="n">
        <v>4.9</v>
      </c>
      <c r="Q540" s="41" t="str">
        <f aca="false">CHOOSE(MONTH(K540),"Jan","Feb","Mar","Apr","May","Jun","Jul","Aug","Sep","Oct","Nov","Dec")</f>
        <v>Feb</v>
      </c>
      <c r="R540" s="41" t="n">
        <f aca="false">INT((K540-setMinDate)/7)+1</f>
        <v>8</v>
      </c>
      <c r="S540" s="41" t="n">
        <f aca="false">HOUR(L540)</f>
        <v>17</v>
      </c>
      <c r="T540" s="41" t="str">
        <f aca="false">IF(S540&lt;setMorningEnd,"Morning",IF(S540&lt;setAfternoonEnd,"Afternoon","Evening"))</f>
        <v>Evening</v>
      </c>
      <c r="U540" s="41" t="str">
        <f aca="false">IF(J540&gt;=setLarge,"Large",IF(J540&gt;=setMedium,"Medium","Small"))</f>
        <v>Medium</v>
      </c>
      <c r="V540" s="41" t="str">
        <f aca="false">IF(P540&gt;=setExc,"Excellent",IF(P540&gt;=setGood,"Good",IF(P540&gt;=setAvg,"Average","Poor")))</f>
        <v>Poor</v>
      </c>
    </row>
    <row r="541" customFormat="false" ht="15" hidden="false" customHeight="false" outlineLevel="0" collapsed="false">
      <c r="A541" s="41" t="s">
        <v>719</v>
      </c>
      <c r="B541" s="41" t="s">
        <v>180</v>
      </c>
      <c r="C541" s="41" t="s">
        <v>87</v>
      </c>
      <c r="D541" s="41" t="s">
        <v>104</v>
      </c>
      <c r="E541" s="41" t="s">
        <v>102</v>
      </c>
      <c r="F541" s="41" t="s">
        <v>76</v>
      </c>
      <c r="G541" s="42" t="n">
        <v>87.48</v>
      </c>
      <c r="H541" s="41" t="n">
        <v>6</v>
      </c>
      <c r="I541" s="42" t="n">
        <v>26.244</v>
      </c>
      <c r="J541" s="42" t="n">
        <v>551.124</v>
      </c>
      <c r="K541" s="43" t="n">
        <v>43497</v>
      </c>
      <c r="L541" s="44" t="n">
        <v>0.779861111111111</v>
      </c>
      <c r="M541" s="41" t="s">
        <v>98</v>
      </c>
      <c r="N541" s="42" t="n">
        <v>524.88</v>
      </c>
      <c r="O541" s="42" t="n">
        <v>26.244</v>
      </c>
      <c r="P541" s="45" t="n">
        <v>5.1</v>
      </c>
      <c r="Q541" s="41" t="str">
        <f aca="false">CHOOSE(MONTH(K541),"Jan","Feb","Mar","Apr","May","Jun","Jul","Aug","Sep","Oct","Nov","Dec")</f>
        <v>Feb</v>
      </c>
      <c r="R541" s="41" t="n">
        <f aca="false">INT((K541-setMinDate)/7)+1</f>
        <v>5</v>
      </c>
      <c r="S541" s="41" t="n">
        <f aca="false">HOUR(L541)</f>
        <v>18</v>
      </c>
      <c r="T541" s="41" t="str">
        <f aca="false">IF(S541&lt;setMorningEnd,"Morning",IF(S541&lt;setAfternoonEnd,"Afternoon","Evening"))</f>
        <v>Evening</v>
      </c>
      <c r="U541" s="41" t="str">
        <f aca="false">IF(J541&gt;=setLarge,"Large",IF(J541&gt;=setMedium,"Medium","Small"))</f>
        <v>Medium</v>
      </c>
      <c r="V541" s="41" t="str">
        <f aca="false">IF(P541&gt;=setExc,"Excellent",IF(P541&gt;=setGood,"Good",IF(P541&gt;=setAvg,"Average","Poor")))</f>
        <v>Average</v>
      </c>
    </row>
    <row r="542" customFormat="false" ht="15" hidden="false" customHeight="false" outlineLevel="0" collapsed="false">
      <c r="A542" s="41" t="s">
        <v>720</v>
      </c>
      <c r="B542" s="41" t="s">
        <v>178</v>
      </c>
      <c r="C542" s="41" t="s">
        <v>85</v>
      </c>
      <c r="D542" s="41" t="s">
        <v>105</v>
      </c>
      <c r="E542" s="41" t="s">
        <v>103</v>
      </c>
      <c r="F542" s="41" t="s">
        <v>80</v>
      </c>
      <c r="G542" s="42" t="n">
        <v>30.68</v>
      </c>
      <c r="H542" s="41" t="n">
        <v>3</v>
      </c>
      <c r="I542" s="42" t="n">
        <v>4.602</v>
      </c>
      <c r="J542" s="42" t="n">
        <v>96.642</v>
      </c>
      <c r="K542" s="43" t="n">
        <v>43487</v>
      </c>
      <c r="L542" s="44" t="n">
        <v>0.458333333333333</v>
      </c>
      <c r="M542" s="41" t="s">
        <v>98</v>
      </c>
      <c r="N542" s="42" t="n">
        <v>92.04</v>
      </c>
      <c r="O542" s="42" t="n">
        <v>4.602</v>
      </c>
      <c r="P542" s="45" t="n">
        <v>9.1</v>
      </c>
      <c r="Q542" s="41" t="str">
        <f aca="false">CHOOSE(MONTH(K542),"Jan","Feb","Mar","Apr","May","Jun","Jul","Aug","Sep","Oct","Nov","Dec")</f>
        <v>Jan</v>
      </c>
      <c r="R542" s="41" t="n">
        <f aca="false">INT((K542-setMinDate)/7)+1</f>
        <v>4</v>
      </c>
      <c r="S542" s="41" t="n">
        <f aca="false">HOUR(L542)</f>
        <v>11</v>
      </c>
      <c r="T542" s="41" t="str">
        <f aca="false">IF(S542&lt;setMorningEnd,"Morning",IF(S542&lt;setAfternoonEnd,"Afternoon","Evening"))</f>
        <v>Morning</v>
      </c>
      <c r="U542" s="41" t="str">
        <f aca="false">IF(J542&gt;=setLarge,"Large",IF(J542&gt;=setMedium,"Medium","Small"))</f>
        <v>Small</v>
      </c>
      <c r="V542" s="41" t="str">
        <f aca="false">IF(P542&gt;=setExc,"Excellent",IF(P542&gt;=setGood,"Good",IF(P542&gt;=setAvg,"Average","Poor")))</f>
        <v>Excellent</v>
      </c>
    </row>
    <row r="543" customFormat="false" ht="15" hidden="false" customHeight="false" outlineLevel="0" collapsed="false">
      <c r="A543" s="41" t="s">
        <v>721</v>
      </c>
      <c r="B543" s="41" t="s">
        <v>180</v>
      </c>
      <c r="C543" s="41" t="s">
        <v>87</v>
      </c>
      <c r="D543" s="41" t="s">
        <v>104</v>
      </c>
      <c r="E543" s="41" t="s">
        <v>103</v>
      </c>
      <c r="F543" s="41" t="s">
        <v>81</v>
      </c>
      <c r="G543" s="42" t="n">
        <v>75.88</v>
      </c>
      <c r="H543" s="41" t="n">
        <v>1</v>
      </c>
      <c r="I543" s="42" t="n">
        <v>3.794</v>
      </c>
      <c r="J543" s="42" t="n">
        <v>79.674</v>
      </c>
      <c r="K543" s="43" t="n">
        <v>43468</v>
      </c>
      <c r="L543" s="44" t="n">
        <v>0.4375</v>
      </c>
      <c r="M543" s="41" t="s">
        <v>99</v>
      </c>
      <c r="N543" s="42" t="n">
        <v>75.88</v>
      </c>
      <c r="O543" s="42" t="n">
        <v>3.794</v>
      </c>
      <c r="P543" s="45" t="n">
        <v>7.1</v>
      </c>
      <c r="Q543" s="41" t="str">
        <f aca="false">CHOOSE(MONTH(K543),"Jan","Feb","Mar","Apr","May","Jun","Jul","Aug","Sep","Oct","Nov","Dec")</f>
        <v>Jan</v>
      </c>
      <c r="R543" s="41" t="n">
        <f aca="false">INT((K543-setMinDate)/7)+1</f>
        <v>1</v>
      </c>
      <c r="S543" s="41" t="n">
        <f aca="false">HOUR(L543)</f>
        <v>10</v>
      </c>
      <c r="T543" s="41" t="str">
        <f aca="false">IF(S543&lt;setMorningEnd,"Morning",IF(S543&lt;setAfternoonEnd,"Afternoon","Evening"))</f>
        <v>Morning</v>
      </c>
      <c r="U543" s="41" t="str">
        <f aca="false">IF(J543&gt;=setLarge,"Large",IF(J543&gt;=setMedium,"Medium","Small"))</f>
        <v>Small</v>
      </c>
      <c r="V543" s="41" t="str">
        <f aca="false">IF(P543&gt;=setExc,"Excellent",IF(P543&gt;=setGood,"Good",IF(P543&gt;=setAvg,"Average","Poor")))</f>
        <v>Good</v>
      </c>
    </row>
    <row r="544" customFormat="false" ht="15" hidden="false" customHeight="false" outlineLevel="0" collapsed="false">
      <c r="A544" s="41" t="s">
        <v>722</v>
      </c>
      <c r="B544" s="41" t="s">
        <v>189</v>
      </c>
      <c r="C544" s="41" t="s">
        <v>86</v>
      </c>
      <c r="D544" s="41" t="s">
        <v>104</v>
      </c>
      <c r="E544" s="41" t="s">
        <v>102</v>
      </c>
      <c r="F544" s="41" t="s">
        <v>77</v>
      </c>
      <c r="G544" s="42" t="n">
        <v>20.18</v>
      </c>
      <c r="H544" s="41" t="n">
        <v>4</v>
      </c>
      <c r="I544" s="42" t="n">
        <v>4.036</v>
      </c>
      <c r="J544" s="42" t="n">
        <v>84.756</v>
      </c>
      <c r="K544" s="43" t="n">
        <v>43509</v>
      </c>
      <c r="L544" s="44" t="n">
        <v>0.509722222222222</v>
      </c>
      <c r="M544" s="41" t="s">
        <v>99</v>
      </c>
      <c r="N544" s="42" t="n">
        <v>80.72</v>
      </c>
      <c r="O544" s="42" t="n">
        <v>4.036</v>
      </c>
      <c r="P544" s="45" t="n">
        <v>5</v>
      </c>
      <c r="Q544" s="41" t="str">
        <f aca="false">CHOOSE(MONTH(K544),"Jan","Feb","Mar","Apr","May","Jun","Jul","Aug","Sep","Oct","Nov","Dec")</f>
        <v>Feb</v>
      </c>
      <c r="R544" s="41" t="n">
        <f aca="false">INT((K544-setMinDate)/7)+1</f>
        <v>7</v>
      </c>
      <c r="S544" s="41" t="n">
        <f aca="false">HOUR(L544)</f>
        <v>12</v>
      </c>
      <c r="T544" s="41" t="str">
        <f aca="false">IF(S544&lt;setMorningEnd,"Morning",IF(S544&lt;setAfternoonEnd,"Afternoon","Evening"))</f>
        <v>Afternoon</v>
      </c>
      <c r="U544" s="41" t="str">
        <f aca="false">IF(J544&gt;=setLarge,"Large",IF(J544&gt;=setMedium,"Medium","Small"))</f>
        <v>Small</v>
      </c>
      <c r="V544" s="41" t="str">
        <f aca="false">IF(P544&gt;=setExc,"Excellent",IF(P544&gt;=setGood,"Good",IF(P544&gt;=setAvg,"Average","Poor")))</f>
        <v>Average</v>
      </c>
    </row>
    <row r="545" customFormat="false" ht="15" hidden="false" customHeight="false" outlineLevel="0" collapsed="false">
      <c r="A545" s="41" t="s">
        <v>723</v>
      </c>
      <c r="B545" s="41" t="s">
        <v>180</v>
      </c>
      <c r="C545" s="41" t="s">
        <v>87</v>
      </c>
      <c r="D545" s="41" t="s">
        <v>104</v>
      </c>
      <c r="E545" s="41" t="s">
        <v>103</v>
      </c>
      <c r="F545" s="41" t="s">
        <v>78</v>
      </c>
      <c r="G545" s="42" t="n">
        <v>18.77</v>
      </c>
      <c r="H545" s="41" t="n">
        <v>6</v>
      </c>
      <c r="I545" s="42" t="n">
        <v>5.631</v>
      </c>
      <c r="J545" s="42" t="n">
        <v>118.251</v>
      </c>
      <c r="K545" s="43" t="n">
        <v>43493</v>
      </c>
      <c r="L545" s="44" t="n">
        <v>0.696527777777778</v>
      </c>
      <c r="M545" s="41" t="s">
        <v>99</v>
      </c>
      <c r="N545" s="42" t="n">
        <v>112.62</v>
      </c>
      <c r="O545" s="42" t="n">
        <v>5.631</v>
      </c>
      <c r="P545" s="45" t="n">
        <v>5.5</v>
      </c>
      <c r="Q545" s="41" t="str">
        <f aca="false">CHOOSE(MONTH(K545),"Jan","Feb","Mar","Apr","May","Jun","Jul","Aug","Sep","Oct","Nov","Dec")</f>
        <v>Jan</v>
      </c>
      <c r="R545" s="41" t="n">
        <f aca="false">INT((K545-setMinDate)/7)+1</f>
        <v>4</v>
      </c>
      <c r="S545" s="41" t="n">
        <f aca="false">HOUR(L545)</f>
        <v>16</v>
      </c>
      <c r="T545" s="41" t="str">
        <f aca="false">IF(S545&lt;setMorningEnd,"Morning",IF(S545&lt;setAfternoonEnd,"Afternoon","Evening"))</f>
        <v>Afternoon</v>
      </c>
      <c r="U545" s="41" t="str">
        <f aca="false">IF(J545&gt;=setLarge,"Large",IF(J545&gt;=setMedium,"Medium","Small"))</f>
        <v>Small</v>
      </c>
      <c r="V545" s="41" t="str">
        <f aca="false">IF(P545&gt;=setExc,"Excellent",IF(P545&gt;=setGood,"Good",IF(P545&gt;=setAvg,"Average","Poor")))</f>
        <v>Average</v>
      </c>
    </row>
    <row r="546" customFormat="false" ht="15" hidden="false" customHeight="false" outlineLevel="0" collapsed="false">
      <c r="A546" s="41" t="s">
        <v>724</v>
      </c>
      <c r="B546" s="41" t="s">
        <v>189</v>
      </c>
      <c r="C546" s="41" t="s">
        <v>86</v>
      </c>
      <c r="D546" s="41" t="s">
        <v>105</v>
      </c>
      <c r="E546" s="41" t="s">
        <v>102</v>
      </c>
      <c r="F546" s="41" t="s">
        <v>76</v>
      </c>
      <c r="G546" s="42" t="n">
        <v>71.2</v>
      </c>
      <c r="H546" s="41" t="n">
        <v>1</v>
      </c>
      <c r="I546" s="42" t="n">
        <v>3.56</v>
      </c>
      <c r="J546" s="42" t="n">
        <v>74.76</v>
      </c>
      <c r="K546" s="43" t="n">
        <v>43470</v>
      </c>
      <c r="L546" s="44" t="n">
        <v>0.861111111111111</v>
      </c>
      <c r="M546" s="41" t="s">
        <v>99</v>
      </c>
      <c r="N546" s="42" t="n">
        <v>71.2</v>
      </c>
      <c r="O546" s="42" t="n">
        <v>3.56</v>
      </c>
      <c r="P546" s="45" t="n">
        <v>9.2</v>
      </c>
      <c r="Q546" s="41" t="str">
        <f aca="false">CHOOSE(MONTH(K546),"Jan","Feb","Mar","Apr","May","Jun","Jul","Aug","Sep","Oct","Nov","Dec")</f>
        <v>Jan</v>
      </c>
      <c r="R546" s="41" t="n">
        <f aca="false">INT((K546-setMinDate)/7)+1</f>
        <v>1</v>
      </c>
      <c r="S546" s="41" t="n">
        <f aca="false">HOUR(L546)</f>
        <v>20</v>
      </c>
      <c r="T546" s="41" t="str">
        <f aca="false">IF(S546&lt;setMorningEnd,"Morning",IF(S546&lt;setAfternoonEnd,"Afternoon","Evening"))</f>
        <v>Evening</v>
      </c>
      <c r="U546" s="41" t="str">
        <f aca="false">IF(J546&gt;=setLarge,"Large",IF(J546&gt;=setMedium,"Medium","Small"))</f>
        <v>Small</v>
      </c>
      <c r="V546" s="41" t="str">
        <f aca="false">IF(P546&gt;=setExc,"Excellent",IF(P546&gt;=setGood,"Good",IF(P546&gt;=setAvg,"Average","Poor")))</f>
        <v>Excellent</v>
      </c>
    </row>
    <row r="547" customFormat="false" ht="15" hidden="false" customHeight="false" outlineLevel="0" collapsed="false">
      <c r="A547" s="41" t="s">
        <v>725</v>
      </c>
      <c r="B547" s="41" t="s">
        <v>189</v>
      </c>
      <c r="C547" s="41" t="s">
        <v>86</v>
      </c>
      <c r="D547" s="41" t="s">
        <v>104</v>
      </c>
      <c r="E547" s="41" t="s">
        <v>103</v>
      </c>
      <c r="F547" s="41" t="s">
        <v>80</v>
      </c>
      <c r="G547" s="42" t="n">
        <v>38.81</v>
      </c>
      <c r="H547" s="41" t="n">
        <v>4</v>
      </c>
      <c r="I547" s="42" t="n">
        <v>7.762</v>
      </c>
      <c r="J547" s="42" t="n">
        <v>163.002</v>
      </c>
      <c r="K547" s="43" t="n">
        <v>43543</v>
      </c>
      <c r="L547" s="44" t="n">
        <v>0.569444444444444</v>
      </c>
      <c r="M547" s="41" t="s">
        <v>98</v>
      </c>
      <c r="N547" s="42" t="n">
        <v>155.24</v>
      </c>
      <c r="O547" s="42" t="n">
        <v>7.762</v>
      </c>
      <c r="P547" s="45" t="n">
        <v>4.9</v>
      </c>
      <c r="Q547" s="41" t="str">
        <f aca="false">CHOOSE(MONTH(K547),"Jan","Feb","Mar","Apr","May","Jun","Jul","Aug","Sep","Oct","Nov","Dec")</f>
        <v>Mar</v>
      </c>
      <c r="R547" s="41" t="n">
        <f aca="false">INT((K547-setMinDate)/7)+1</f>
        <v>12</v>
      </c>
      <c r="S547" s="41" t="n">
        <f aca="false">HOUR(L547)</f>
        <v>13</v>
      </c>
      <c r="T547" s="41" t="str">
        <f aca="false">IF(S547&lt;setMorningEnd,"Morning",IF(S547&lt;setAfternoonEnd,"Afternoon","Evening"))</f>
        <v>Afternoon</v>
      </c>
      <c r="U547" s="41" t="str">
        <f aca="false">IF(J547&gt;=setLarge,"Large",IF(J547&gt;=setMedium,"Medium","Small"))</f>
        <v>Small</v>
      </c>
      <c r="V547" s="41" t="str">
        <f aca="false">IF(P547&gt;=setExc,"Excellent",IF(P547&gt;=setGood,"Good",IF(P547&gt;=setAvg,"Average","Poor")))</f>
        <v>Poor</v>
      </c>
    </row>
    <row r="548" customFormat="false" ht="15" hidden="false" customHeight="false" outlineLevel="0" collapsed="false">
      <c r="A548" s="41" t="s">
        <v>726</v>
      </c>
      <c r="B548" s="41" t="s">
        <v>178</v>
      </c>
      <c r="C548" s="41" t="s">
        <v>85</v>
      </c>
      <c r="D548" s="41" t="s">
        <v>105</v>
      </c>
      <c r="E548" s="41" t="s">
        <v>102</v>
      </c>
      <c r="F548" s="41" t="s">
        <v>79</v>
      </c>
      <c r="G548" s="42" t="n">
        <v>29.42</v>
      </c>
      <c r="H548" s="41" t="n">
        <v>10</v>
      </c>
      <c r="I548" s="42" t="n">
        <v>14.71</v>
      </c>
      <c r="J548" s="42" t="n">
        <v>308.91</v>
      </c>
      <c r="K548" s="43" t="n">
        <v>43477</v>
      </c>
      <c r="L548" s="44" t="n">
        <v>0.682638888888889</v>
      </c>
      <c r="M548" s="41" t="s">
        <v>98</v>
      </c>
      <c r="N548" s="42" t="n">
        <v>294.2</v>
      </c>
      <c r="O548" s="42" t="n">
        <v>14.71</v>
      </c>
      <c r="P548" s="45" t="n">
        <v>8.9</v>
      </c>
      <c r="Q548" s="41" t="str">
        <f aca="false">CHOOSE(MONTH(K548),"Jan","Feb","Mar","Apr","May","Jun","Jul","Aug","Sep","Oct","Nov","Dec")</f>
        <v>Jan</v>
      </c>
      <c r="R548" s="41" t="n">
        <f aca="false">INT((K548-setMinDate)/7)+1</f>
        <v>2</v>
      </c>
      <c r="S548" s="41" t="n">
        <f aca="false">HOUR(L548)</f>
        <v>16</v>
      </c>
      <c r="T548" s="41" t="str">
        <f aca="false">IF(S548&lt;setMorningEnd,"Morning",IF(S548&lt;setAfternoonEnd,"Afternoon","Evening"))</f>
        <v>Afternoon</v>
      </c>
      <c r="U548" s="41" t="str">
        <f aca="false">IF(J548&gt;=setLarge,"Large",IF(J548&gt;=setMedium,"Medium","Small"))</f>
        <v>Medium</v>
      </c>
      <c r="V548" s="41" t="str">
        <f aca="false">IF(P548&gt;=setExc,"Excellent",IF(P548&gt;=setGood,"Good",IF(P548&gt;=setAvg,"Average","Poor")))</f>
        <v>Good</v>
      </c>
    </row>
    <row r="549" customFormat="false" ht="15" hidden="false" customHeight="false" outlineLevel="0" collapsed="false">
      <c r="A549" s="41" t="s">
        <v>727</v>
      </c>
      <c r="B549" s="41" t="s">
        <v>178</v>
      </c>
      <c r="C549" s="41" t="s">
        <v>85</v>
      </c>
      <c r="D549" s="41" t="s">
        <v>105</v>
      </c>
      <c r="E549" s="41" t="s">
        <v>103</v>
      </c>
      <c r="F549" s="41" t="s">
        <v>77</v>
      </c>
      <c r="G549" s="42" t="n">
        <v>60.95</v>
      </c>
      <c r="H549" s="41" t="n">
        <v>9</v>
      </c>
      <c r="I549" s="42" t="n">
        <v>27.4275</v>
      </c>
      <c r="J549" s="42" t="n">
        <v>575.9775</v>
      </c>
      <c r="K549" s="43" t="n">
        <v>43472</v>
      </c>
      <c r="L549" s="44" t="n">
        <v>0.505555555555556</v>
      </c>
      <c r="M549" s="41" t="s">
        <v>99</v>
      </c>
      <c r="N549" s="42" t="n">
        <v>548.55</v>
      </c>
      <c r="O549" s="42" t="n">
        <v>27.4275</v>
      </c>
      <c r="P549" s="45" t="n">
        <v>6</v>
      </c>
      <c r="Q549" s="41" t="str">
        <f aca="false">CHOOSE(MONTH(K549),"Jan","Feb","Mar","Apr","May","Jun","Jul","Aug","Sep","Oct","Nov","Dec")</f>
        <v>Jan</v>
      </c>
      <c r="R549" s="41" t="n">
        <f aca="false">INT((K549-setMinDate)/7)+1</f>
        <v>1</v>
      </c>
      <c r="S549" s="41" t="n">
        <f aca="false">HOUR(L549)</f>
        <v>12</v>
      </c>
      <c r="T549" s="41" t="str">
        <f aca="false">IF(S549&lt;setMorningEnd,"Morning",IF(S549&lt;setAfternoonEnd,"Afternoon","Evening"))</f>
        <v>Afternoon</v>
      </c>
      <c r="U549" s="41" t="str">
        <f aca="false">IF(J549&gt;=setLarge,"Large",IF(J549&gt;=setMedium,"Medium","Small"))</f>
        <v>Medium</v>
      </c>
      <c r="V549" s="41" t="str">
        <f aca="false">IF(P549&gt;=setExc,"Excellent",IF(P549&gt;=setGood,"Good",IF(P549&gt;=setAvg,"Average","Poor")))</f>
        <v>Average</v>
      </c>
    </row>
    <row r="550" customFormat="false" ht="15" hidden="false" customHeight="false" outlineLevel="0" collapsed="false">
      <c r="A550" s="41" t="s">
        <v>728</v>
      </c>
      <c r="B550" s="41" t="s">
        <v>189</v>
      </c>
      <c r="C550" s="41" t="s">
        <v>86</v>
      </c>
      <c r="D550" s="41" t="s">
        <v>105</v>
      </c>
      <c r="E550" s="41" t="s">
        <v>102</v>
      </c>
      <c r="F550" s="41" t="s">
        <v>77</v>
      </c>
      <c r="G550" s="42" t="n">
        <v>51.54</v>
      </c>
      <c r="H550" s="41" t="n">
        <v>5</v>
      </c>
      <c r="I550" s="42" t="n">
        <v>12.885</v>
      </c>
      <c r="J550" s="42" t="n">
        <v>270.585</v>
      </c>
      <c r="K550" s="43" t="n">
        <v>43491</v>
      </c>
      <c r="L550" s="44" t="n">
        <v>0.739583333333333</v>
      </c>
      <c r="M550" s="41" t="s">
        <v>97</v>
      </c>
      <c r="N550" s="42" t="n">
        <v>257.7</v>
      </c>
      <c r="O550" s="42" t="n">
        <v>12.885</v>
      </c>
      <c r="P550" s="45" t="n">
        <v>4.2</v>
      </c>
      <c r="Q550" s="41" t="str">
        <f aca="false">CHOOSE(MONTH(K550),"Jan","Feb","Mar","Apr","May","Jun","Jul","Aug","Sep","Oct","Nov","Dec")</f>
        <v>Jan</v>
      </c>
      <c r="R550" s="41" t="n">
        <f aca="false">INT((K550-setMinDate)/7)+1</f>
        <v>4</v>
      </c>
      <c r="S550" s="41" t="n">
        <f aca="false">HOUR(L550)</f>
        <v>17</v>
      </c>
      <c r="T550" s="41" t="str">
        <f aca="false">IF(S550&lt;setMorningEnd,"Morning",IF(S550&lt;setAfternoonEnd,"Afternoon","Evening"))</f>
        <v>Evening</v>
      </c>
      <c r="U550" s="41" t="str">
        <f aca="false">IF(J550&gt;=setLarge,"Large",IF(J550&gt;=setMedium,"Medium","Small"))</f>
        <v>Medium</v>
      </c>
      <c r="V550" s="41" t="str">
        <f aca="false">IF(P550&gt;=setExc,"Excellent",IF(P550&gt;=setGood,"Good",IF(P550&gt;=setAvg,"Average","Poor")))</f>
        <v>Poor</v>
      </c>
    </row>
    <row r="551" customFormat="false" ht="15" hidden="false" customHeight="false" outlineLevel="0" collapsed="false">
      <c r="A551" s="41" t="s">
        <v>729</v>
      </c>
      <c r="B551" s="41" t="s">
        <v>178</v>
      </c>
      <c r="C551" s="41" t="s">
        <v>85</v>
      </c>
      <c r="D551" s="41" t="s">
        <v>105</v>
      </c>
      <c r="E551" s="41" t="s">
        <v>102</v>
      </c>
      <c r="F551" s="41" t="s">
        <v>78</v>
      </c>
      <c r="G551" s="42" t="n">
        <v>66.06</v>
      </c>
      <c r="H551" s="41" t="n">
        <v>6</v>
      </c>
      <c r="I551" s="42" t="n">
        <v>19.818</v>
      </c>
      <c r="J551" s="42" t="n">
        <v>416.178</v>
      </c>
      <c r="K551" s="43" t="n">
        <v>43488</v>
      </c>
      <c r="L551" s="44" t="n">
        <v>0.436111111111111</v>
      </c>
      <c r="M551" s="41" t="s">
        <v>97</v>
      </c>
      <c r="N551" s="42" t="n">
        <v>396.36</v>
      </c>
      <c r="O551" s="42" t="n">
        <v>19.818</v>
      </c>
      <c r="P551" s="45" t="n">
        <v>7.3</v>
      </c>
      <c r="Q551" s="41" t="str">
        <f aca="false">CHOOSE(MONTH(K551),"Jan","Feb","Mar","Apr","May","Jun","Jul","Aug","Sep","Oct","Nov","Dec")</f>
        <v>Jan</v>
      </c>
      <c r="R551" s="41" t="n">
        <f aca="false">INT((K551-setMinDate)/7)+1</f>
        <v>4</v>
      </c>
      <c r="S551" s="41" t="n">
        <f aca="false">HOUR(L551)</f>
        <v>10</v>
      </c>
      <c r="T551" s="41" t="str">
        <f aca="false">IF(S551&lt;setMorningEnd,"Morning",IF(S551&lt;setAfternoonEnd,"Afternoon","Evening"))</f>
        <v>Morning</v>
      </c>
      <c r="U551" s="41" t="str">
        <f aca="false">IF(J551&gt;=setLarge,"Large",IF(J551&gt;=setMedium,"Medium","Small"))</f>
        <v>Medium</v>
      </c>
      <c r="V551" s="41" t="str">
        <f aca="false">IF(P551&gt;=setExc,"Excellent",IF(P551&gt;=setGood,"Good",IF(P551&gt;=setAvg,"Average","Poor")))</f>
        <v>Good</v>
      </c>
    </row>
    <row r="552" customFormat="false" ht="15" hidden="false" customHeight="false" outlineLevel="0" collapsed="false">
      <c r="A552" s="41" t="s">
        <v>730</v>
      </c>
      <c r="B552" s="41" t="s">
        <v>189</v>
      </c>
      <c r="C552" s="41" t="s">
        <v>86</v>
      </c>
      <c r="D552" s="41" t="s">
        <v>105</v>
      </c>
      <c r="E552" s="41" t="s">
        <v>103</v>
      </c>
      <c r="F552" s="41" t="s">
        <v>79</v>
      </c>
      <c r="G552" s="42" t="n">
        <v>57.27</v>
      </c>
      <c r="H552" s="41" t="n">
        <v>3</v>
      </c>
      <c r="I552" s="42" t="n">
        <v>8.5905</v>
      </c>
      <c r="J552" s="42" t="n">
        <v>180.4005</v>
      </c>
      <c r="K552" s="43" t="n">
        <v>43505</v>
      </c>
      <c r="L552" s="44" t="n">
        <v>0.854861111111111</v>
      </c>
      <c r="M552" s="41" t="s">
        <v>98</v>
      </c>
      <c r="N552" s="42" t="n">
        <v>171.81</v>
      </c>
      <c r="O552" s="42" t="n">
        <v>8.5905</v>
      </c>
      <c r="P552" s="45" t="n">
        <v>6.5</v>
      </c>
      <c r="Q552" s="41" t="str">
        <f aca="false">CHOOSE(MONTH(K552),"Jan","Feb","Mar","Apr","May","Jun","Jul","Aug","Sep","Oct","Nov","Dec")</f>
        <v>Feb</v>
      </c>
      <c r="R552" s="41" t="n">
        <f aca="false">INT((K552-setMinDate)/7)+1</f>
        <v>6</v>
      </c>
      <c r="S552" s="41" t="n">
        <f aca="false">HOUR(L552)</f>
        <v>20</v>
      </c>
      <c r="T552" s="41" t="str">
        <f aca="false">IF(S552&lt;setMorningEnd,"Morning",IF(S552&lt;setAfternoonEnd,"Afternoon","Evening"))</f>
        <v>Evening</v>
      </c>
      <c r="U552" s="41" t="str">
        <f aca="false">IF(J552&gt;=setLarge,"Large",IF(J552&gt;=setMedium,"Medium","Small"))</f>
        <v>Small</v>
      </c>
      <c r="V552" s="41" t="str">
        <f aca="false">IF(P552&gt;=setExc,"Excellent",IF(P552&gt;=setGood,"Good",IF(P552&gt;=setAvg,"Average","Poor")))</f>
        <v>Average</v>
      </c>
    </row>
    <row r="553" customFormat="false" ht="15" hidden="false" customHeight="false" outlineLevel="0" collapsed="false">
      <c r="A553" s="41" t="s">
        <v>731</v>
      </c>
      <c r="B553" s="41" t="s">
        <v>189</v>
      </c>
      <c r="C553" s="41" t="s">
        <v>86</v>
      </c>
      <c r="D553" s="41" t="s">
        <v>105</v>
      </c>
      <c r="E553" s="41" t="s">
        <v>102</v>
      </c>
      <c r="F553" s="41" t="s">
        <v>79</v>
      </c>
      <c r="G553" s="42" t="n">
        <v>54.31</v>
      </c>
      <c r="H553" s="41" t="n">
        <v>9</v>
      </c>
      <c r="I553" s="42" t="n">
        <v>24.4395</v>
      </c>
      <c r="J553" s="42" t="n">
        <v>513.2295</v>
      </c>
      <c r="K553" s="43" t="n">
        <v>43518</v>
      </c>
      <c r="L553" s="44" t="n">
        <v>0.450694444444445</v>
      </c>
      <c r="M553" s="41" t="s">
        <v>97</v>
      </c>
      <c r="N553" s="42" t="n">
        <v>488.79</v>
      </c>
      <c r="O553" s="42" t="n">
        <v>24.4395</v>
      </c>
      <c r="P553" s="45" t="n">
        <v>8.9</v>
      </c>
      <c r="Q553" s="41" t="str">
        <f aca="false">CHOOSE(MONTH(K553),"Jan","Feb","Mar","Apr","May","Jun","Jul","Aug","Sep","Oct","Nov","Dec")</f>
        <v>Feb</v>
      </c>
      <c r="R553" s="41" t="n">
        <f aca="false">INT((K553-setMinDate)/7)+1</f>
        <v>8</v>
      </c>
      <c r="S553" s="41" t="n">
        <f aca="false">HOUR(L553)</f>
        <v>10</v>
      </c>
      <c r="T553" s="41" t="str">
        <f aca="false">IF(S553&lt;setMorningEnd,"Morning",IF(S553&lt;setAfternoonEnd,"Afternoon","Evening"))</f>
        <v>Morning</v>
      </c>
      <c r="U553" s="41" t="str">
        <f aca="false">IF(J553&gt;=setLarge,"Large",IF(J553&gt;=setMedium,"Medium","Small"))</f>
        <v>Medium</v>
      </c>
      <c r="V553" s="41" t="str">
        <f aca="false">IF(P553&gt;=setExc,"Excellent",IF(P553&gt;=setGood,"Good",IF(P553&gt;=setAvg,"Average","Poor")))</f>
        <v>Good</v>
      </c>
    </row>
    <row r="554" customFormat="false" ht="15" hidden="false" customHeight="false" outlineLevel="0" collapsed="false">
      <c r="A554" s="41" t="s">
        <v>732</v>
      </c>
      <c r="B554" s="41" t="s">
        <v>189</v>
      </c>
      <c r="C554" s="41" t="s">
        <v>86</v>
      </c>
      <c r="D554" s="41" t="s">
        <v>105</v>
      </c>
      <c r="E554" s="41" t="s">
        <v>102</v>
      </c>
      <c r="F554" s="41" t="s">
        <v>81</v>
      </c>
      <c r="G554" s="42" t="n">
        <v>58.24</v>
      </c>
      <c r="H554" s="41" t="n">
        <v>9</v>
      </c>
      <c r="I554" s="42" t="n">
        <v>26.208</v>
      </c>
      <c r="J554" s="42" t="n">
        <v>550.368</v>
      </c>
      <c r="K554" s="43" t="n">
        <v>43501</v>
      </c>
      <c r="L554" s="44" t="n">
        <v>0.523611111111111</v>
      </c>
      <c r="M554" s="41" t="s">
        <v>97</v>
      </c>
      <c r="N554" s="42" t="n">
        <v>524.16</v>
      </c>
      <c r="O554" s="42" t="n">
        <v>26.208</v>
      </c>
      <c r="P554" s="45" t="n">
        <v>9.7</v>
      </c>
      <c r="Q554" s="41" t="str">
        <f aca="false">CHOOSE(MONTH(K554),"Jan","Feb","Mar","Apr","May","Jun","Jul","Aug","Sep","Oct","Nov","Dec")</f>
        <v>Feb</v>
      </c>
      <c r="R554" s="41" t="n">
        <f aca="false">INT((K554-setMinDate)/7)+1</f>
        <v>6</v>
      </c>
      <c r="S554" s="41" t="n">
        <f aca="false">HOUR(L554)</f>
        <v>12</v>
      </c>
      <c r="T554" s="41" t="str">
        <f aca="false">IF(S554&lt;setMorningEnd,"Morning",IF(S554&lt;setAfternoonEnd,"Afternoon","Evening"))</f>
        <v>Afternoon</v>
      </c>
      <c r="U554" s="41" t="str">
        <f aca="false">IF(J554&gt;=setLarge,"Large",IF(J554&gt;=setMedium,"Medium","Small"))</f>
        <v>Medium</v>
      </c>
      <c r="V554" s="41" t="str">
        <f aca="false">IF(P554&gt;=setExc,"Excellent",IF(P554&gt;=setGood,"Good",IF(P554&gt;=setAvg,"Average","Poor")))</f>
        <v>Excellent</v>
      </c>
    </row>
    <row r="555" customFormat="false" ht="15" hidden="false" customHeight="false" outlineLevel="0" collapsed="false">
      <c r="A555" s="41" t="s">
        <v>733</v>
      </c>
      <c r="B555" s="41" t="s">
        <v>180</v>
      </c>
      <c r="C555" s="41" t="s">
        <v>87</v>
      </c>
      <c r="D555" s="41" t="s">
        <v>105</v>
      </c>
      <c r="E555" s="41" t="s">
        <v>103</v>
      </c>
      <c r="F555" s="41" t="s">
        <v>78</v>
      </c>
      <c r="G555" s="42" t="n">
        <v>22.21</v>
      </c>
      <c r="H555" s="41" t="n">
        <v>6</v>
      </c>
      <c r="I555" s="42" t="n">
        <v>6.663</v>
      </c>
      <c r="J555" s="42" t="n">
        <v>139.923</v>
      </c>
      <c r="K555" s="43" t="n">
        <v>43531</v>
      </c>
      <c r="L555" s="44" t="n">
        <v>0.432638888888889</v>
      </c>
      <c r="M555" s="41" t="s">
        <v>99</v>
      </c>
      <c r="N555" s="42" t="n">
        <v>133.26</v>
      </c>
      <c r="O555" s="42" t="n">
        <v>6.663</v>
      </c>
      <c r="P555" s="45" t="n">
        <v>8.6</v>
      </c>
      <c r="Q555" s="41" t="str">
        <f aca="false">CHOOSE(MONTH(K555),"Jan","Feb","Mar","Apr","May","Jun","Jul","Aug","Sep","Oct","Nov","Dec")</f>
        <v>Mar</v>
      </c>
      <c r="R555" s="41" t="n">
        <f aca="false">INT((K555-setMinDate)/7)+1</f>
        <v>10</v>
      </c>
      <c r="S555" s="41" t="n">
        <f aca="false">HOUR(L555)</f>
        <v>10</v>
      </c>
      <c r="T555" s="41" t="str">
        <f aca="false">IF(S555&lt;setMorningEnd,"Morning",IF(S555&lt;setAfternoonEnd,"Afternoon","Evening"))</f>
        <v>Morning</v>
      </c>
      <c r="U555" s="41" t="str">
        <f aca="false">IF(J555&gt;=setLarge,"Large",IF(J555&gt;=setMedium,"Medium","Small"))</f>
        <v>Small</v>
      </c>
      <c r="V555" s="41" t="str">
        <f aca="false">IF(P555&gt;=setExc,"Excellent",IF(P555&gt;=setGood,"Good",IF(P555&gt;=setAvg,"Average","Poor")))</f>
        <v>Good</v>
      </c>
    </row>
    <row r="556" customFormat="false" ht="15" hidden="false" customHeight="false" outlineLevel="0" collapsed="false">
      <c r="A556" s="41" t="s">
        <v>734</v>
      </c>
      <c r="B556" s="41" t="s">
        <v>178</v>
      </c>
      <c r="C556" s="41" t="s">
        <v>85</v>
      </c>
      <c r="D556" s="41" t="s">
        <v>104</v>
      </c>
      <c r="E556" s="41" t="s">
        <v>103</v>
      </c>
      <c r="F556" s="41" t="s">
        <v>78</v>
      </c>
      <c r="G556" s="42" t="n">
        <v>19.32</v>
      </c>
      <c r="H556" s="41" t="n">
        <v>7</v>
      </c>
      <c r="I556" s="42" t="n">
        <v>6.762</v>
      </c>
      <c r="J556" s="42" t="n">
        <v>142.002</v>
      </c>
      <c r="K556" s="43" t="n">
        <v>43549</v>
      </c>
      <c r="L556" s="44" t="n">
        <v>0.785416666666667</v>
      </c>
      <c r="M556" s="41" t="s">
        <v>97</v>
      </c>
      <c r="N556" s="42" t="n">
        <v>135.24</v>
      </c>
      <c r="O556" s="42" t="n">
        <v>6.762</v>
      </c>
      <c r="P556" s="45" t="n">
        <v>6.9</v>
      </c>
      <c r="Q556" s="41" t="str">
        <f aca="false">CHOOSE(MONTH(K556),"Jan","Feb","Mar","Apr","May","Jun","Jul","Aug","Sep","Oct","Nov","Dec")</f>
        <v>Mar</v>
      </c>
      <c r="R556" s="41" t="n">
        <f aca="false">INT((K556-setMinDate)/7)+1</f>
        <v>12</v>
      </c>
      <c r="S556" s="41" t="n">
        <f aca="false">HOUR(L556)</f>
        <v>18</v>
      </c>
      <c r="T556" s="41" t="str">
        <f aca="false">IF(S556&lt;setMorningEnd,"Morning",IF(S556&lt;setAfternoonEnd,"Afternoon","Evening"))</f>
        <v>Evening</v>
      </c>
      <c r="U556" s="41" t="str">
        <f aca="false">IF(J556&gt;=setLarge,"Large",IF(J556&gt;=setMedium,"Medium","Small"))</f>
        <v>Small</v>
      </c>
      <c r="V556" s="41" t="str">
        <f aca="false">IF(P556&gt;=setExc,"Excellent",IF(P556&gt;=setGood,"Good",IF(P556&gt;=setAvg,"Average","Poor")))</f>
        <v>Average</v>
      </c>
    </row>
    <row r="557" customFormat="false" ht="15" hidden="false" customHeight="false" outlineLevel="0" collapsed="false">
      <c r="A557" s="41" t="s">
        <v>735</v>
      </c>
      <c r="B557" s="41" t="s">
        <v>189</v>
      </c>
      <c r="C557" s="41" t="s">
        <v>86</v>
      </c>
      <c r="D557" s="41" t="s">
        <v>105</v>
      </c>
      <c r="E557" s="41" t="s">
        <v>103</v>
      </c>
      <c r="F557" s="41" t="s">
        <v>80</v>
      </c>
      <c r="G557" s="42" t="n">
        <v>37.48</v>
      </c>
      <c r="H557" s="41" t="n">
        <v>3</v>
      </c>
      <c r="I557" s="42" t="n">
        <v>5.622</v>
      </c>
      <c r="J557" s="42" t="n">
        <v>118.062</v>
      </c>
      <c r="K557" s="43" t="n">
        <v>43485</v>
      </c>
      <c r="L557" s="44" t="n">
        <v>0.572916666666667</v>
      </c>
      <c r="M557" s="41" t="s">
        <v>99</v>
      </c>
      <c r="N557" s="42" t="n">
        <v>112.44</v>
      </c>
      <c r="O557" s="42" t="n">
        <v>5.622</v>
      </c>
      <c r="P557" s="45" t="n">
        <v>7.7</v>
      </c>
      <c r="Q557" s="41" t="str">
        <f aca="false">CHOOSE(MONTH(K557),"Jan","Feb","Mar","Apr","May","Jun","Jul","Aug","Sep","Oct","Nov","Dec")</f>
        <v>Jan</v>
      </c>
      <c r="R557" s="41" t="n">
        <f aca="false">INT((K557-setMinDate)/7)+1</f>
        <v>3</v>
      </c>
      <c r="S557" s="41" t="n">
        <f aca="false">HOUR(L557)</f>
        <v>13</v>
      </c>
      <c r="T557" s="41" t="str">
        <f aca="false">IF(S557&lt;setMorningEnd,"Morning",IF(S557&lt;setAfternoonEnd,"Afternoon","Evening"))</f>
        <v>Afternoon</v>
      </c>
      <c r="U557" s="41" t="str">
        <f aca="false">IF(J557&gt;=setLarge,"Large",IF(J557&gt;=setMedium,"Medium","Small"))</f>
        <v>Small</v>
      </c>
      <c r="V557" s="41" t="str">
        <f aca="false">IF(P557&gt;=setExc,"Excellent",IF(P557&gt;=setGood,"Good",IF(P557&gt;=setAvg,"Average","Poor")))</f>
        <v>Good</v>
      </c>
    </row>
    <row r="558" customFormat="false" ht="15" hidden="false" customHeight="false" outlineLevel="0" collapsed="false">
      <c r="A558" s="41" t="s">
        <v>736</v>
      </c>
      <c r="B558" s="41" t="s">
        <v>189</v>
      </c>
      <c r="C558" s="41" t="s">
        <v>86</v>
      </c>
      <c r="D558" s="41" t="s">
        <v>104</v>
      </c>
      <c r="E558" s="41" t="s">
        <v>102</v>
      </c>
      <c r="F558" s="41" t="s">
        <v>79</v>
      </c>
      <c r="G558" s="42" t="n">
        <v>72.04</v>
      </c>
      <c r="H558" s="41" t="n">
        <v>2</v>
      </c>
      <c r="I558" s="42" t="n">
        <v>7.204</v>
      </c>
      <c r="J558" s="42" t="n">
        <v>151.284</v>
      </c>
      <c r="K558" s="43" t="n">
        <v>43500</v>
      </c>
      <c r="L558" s="44" t="n">
        <v>0.818055555555556</v>
      </c>
      <c r="M558" s="41" t="s">
        <v>97</v>
      </c>
      <c r="N558" s="42" t="n">
        <v>144.08</v>
      </c>
      <c r="O558" s="42" t="n">
        <v>7.204</v>
      </c>
      <c r="P558" s="45" t="n">
        <v>9.5</v>
      </c>
      <c r="Q558" s="41" t="str">
        <f aca="false">CHOOSE(MONTH(K558),"Jan","Feb","Mar","Apr","May","Jun","Jul","Aug","Sep","Oct","Nov","Dec")</f>
        <v>Feb</v>
      </c>
      <c r="R558" s="41" t="n">
        <f aca="false">INT((K558-setMinDate)/7)+1</f>
        <v>5</v>
      </c>
      <c r="S558" s="41" t="n">
        <f aca="false">HOUR(L558)</f>
        <v>19</v>
      </c>
      <c r="T558" s="41" t="str">
        <f aca="false">IF(S558&lt;setMorningEnd,"Morning",IF(S558&lt;setAfternoonEnd,"Afternoon","Evening"))</f>
        <v>Evening</v>
      </c>
      <c r="U558" s="41" t="str">
        <f aca="false">IF(J558&gt;=setLarge,"Large",IF(J558&gt;=setMedium,"Medium","Small"))</f>
        <v>Small</v>
      </c>
      <c r="V558" s="41" t="str">
        <f aca="false">IF(P558&gt;=setExc,"Excellent",IF(P558&gt;=setGood,"Good",IF(P558&gt;=setAvg,"Average","Poor")))</f>
        <v>Excellent</v>
      </c>
    </row>
    <row r="559" customFormat="false" ht="15" hidden="false" customHeight="false" outlineLevel="0" collapsed="false">
      <c r="A559" s="41" t="s">
        <v>737</v>
      </c>
      <c r="B559" s="41" t="s">
        <v>180</v>
      </c>
      <c r="C559" s="41" t="s">
        <v>87</v>
      </c>
      <c r="D559" s="41" t="s">
        <v>104</v>
      </c>
      <c r="E559" s="41" t="s">
        <v>102</v>
      </c>
      <c r="F559" s="41" t="s">
        <v>76</v>
      </c>
      <c r="G559" s="42" t="n">
        <v>98.52</v>
      </c>
      <c r="H559" s="41" t="n">
        <v>10</v>
      </c>
      <c r="I559" s="42" t="n">
        <v>49.26</v>
      </c>
      <c r="J559" s="42" t="n">
        <v>1034.46</v>
      </c>
      <c r="K559" s="43" t="n">
        <v>43495</v>
      </c>
      <c r="L559" s="44" t="n">
        <v>0.849305555555556</v>
      </c>
      <c r="M559" s="41" t="s">
        <v>98</v>
      </c>
      <c r="N559" s="42" t="n">
        <v>985.2</v>
      </c>
      <c r="O559" s="42" t="n">
        <v>49.26</v>
      </c>
      <c r="P559" s="45" t="n">
        <v>4.5</v>
      </c>
      <c r="Q559" s="41" t="str">
        <f aca="false">CHOOSE(MONTH(K559),"Jan","Feb","Mar","Apr","May","Jun","Jul","Aug","Sep","Oct","Nov","Dec")</f>
        <v>Jan</v>
      </c>
      <c r="R559" s="41" t="n">
        <f aca="false">INT((K559-setMinDate)/7)+1</f>
        <v>5</v>
      </c>
      <c r="S559" s="41" t="n">
        <f aca="false">HOUR(L559)</f>
        <v>20</v>
      </c>
      <c r="T559" s="41" t="str">
        <f aca="false">IF(S559&lt;setMorningEnd,"Morning",IF(S559&lt;setAfternoonEnd,"Afternoon","Evening"))</f>
        <v>Evening</v>
      </c>
      <c r="U559" s="41" t="str">
        <f aca="false">IF(J559&gt;=setLarge,"Large",IF(J559&gt;=setMedium,"Medium","Small"))</f>
        <v>Large</v>
      </c>
      <c r="V559" s="41" t="str">
        <f aca="false">IF(P559&gt;=setExc,"Excellent",IF(P559&gt;=setGood,"Good",IF(P559&gt;=setAvg,"Average","Poor")))</f>
        <v>Poor</v>
      </c>
    </row>
    <row r="560" customFormat="false" ht="15" hidden="false" customHeight="false" outlineLevel="0" collapsed="false">
      <c r="A560" s="41" t="s">
        <v>738</v>
      </c>
      <c r="B560" s="41" t="s">
        <v>178</v>
      </c>
      <c r="C560" s="41" t="s">
        <v>85</v>
      </c>
      <c r="D560" s="41" t="s">
        <v>104</v>
      </c>
      <c r="E560" s="41" t="s">
        <v>103</v>
      </c>
      <c r="F560" s="41" t="s">
        <v>76</v>
      </c>
      <c r="G560" s="42" t="n">
        <v>41.66</v>
      </c>
      <c r="H560" s="41" t="n">
        <v>6</v>
      </c>
      <c r="I560" s="42" t="n">
        <v>12.498</v>
      </c>
      <c r="J560" s="42" t="n">
        <v>262.458</v>
      </c>
      <c r="K560" s="43" t="n">
        <v>43467</v>
      </c>
      <c r="L560" s="44" t="n">
        <v>0.641666666666667</v>
      </c>
      <c r="M560" s="41" t="s">
        <v>98</v>
      </c>
      <c r="N560" s="42" t="n">
        <v>249.96</v>
      </c>
      <c r="O560" s="42" t="n">
        <v>12.498</v>
      </c>
      <c r="P560" s="45" t="n">
        <v>5.6</v>
      </c>
      <c r="Q560" s="41" t="str">
        <f aca="false">CHOOSE(MONTH(K560),"Jan","Feb","Mar","Apr","May","Jun","Jul","Aug","Sep","Oct","Nov","Dec")</f>
        <v>Jan</v>
      </c>
      <c r="R560" s="41" t="n">
        <f aca="false">INT((K560-setMinDate)/7)+1</f>
        <v>1</v>
      </c>
      <c r="S560" s="41" t="n">
        <f aca="false">HOUR(L560)</f>
        <v>15</v>
      </c>
      <c r="T560" s="41" t="str">
        <f aca="false">IF(S560&lt;setMorningEnd,"Morning",IF(S560&lt;setAfternoonEnd,"Afternoon","Evening"))</f>
        <v>Afternoon</v>
      </c>
      <c r="U560" s="41" t="str">
        <f aca="false">IF(J560&gt;=setLarge,"Large",IF(J560&gt;=setMedium,"Medium","Small"))</f>
        <v>Medium</v>
      </c>
      <c r="V560" s="41" t="str">
        <f aca="false">IF(P560&gt;=setExc,"Excellent",IF(P560&gt;=setGood,"Good",IF(P560&gt;=setAvg,"Average","Poor")))</f>
        <v>Average</v>
      </c>
    </row>
    <row r="561" customFormat="false" ht="15" hidden="false" customHeight="false" outlineLevel="0" collapsed="false">
      <c r="A561" s="41" t="s">
        <v>739</v>
      </c>
      <c r="B561" s="41" t="s">
        <v>178</v>
      </c>
      <c r="C561" s="41" t="s">
        <v>85</v>
      </c>
      <c r="D561" s="41" t="s">
        <v>104</v>
      </c>
      <c r="E561" s="41" t="s">
        <v>102</v>
      </c>
      <c r="F561" s="41" t="s">
        <v>80</v>
      </c>
      <c r="G561" s="42" t="n">
        <v>72.42</v>
      </c>
      <c r="H561" s="41" t="n">
        <v>3</v>
      </c>
      <c r="I561" s="42" t="n">
        <v>10.863</v>
      </c>
      <c r="J561" s="42" t="n">
        <v>228.123</v>
      </c>
      <c r="K561" s="43" t="n">
        <v>43553</v>
      </c>
      <c r="L561" s="44" t="n">
        <v>0.704166666666667</v>
      </c>
      <c r="M561" s="41" t="s">
        <v>98</v>
      </c>
      <c r="N561" s="42" t="n">
        <v>217.26</v>
      </c>
      <c r="O561" s="42" t="n">
        <v>10.863</v>
      </c>
      <c r="P561" s="45" t="n">
        <v>8.2</v>
      </c>
      <c r="Q561" s="41" t="str">
        <f aca="false">CHOOSE(MONTH(K561),"Jan","Feb","Mar","Apr","May","Jun","Jul","Aug","Sep","Oct","Nov","Dec")</f>
        <v>Mar</v>
      </c>
      <c r="R561" s="41" t="n">
        <f aca="false">INT((K561-setMinDate)/7)+1</f>
        <v>13</v>
      </c>
      <c r="S561" s="41" t="n">
        <f aca="false">HOUR(L561)</f>
        <v>16</v>
      </c>
      <c r="T561" s="41" t="str">
        <f aca="false">IF(S561&lt;setMorningEnd,"Morning",IF(S561&lt;setAfternoonEnd,"Afternoon","Evening"))</f>
        <v>Afternoon</v>
      </c>
      <c r="U561" s="41" t="str">
        <f aca="false">IF(J561&gt;=setLarge,"Large",IF(J561&gt;=setMedium,"Medium","Small"))</f>
        <v>Small</v>
      </c>
      <c r="V561" s="41" t="str">
        <f aca="false">IF(P561&gt;=setExc,"Excellent",IF(P561&gt;=setGood,"Good",IF(P561&gt;=setAvg,"Average","Poor")))</f>
        <v>Good</v>
      </c>
    </row>
    <row r="562" customFormat="false" ht="15" hidden="false" customHeight="false" outlineLevel="0" collapsed="false">
      <c r="A562" s="41" t="s">
        <v>740</v>
      </c>
      <c r="B562" s="41" t="s">
        <v>189</v>
      </c>
      <c r="C562" s="41" t="s">
        <v>86</v>
      </c>
      <c r="D562" s="41" t="s">
        <v>105</v>
      </c>
      <c r="E562" s="41" t="s">
        <v>103</v>
      </c>
      <c r="F562" s="41" t="s">
        <v>78</v>
      </c>
      <c r="G562" s="42" t="n">
        <v>21.58</v>
      </c>
      <c r="H562" s="41" t="n">
        <v>9</v>
      </c>
      <c r="I562" s="42" t="n">
        <v>9.711</v>
      </c>
      <c r="J562" s="42" t="n">
        <v>203.931</v>
      </c>
      <c r="K562" s="43" t="n">
        <v>43538</v>
      </c>
      <c r="L562" s="44" t="n">
        <v>0.522222222222222</v>
      </c>
      <c r="M562" s="41" t="s">
        <v>97</v>
      </c>
      <c r="N562" s="42" t="n">
        <v>194.22</v>
      </c>
      <c r="O562" s="42" t="n">
        <v>9.711</v>
      </c>
      <c r="P562" s="45" t="n">
        <v>7.3</v>
      </c>
      <c r="Q562" s="41" t="str">
        <f aca="false">CHOOSE(MONTH(K562),"Jan","Feb","Mar","Apr","May","Jun","Jul","Aug","Sep","Oct","Nov","Dec")</f>
        <v>Mar</v>
      </c>
      <c r="R562" s="41" t="n">
        <f aca="false">INT((K562-setMinDate)/7)+1</f>
        <v>11</v>
      </c>
      <c r="S562" s="41" t="n">
        <f aca="false">HOUR(L562)</f>
        <v>12</v>
      </c>
      <c r="T562" s="41" t="str">
        <f aca="false">IF(S562&lt;setMorningEnd,"Morning",IF(S562&lt;setAfternoonEnd,"Afternoon","Evening"))</f>
        <v>Afternoon</v>
      </c>
      <c r="U562" s="41" t="str">
        <f aca="false">IF(J562&gt;=setLarge,"Large",IF(J562&gt;=setMedium,"Medium","Small"))</f>
        <v>Small</v>
      </c>
      <c r="V562" s="41" t="str">
        <f aca="false">IF(P562&gt;=setExc,"Excellent",IF(P562&gt;=setGood,"Good",IF(P562&gt;=setAvg,"Average","Poor")))</f>
        <v>Good</v>
      </c>
    </row>
    <row r="563" customFormat="false" ht="15" hidden="false" customHeight="false" outlineLevel="0" collapsed="false">
      <c r="A563" s="41" t="s">
        <v>741</v>
      </c>
      <c r="B563" s="41" t="s">
        <v>180</v>
      </c>
      <c r="C563" s="41" t="s">
        <v>87</v>
      </c>
      <c r="D563" s="41" t="s">
        <v>105</v>
      </c>
      <c r="E563" s="41" t="s">
        <v>103</v>
      </c>
      <c r="F563" s="41" t="s">
        <v>76</v>
      </c>
      <c r="G563" s="42" t="n">
        <v>89.2</v>
      </c>
      <c r="H563" s="41" t="n">
        <v>10</v>
      </c>
      <c r="I563" s="42" t="n">
        <v>44.6</v>
      </c>
      <c r="J563" s="42" t="n">
        <v>936.6</v>
      </c>
      <c r="K563" s="43" t="n">
        <v>43507</v>
      </c>
      <c r="L563" s="44" t="n">
        <v>0.654166666666667</v>
      </c>
      <c r="M563" s="41" t="s">
        <v>99</v>
      </c>
      <c r="N563" s="42" t="n">
        <v>892</v>
      </c>
      <c r="O563" s="42" t="n">
        <v>44.6</v>
      </c>
      <c r="P563" s="45" t="n">
        <v>4.4</v>
      </c>
      <c r="Q563" s="41" t="str">
        <f aca="false">CHOOSE(MONTH(K563),"Jan","Feb","Mar","Apr","May","Jun","Jul","Aug","Sep","Oct","Nov","Dec")</f>
        <v>Feb</v>
      </c>
      <c r="R563" s="41" t="n">
        <f aca="false">INT((K563-setMinDate)/7)+1</f>
        <v>6</v>
      </c>
      <c r="S563" s="41" t="n">
        <f aca="false">HOUR(L563)</f>
        <v>15</v>
      </c>
      <c r="T563" s="41" t="str">
        <f aca="false">IF(S563&lt;setMorningEnd,"Morning",IF(S563&lt;setAfternoonEnd,"Afternoon","Evening"))</f>
        <v>Afternoon</v>
      </c>
      <c r="U563" s="41" t="str">
        <f aca="false">IF(J563&gt;=setLarge,"Large",IF(J563&gt;=setMedium,"Medium","Small"))</f>
        <v>Large</v>
      </c>
      <c r="V563" s="41" t="str">
        <f aca="false">IF(P563&gt;=setExc,"Excellent",IF(P563&gt;=setGood,"Good",IF(P563&gt;=setAvg,"Average","Poor")))</f>
        <v>Poor</v>
      </c>
    </row>
    <row r="564" customFormat="false" ht="15" hidden="false" customHeight="false" outlineLevel="0" collapsed="false">
      <c r="A564" s="41" t="s">
        <v>742</v>
      </c>
      <c r="B564" s="41" t="s">
        <v>189</v>
      </c>
      <c r="C564" s="41" t="s">
        <v>86</v>
      </c>
      <c r="D564" s="41" t="s">
        <v>105</v>
      </c>
      <c r="E564" s="41" t="s">
        <v>102</v>
      </c>
      <c r="F564" s="41" t="s">
        <v>78</v>
      </c>
      <c r="G564" s="42" t="n">
        <v>42.42</v>
      </c>
      <c r="H564" s="41" t="n">
        <v>8</v>
      </c>
      <c r="I564" s="42" t="n">
        <v>16.968</v>
      </c>
      <c r="J564" s="42" t="n">
        <v>356.328</v>
      </c>
      <c r="K564" s="43" t="n">
        <v>43495</v>
      </c>
      <c r="L564" s="44" t="n">
        <v>0.581944444444445</v>
      </c>
      <c r="M564" s="41" t="s">
        <v>98</v>
      </c>
      <c r="N564" s="42" t="n">
        <v>339.36</v>
      </c>
      <c r="O564" s="42" t="n">
        <v>16.968</v>
      </c>
      <c r="P564" s="45" t="n">
        <v>5.7</v>
      </c>
      <c r="Q564" s="41" t="str">
        <f aca="false">CHOOSE(MONTH(K564),"Jan","Feb","Mar","Apr","May","Jun","Jul","Aug","Sep","Oct","Nov","Dec")</f>
        <v>Jan</v>
      </c>
      <c r="R564" s="41" t="n">
        <f aca="false">INT((K564-setMinDate)/7)+1</f>
        <v>5</v>
      </c>
      <c r="S564" s="41" t="n">
        <f aca="false">HOUR(L564)</f>
        <v>13</v>
      </c>
      <c r="T564" s="41" t="str">
        <f aca="false">IF(S564&lt;setMorningEnd,"Morning",IF(S564&lt;setAfternoonEnd,"Afternoon","Evening"))</f>
        <v>Afternoon</v>
      </c>
      <c r="U564" s="41" t="str">
        <f aca="false">IF(J564&gt;=setLarge,"Large",IF(J564&gt;=setMedium,"Medium","Small"))</f>
        <v>Medium</v>
      </c>
      <c r="V564" s="41" t="str">
        <f aca="false">IF(P564&gt;=setExc,"Excellent",IF(P564&gt;=setGood,"Good",IF(P564&gt;=setAvg,"Average","Poor")))</f>
        <v>Average</v>
      </c>
    </row>
    <row r="565" customFormat="false" ht="15" hidden="false" customHeight="false" outlineLevel="0" collapsed="false">
      <c r="A565" s="41" t="s">
        <v>743</v>
      </c>
      <c r="B565" s="41" t="s">
        <v>178</v>
      </c>
      <c r="C565" s="41" t="s">
        <v>85</v>
      </c>
      <c r="D565" s="41" t="s">
        <v>104</v>
      </c>
      <c r="E565" s="41" t="s">
        <v>103</v>
      </c>
      <c r="F565" s="41" t="s">
        <v>78</v>
      </c>
      <c r="G565" s="42" t="n">
        <v>74.51</v>
      </c>
      <c r="H565" s="41" t="n">
        <v>6</v>
      </c>
      <c r="I565" s="42" t="n">
        <v>22.353</v>
      </c>
      <c r="J565" s="42" t="n">
        <v>469.413</v>
      </c>
      <c r="K565" s="43" t="n">
        <v>43544</v>
      </c>
      <c r="L565" s="44" t="n">
        <v>0.630555555555556</v>
      </c>
      <c r="M565" s="41" t="s">
        <v>98</v>
      </c>
      <c r="N565" s="42" t="n">
        <v>447.06</v>
      </c>
      <c r="O565" s="42" t="n">
        <v>22.353</v>
      </c>
      <c r="P565" s="45" t="n">
        <v>5</v>
      </c>
      <c r="Q565" s="41" t="str">
        <f aca="false">CHOOSE(MONTH(K565),"Jan","Feb","Mar","Apr","May","Jun","Jul","Aug","Sep","Oct","Nov","Dec")</f>
        <v>Mar</v>
      </c>
      <c r="R565" s="41" t="n">
        <f aca="false">INT((K565-setMinDate)/7)+1</f>
        <v>12</v>
      </c>
      <c r="S565" s="41" t="n">
        <f aca="false">HOUR(L565)</f>
        <v>15</v>
      </c>
      <c r="T565" s="41" t="str">
        <f aca="false">IF(S565&lt;setMorningEnd,"Morning",IF(S565&lt;setAfternoonEnd,"Afternoon","Evening"))</f>
        <v>Afternoon</v>
      </c>
      <c r="U565" s="41" t="str">
        <f aca="false">IF(J565&gt;=setLarge,"Large",IF(J565&gt;=setMedium,"Medium","Small"))</f>
        <v>Medium</v>
      </c>
      <c r="V565" s="41" t="str">
        <f aca="false">IF(P565&gt;=setExc,"Excellent",IF(P565&gt;=setGood,"Good",IF(P565&gt;=setAvg,"Average","Poor")))</f>
        <v>Average</v>
      </c>
    </row>
    <row r="566" customFormat="false" ht="15" hidden="false" customHeight="false" outlineLevel="0" collapsed="false">
      <c r="A566" s="41" t="s">
        <v>744</v>
      </c>
      <c r="B566" s="41" t="s">
        <v>189</v>
      </c>
      <c r="C566" s="41" t="s">
        <v>86</v>
      </c>
      <c r="D566" s="41" t="s">
        <v>105</v>
      </c>
      <c r="E566" s="41" t="s">
        <v>103</v>
      </c>
      <c r="F566" s="41" t="s">
        <v>79</v>
      </c>
      <c r="G566" s="42" t="n">
        <v>99.25</v>
      </c>
      <c r="H566" s="41" t="n">
        <v>2</v>
      </c>
      <c r="I566" s="42" t="n">
        <v>9.925</v>
      </c>
      <c r="J566" s="42" t="n">
        <v>208.425</v>
      </c>
      <c r="K566" s="43" t="n">
        <v>43544</v>
      </c>
      <c r="L566" s="44" t="n">
        <v>0.543055555555556</v>
      </c>
      <c r="M566" s="41" t="s">
        <v>97</v>
      </c>
      <c r="N566" s="42" t="n">
        <v>198.5</v>
      </c>
      <c r="O566" s="42" t="n">
        <v>9.925</v>
      </c>
      <c r="P566" s="45" t="n">
        <v>9</v>
      </c>
      <c r="Q566" s="41" t="str">
        <f aca="false">CHOOSE(MONTH(K566),"Jan","Feb","Mar","Apr","May","Jun","Jul","Aug","Sep","Oct","Nov","Dec")</f>
        <v>Mar</v>
      </c>
      <c r="R566" s="41" t="n">
        <f aca="false">INT((K566-setMinDate)/7)+1</f>
        <v>12</v>
      </c>
      <c r="S566" s="41" t="n">
        <f aca="false">HOUR(L566)</f>
        <v>13</v>
      </c>
      <c r="T566" s="41" t="str">
        <f aca="false">IF(S566&lt;setMorningEnd,"Morning",IF(S566&lt;setAfternoonEnd,"Afternoon","Evening"))</f>
        <v>Afternoon</v>
      </c>
      <c r="U566" s="41" t="str">
        <f aca="false">IF(J566&gt;=setLarge,"Large",IF(J566&gt;=setMedium,"Medium","Small"))</f>
        <v>Small</v>
      </c>
      <c r="V566" s="41" t="str">
        <f aca="false">IF(P566&gt;=setExc,"Excellent",IF(P566&gt;=setGood,"Good",IF(P566&gt;=setAvg,"Average","Poor")))</f>
        <v>Excellent</v>
      </c>
    </row>
    <row r="567" customFormat="false" ht="15" hidden="false" customHeight="false" outlineLevel="0" collapsed="false">
      <c r="A567" s="41" t="s">
        <v>745</v>
      </c>
      <c r="B567" s="41" t="s">
        <v>178</v>
      </c>
      <c r="C567" s="41" t="s">
        <v>85</v>
      </c>
      <c r="D567" s="41" t="s">
        <v>105</v>
      </c>
      <c r="E567" s="41" t="s">
        <v>102</v>
      </c>
      <c r="F567" s="41" t="s">
        <v>76</v>
      </c>
      <c r="G567" s="42" t="n">
        <v>81.21</v>
      </c>
      <c r="H567" s="41" t="n">
        <v>10</v>
      </c>
      <c r="I567" s="42" t="n">
        <v>40.605</v>
      </c>
      <c r="J567" s="42" t="n">
        <v>852.705</v>
      </c>
      <c r="K567" s="43" t="n">
        <v>43482</v>
      </c>
      <c r="L567" s="44" t="n">
        <v>0.542361111111111</v>
      </c>
      <c r="M567" s="41" t="s">
        <v>99</v>
      </c>
      <c r="N567" s="42" t="n">
        <v>812.1</v>
      </c>
      <c r="O567" s="42" t="n">
        <v>40.605</v>
      </c>
      <c r="P567" s="45" t="n">
        <v>6.3</v>
      </c>
      <c r="Q567" s="41" t="str">
        <f aca="false">CHOOSE(MONTH(K567),"Jan","Feb","Mar","Apr","May","Jun","Jul","Aug","Sep","Oct","Nov","Dec")</f>
        <v>Jan</v>
      </c>
      <c r="R567" s="41" t="n">
        <f aca="false">INT((K567-setMinDate)/7)+1</f>
        <v>3</v>
      </c>
      <c r="S567" s="41" t="n">
        <f aca="false">HOUR(L567)</f>
        <v>13</v>
      </c>
      <c r="T567" s="41" t="str">
        <f aca="false">IF(S567&lt;setMorningEnd,"Morning",IF(S567&lt;setAfternoonEnd,"Afternoon","Evening"))</f>
        <v>Afternoon</v>
      </c>
      <c r="U567" s="41" t="str">
        <f aca="false">IF(J567&gt;=setLarge,"Large",IF(J567&gt;=setMedium,"Medium","Small"))</f>
        <v>Large</v>
      </c>
      <c r="V567" s="41" t="str">
        <f aca="false">IF(P567&gt;=setExc,"Excellent",IF(P567&gt;=setGood,"Good",IF(P567&gt;=setAvg,"Average","Poor")))</f>
        <v>Average</v>
      </c>
    </row>
    <row r="568" customFormat="false" ht="15" hidden="false" customHeight="false" outlineLevel="0" collapsed="false">
      <c r="A568" s="41" t="s">
        <v>746</v>
      </c>
      <c r="B568" s="41" t="s">
        <v>180</v>
      </c>
      <c r="C568" s="41" t="s">
        <v>87</v>
      </c>
      <c r="D568" s="41" t="s">
        <v>105</v>
      </c>
      <c r="E568" s="41" t="s">
        <v>102</v>
      </c>
      <c r="F568" s="41" t="s">
        <v>77</v>
      </c>
      <c r="G568" s="42" t="n">
        <v>49.33</v>
      </c>
      <c r="H568" s="41" t="n">
        <v>10</v>
      </c>
      <c r="I568" s="42" t="n">
        <v>24.665</v>
      </c>
      <c r="J568" s="42" t="n">
        <v>517.965</v>
      </c>
      <c r="K568" s="43" t="n">
        <v>43499</v>
      </c>
      <c r="L568" s="44" t="n">
        <v>0.694444444444444</v>
      </c>
      <c r="M568" s="41" t="s">
        <v>99</v>
      </c>
      <c r="N568" s="42" t="n">
        <v>493.3</v>
      </c>
      <c r="O568" s="42" t="n">
        <v>24.665</v>
      </c>
      <c r="P568" s="45" t="n">
        <v>9.4</v>
      </c>
      <c r="Q568" s="41" t="str">
        <f aca="false">CHOOSE(MONTH(K568),"Jan","Feb","Mar","Apr","May","Jun","Jul","Aug","Sep","Oct","Nov","Dec")</f>
        <v>Feb</v>
      </c>
      <c r="R568" s="41" t="n">
        <f aca="false">INT((K568-setMinDate)/7)+1</f>
        <v>5</v>
      </c>
      <c r="S568" s="41" t="n">
        <f aca="false">HOUR(L568)</f>
        <v>16</v>
      </c>
      <c r="T568" s="41" t="str">
        <f aca="false">IF(S568&lt;setMorningEnd,"Morning",IF(S568&lt;setAfternoonEnd,"Afternoon","Evening"))</f>
        <v>Afternoon</v>
      </c>
      <c r="U568" s="41" t="str">
        <f aca="false">IF(J568&gt;=setLarge,"Large",IF(J568&gt;=setMedium,"Medium","Small"))</f>
        <v>Medium</v>
      </c>
      <c r="V568" s="41" t="str">
        <f aca="false">IF(P568&gt;=setExc,"Excellent",IF(P568&gt;=setGood,"Good",IF(P568&gt;=setAvg,"Average","Poor")))</f>
        <v>Excellent</v>
      </c>
    </row>
    <row r="569" customFormat="false" ht="15" hidden="false" customHeight="false" outlineLevel="0" collapsed="false">
      <c r="A569" s="41" t="s">
        <v>747</v>
      </c>
      <c r="B569" s="41" t="s">
        <v>178</v>
      </c>
      <c r="C569" s="41" t="s">
        <v>85</v>
      </c>
      <c r="D569" s="41" t="s">
        <v>105</v>
      </c>
      <c r="E569" s="41" t="s">
        <v>102</v>
      </c>
      <c r="F569" s="41" t="s">
        <v>79</v>
      </c>
      <c r="G569" s="42" t="n">
        <v>65.74</v>
      </c>
      <c r="H569" s="41" t="n">
        <v>9</v>
      </c>
      <c r="I569" s="42" t="n">
        <v>29.583</v>
      </c>
      <c r="J569" s="42" t="n">
        <v>621.243</v>
      </c>
      <c r="K569" s="43" t="n">
        <v>43466</v>
      </c>
      <c r="L569" s="44" t="n">
        <v>0.579861111111111</v>
      </c>
      <c r="M569" s="41" t="s">
        <v>97</v>
      </c>
      <c r="N569" s="42" t="n">
        <v>591.66</v>
      </c>
      <c r="O569" s="42" t="n">
        <v>29.583</v>
      </c>
      <c r="P569" s="45" t="n">
        <v>7.7</v>
      </c>
      <c r="Q569" s="41" t="str">
        <f aca="false">CHOOSE(MONTH(K569),"Jan","Feb","Mar","Apr","May","Jun","Jul","Aug","Sep","Oct","Nov","Dec")</f>
        <v>Jan</v>
      </c>
      <c r="R569" s="41" t="n">
        <f aca="false">INT((K569-setMinDate)/7)+1</f>
        <v>1</v>
      </c>
      <c r="S569" s="41" t="n">
        <f aca="false">HOUR(L569)</f>
        <v>13</v>
      </c>
      <c r="T569" s="41" t="str">
        <f aca="false">IF(S569&lt;setMorningEnd,"Morning",IF(S569&lt;setAfternoonEnd,"Afternoon","Evening"))</f>
        <v>Afternoon</v>
      </c>
      <c r="U569" s="41" t="str">
        <f aca="false">IF(J569&gt;=setLarge,"Large",IF(J569&gt;=setMedium,"Medium","Small"))</f>
        <v>Large</v>
      </c>
      <c r="V569" s="41" t="str">
        <f aca="false">IF(P569&gt;=setExc,"Excellent",IF(P569&gt;=setGood,"Good",IF(P569&gt;=setAvg,"Average","Poor")))</f>
        <v>Good</v>
      </c>
    </row>
    <row r="570" customFormat="false" ht="15" hidden="false" customHeight="false" outlineLevel="0" collapsed="false">
      <c r="A570" s="41" t="s">
        <v>748</v>
      </c>
      <c r="B570" s="41" t="s">
        <v>189</v>
      </c>
      <c r="C570" s="41" t="s">
        <v>86</v>
      </c>
      <c r="D570" s="41" t="s">
        <v>105</v>
      </c>
      <c r="E570" s="41" t="s">
        <v>102</v>
      </c>
      <c r="F570" s="41" t="s">
        <v>79</v>
      </c>
      <c r="G570" s="42" t="n">
        <v>79.86</v>
      </c>
      <c r="H570" s="41" t="n">
        <v>7</v>
      </c>
      <c r="I570" s="42" t="n">
        <v>27.951</v>
      </c>
      <c r="J570" s="42" t="n">
        <v>586.971</v>
      </c>
      <c r="K570" s="43" t="n">
        <v>43475</v>
      </c>
      <c r="L570" s="44" t="n">
        <v>0.439583333333333</v>
      </c>
      <c r="M570" s="41" t="s">
        <v>99</v>
      </c>
      <c r="N570" s="42" t="n">
        <v>559.02</v>
      </c>
      <c r="O570" s="42" t="n">
        <v>27.951</v>
      </c>
      <c r="P570" s="45" t="n">
        <v>5.5</v>
      </c>
      <c r="Q570" s="41" t="str">
        <f aca="false">CHOOSE(MONTH(K570),"Jan","Feb","Mar","Apr","May","Jun","Jul","Aug","Sep","Oct","Nov","Dec")</f>
        <v>Jan</v>
      </c>
      <c r="R570" s="41" t="n">
        <f aca="false">INT((K570-setMinDate)/7)+1</f>
        <v>2</v>
      </c>
      <c r="S570" s="41" t="n">
        <f aca="false">HOUR(L570)</f>
        <v>10</v>
      </c>
      <c r="T570" s="41" t="str">
        <f aca="false">IF(S570&lt;setMorningEnd,"Morning",IF(S570&lt;setAfternoonEnd,"Afternoon","Evening"))</f>
        <v>Morning</v>
      </c>
      <c r="U570" s="41" t="str">
        <f aca="false">IF(J570&gt;=setLarge,"Large",IF(J570&gt;=setMedium,"Medium","Small"))</f>
        <v>Medium</v>
      </c>
      <c r="V570" s="41" t="str">
        <f aca="false">IF(P570&gt;=setExc,"Excellent",IF(P570&gt;=setGood,"Good",IF(P570&gt;=setAvg,"Average","Poor")))</f>
        <v>Average</v>
      </c>
    </row>
    <row r="571" customFormat="false" ht="15" hidden="false" customHeight="false" outlineLevel="0" collapsed="false">
      <c r="A571" s="41" t="s">
        <v>749</v>
      </c>
      <c r="B571" s="41" t="s">
        <v>180</v>
      </c>
      <c r="C571" s="41" t="s">
        <v>87</v>
      </c>
      <c r="D571" s="41" t="s">
        <v>105</v>
      </c>
      <c r="E571" s="41" t="s">
        <v>102</v>
      </c>
      <c r="F571" s="41" t="s">
        <v>77</v>
      </c>
      <c r="G571" s="42" t="n">
        <v>73.98</v>
      </c>
      <c r="H571" s="41" t="n">
        <v>7</v>
      </c>
      <c r="I571" s="42" t="n">
        <v>25.893</v>
      </c>
      <c r="J571" s="42" t="n">
        <v>543.753</v>
      </c>
      <c r="K571" s="43" t="n">
        <v>43526</v>
      </c>
      <c r="L571" s="44" t="n">
        <v>0.695833333333333</v>
      </c>
      <c r="M571" s="41" t="s">
        <v>98</v>
      </c>
      <c r="N571" s="42" t="n">
        <v>517.86</v>
      </c>
      <c r="O571" s="42" t="n">
        <v>25.893</v>
      </c>
      <c r="P571" s="45" t="n">
        <v>4.1</v>
      </c>
      <c r="Q571" s="41" t="str">
        <f aca="false">CHOOSE(MONTH(K571),"Jan","Feb","Mar","Apr","May","Jun","Jul","Aug","Sep","Oct","Nov","Dec")</f>
        <v>Mar</v>
      </c>
      <c r="R571" s="41" t="n">
        <f aca="false">INT((K571-setMinDate)/7)+1</f>
        <v>9</v>
      </c>
      <c r="S571" s="41" t="n">
        <f aca="false">HOUR(L571)</f>
        <v>16</v>
      </c>
      <c r="T571" s="41" t="str">
        <f aca="false">IF(S571&lt;setMorningEnd,"Morning",IF(S571&lt;setAfternoonEnd,"Afternoon","Evening"))</f>
        <v>Afternoon</v>
      </c>
      <c r="U571" s="41" t="str">
        <f aca="false">IF(J571&gt;=setLarge,"Large",IF(J571&gt;=setMedium,"Medium","Small"))</f>
        <v>Medium</v>
      </c>
      <c r="V571" s="41" t="str">
        <f aca="false">IF(P571&gt;=setExc,"Excellent",IF(P571&gt;=setGood,"Good",IF(P571&gt;=setAvg,"Average","Poor")))</f>
        <v>Poor</v>
      </c>
    </row>
    <row r="572" customFormat="false" ht="15" hidden="false" customHeight="false" outlineLevel="0" collapsed="false">
      <c r="A572" s="41" t="s">
        <v>750</v>
      </c>
      <c r="B572" s="41" t="s">
        <v>189</v>
      </c>
      <c r="C572" s="41" t="s">
        <v>86</v>
      </c>
      <c r="D572" s="41" t="s">
        <v>104</v>
      </c>
      <c r="E572" s="41" t="s">
        <v>102</v>
      </c>
      <c r="F572" s="41" t="s">
        <v>80</v>
      </c>
      <c r="G572" s="42" t="n">
        <v>82.04</v>
      </c>
      <c r="H572" s="41" t="n">
        <v>5</v>
      </c>
      <c r="I572" s="42" t="n">
        <v>20.51</v>
      </c>
      <c r="J572" s="42" t="n">
        <v>430.71</v>
      </c>
      <c r="K572" s="43" t="n">
        <v>43521</v>
      </c>
      <c r="L572" s="44" t="n">
        <v>0.719444444444444</v>
      </c>
      <c r="M572" s="41" t="s">
        <v>99</v>
      </c>
      <c r="N572" s="42" t="n">
        <v>410.2</v>
      </c>
      <c r="O572" s="42" t="n">
        <v>20.51</v>
      </c>
      <c r="P572" s="45" t="n">
        <v>7.6</v>
      </c>
      <c r="Q572" s="41" t="str">
        <f aca="false">CHOOSE(MONTH(K572),"Jan","Feb","Mar","Apr","May","Jun","Jul","Aug","Sep","Oct","Nov","Dec")</f>
        <v>Feb</v>
      </c>
      <c r="R572" s="41" t="n">
        <f aca="false">INT((K572-setMinDate)/7)+1</f>
        <v>8</v>
      </c>
      <c r="S572" s="41" t="n">
        <f aca="false">HOUR(L572)</f>
        <v>17</v>
      </c>
      <c r="T572" s="41" t="str">
        <f aca="false">IF(S572&lt;setMorningEnd,"Morning",IF(S572&lt;setAfternoonEnd,"Afternoon","Evening"))</f>
        <v>Evening</v>
      </c>
      <c r="U572" s="41" t="str">
        <f aca="false">IF(J572&gt;=setLarge,"Large",IF(J572&gt;=setMedium,"Medium","Small"))</f>
        <v>Medium</v>
      </c>
      <c r="V572" s="41" t="str">
        <f aca="false">IF(P572&gt;=setExc,"Excellent",IF(P572&gt;=setGood,"Good",IF(P572&gt;=setAvg,"Average","Poor")))</f>
        <v>Good</v>
      </c>
    </row>
    <row r="573" customFormat="false" ht="15" hidden="false" customHeight="false" outlineLevel="0" collapsed="false">
      <c r="A573" s="41" t="s">
        <v>751</v>
      </c>
      <c r="B573" s="41" t="s">
        <v>189</v>
      </c>
      <c r="C573" s="41" t="s">
        <v>86</v>
      </c>
      <c r="D573" s="41" t="s">
        <v>104</v>
      </c>
      <c r="E573" s="41" t="s">
        <v>103</v>
      </c>
      <c r="F573" s="41" t="s">
        <v>77</v>
      </c>
      <c r="G573" s="42" t="n">
        <v>26.67</v>
      </c>
      <c r="H573" s="41" t="n">
        <v>10</v>
      </c>
      <c r="I573" s="42" t="n">
        <v>13.335</v>
      </c>
      <c r="J573" s="42" t="n">
        <v>280.035</v>
      </c>
      <c r="K573" s="43" t="n">
        <v>43494</v>
      </c>
      <c r="L573" s="44" t="n">
        <v>0.491666666666667</v>
      </c>
      <c r="M573" s="41" t="s">
        <v>97</v>
      </c>
      <c r="N573" s="42" t="n">
        <v>266.7</v>
      </c>
      <c r="O573" s="42" t="n">
        <v>13.335</v>
      </c>
      <c r="P573" s="45" t="n">
        <v>8.6</v>
      </c>
      <c r="Q573" s="41" t="str">
        <f aca="false">CHOOSE(MONTH(K573),"Jan","Feb","Mar","Apr","May","Jun","Jul","Aug","Sep","Oct","Nov","Dec")</f>
        <v>Jan</v>
      </c>
      <c r="R573" s="41" t="n">
        <f aca="false">INT((K573-setMinDate)/7)+1</f>
        <v>5</v>
      </c>
      <c r="S573" s="41" t="n">
        <f aca="false">HOUR(L573)</f>
        <v>11</v>
      </c>
      <c r="T573" s="41" t="str">
        <f aca="false">IF(S573&lt;setMorningEnd,"Morning",IF(S573&lt;setAfternoonEnd,"Afternoon","Evening"))</f>
        <v>Morning</v>
      </c>
      <c r="U573" s="41" t="str">
        <f aca="false">IF(J573&gt;=setLarge,"Large",IF(J573&gt;=setMedium,"Medium","Small"))</f>
        <v>Medium</v>
      </c>
      <c r="V573" s="41" t="str">
        <f aca="false">IF(P573&gt;=setExc,"Excellent",IF(P573&gt;=setGood,"Good",IF(P573&gt;=setAvg,"Average","Poor")))</f>
        <v>Good</v>
      </c>
    </row>
    <row r="574" customFormat="false" ht="15" hidden="false" customHeight="false" outlineLevel="0" collapsed="false">
      <c r="A574" s="41" t="s">
        <v>752</v>
      </c>
      <c r="B574" s="41" t="s">
        <v>178</v>
      </c>
      <c r="C574" s="41" t="s">
        <v>85</v>
      </c>
      <c r="D574" s="41" t="s">
        <v>104</v>
      </c>
      <c r="E574" s="41" t="s">
        <v>103</v>
      </c>
      <c r="F574" s="41" t="s">
        <v>76</v>
      </c>
      <c r="G574" s="42" t="n">
        <v>10.13</v>
      </c>
      <c r="H574" s="41" t="n">
        <v>7</v>
      </c>
      <c r="I574" s="42" t="n">
        <v>3.5455</v>
      </c>
      <c r="J574" s="42" t="n">
        <v>74.4555</v>
      </c>
      <c r="K574" s="43" t="n">
        <v>43534</v>
      </c>
      <c r="L574" s="44" t="n">
        <v>0.815972222222222</v>
      </c>
      <c r="M574" s="41" t="s">
        <v>98</v>
      </c>
      <c r="N574" s="42" t="n">
        <v>70.91</v>
      </c>
      <c r="O574" s="42" t="n">
        <v>3.5455</v>
      </c>
      <c r="P574" s="45" t="n">
        <v>8.3</v>
      </c>
      <c r="Q574" s="41" t="str">
        <f aca="false">CHOOSE(MONTH(K574),"Jan","Feb","Mar","Apr","May","Jun","Jul","Aug","Sep","Oct","Nov","Dec")</f>
        <v>Mar</v>
      </c>
      <c r="R574" s="41" t="n">
        <f aca="false">INT((K574-setMinDate)/7)+1</f>
        <v>10</v>
      </c>
      <c r="S574" s="41" t="n">
        <f aca="false">HOUR(L574)</f>
        <v>19</v>
      </c>
      <c r="T574" s="41" t="str">
        <f aca="false">IF(S574&lt;setMorningEnd,"Morning",IF(S574&lt;setAfternoonEnd,"Afternoon","Evening"))</f>
        <v>Evening</v>
      </c>
      <c r="U574" s="41" t="str">
        <f aca="false">IF(J574&gt;=setLarge,"Large",IF(J574&gt;=setMedium,"Medium","Small"))</f>
        <v>Small</v>
      </c>
      <c r="V574" s="41" t="str">
        <f aca="false">IF(P574&gt;=setExc,"Excellent",IF(P574&gt;=setGood,"Good",IF(P574&gt;=setAvg,"Average","Poor")))</f>
        <v>Good</v>
      </c>
    </row>
    <row r="575" customFormat="false" ht="15" hidden="false" customHeight="false" outlineLevel="0" collapsed="false">
      <c r="A575" s="41" t="s">
        <v>753</v>
      </c>
      <c r="B575" s="41" t="s">
        <v>189</v>
      </c>
      <c r="C575" s="41" t="s">
        <v>86</v>
      </c>
      <c r="D575" s="41" t="s">
        <v>105</v>
      </c>
      <c r="E575" s="41" t="s">
        <v>103</v>
      </c>
      <c r="F575" s="41" t="s">
        <v>76</v>
      </c>
      <c r="G575" s="42" t="n">
        <v>72.39</v>
      </c>
      <c r="H575" s="41" t="n">
        <v>2</v>
      </c>
      <c r="I575" s="42" t="n">
        <v>7.239</v>
      </c>
      <c r="J575" s="42" t="n">
        <v>152.019</v>
      </c>
      <c r="K575" s="43" t="n">
        <v>43478</v>
      </c>
      <c r="L575" s="44" t="n">
        <v>0.829861111111111</v>
      </c>
      <c r="M575" s="41" t="s">
        <v>99</v>
      </c>
      <c r="N575" s="42" t="n">
        <v>144.78</v>
      </c>
      <c r="O575" s="42" t="n">
        <v>7.239</v>
      </c>
      <c r="P575" s="45" t="n">
        <v>8.1</v>
      </c>
      <c r="Q575" s="41" t="str">
        <f aca="false">CHOOSE(MONTH(K575),"Jan","Feb","Mar","Apr","May","Jun","Jul","Aug","Sep","Oct","Nov","Dec")</f>
        <v>Jan</v>
      </c>
      <c r="R575" s="41" t="n">
        <f aca="false">INT((K575-setMinDate)/7)+1</f>
        <v>2</v>
      </c>
      <c r="S575" s="41" t="n">
        <f aca="false">HOUR(L575)</f>
        <v>19</v>
      </c>
      <c r="T575" s="41" t="str">
        <f aca="false">IF(S575&lt;setMorningEnd,"Morning",IF(S575&lt;setAfternoonEnd,"Afternoon","Evening"))</f>
        <v>Evening</v>
      </c>
      <c r="U575" s="41" t="str">
        <f aca="false">IF(J575&gt;=setLarge,"Large",IF(J575&gt;=setMedium,"Medium","Small"))</f>
        <v>Small</v>
      </c>
      <c r="V575" s="41" t="str">
        <f aca="false">IF(P575&gt;=setExc,"Excellent",IF(P575&gt;=setGood,"Good",IF(P575&gt;=setAvg,"Average","Poor")))</f>
        <v>Good</v>
      </c>
    </row>
    <row r="576" customFormat="false" ht="15" hidden="false" customHeight="false" outlineLevel="0" collapsed="false">
      <c r="A576" s="41" t="s">
        <v>754</v>
      </c>
      <c r="B576" s="41" t="s">
        <v>178</v>
      </c>
      <c r="C576" s="41" t="s">
        <v>85</v>
      </c>
      <c r="D576" s="41" t="s">
        <v>105</v>
      </c>
      <c r="E576" s="41" t="s">
        <v>103</v>
      </c>
      <c r="F576" s="41" t="s">
        <v>77</v>
      </c>
      <c r="G576" s="42" t="n">
        <v>85.91</v>
      </c>
      <c r="H576" s="41" t="n">
        <v>5</v>
      </c>
      <c r="I576" s="42" t="n">
        <v>21.4775</v>
      </c>
      <c r="J576" s="42" t="n">
        <v>451.0275</v>
      </c>
      <c r="K576" s="43" t="n">
        <v>43546</v>
      </c>
      <c r="L576" s="44" t="n">
        <v>0.60625</v>
      </c>
      <c r="M576" s="41" t="s">
        <v>99</v>
      </c>
      <c r="N576" s="42" t="n">
        <v>429.55</v>
      </c>
      <c r="O576" s="42" t="n">
        <v>21.4775</v>
      </c>
      <c r="P576" s="45" t="n">
        <v>8.6</v>
      </c>
      <c r="Q576" s="41" t="str">
        <f aca="false">CHOOSE(MONTH(K576),"Jan","Feb","Mar","Apr","May","Jun","Jul","Aug","Sep","Oct","Nov","Dec")</f>
        <v>Mar</v>
      </c>
      <c r="R576" s="41" t="n">
        <f aca="false">INT((K576-setMinDate)/7)+1</f>
        <v>12</v>
      </c>
      <c r="S576" s="41" t="n">
        <f aca="false">HOUR(L576)</f>
        <v>14</v>
      </c>
      <c r="T576" s="41" t="str">
        <f aca="false">IF(S576&lt;setMorningEnd,"Morning",IF(S576&lt;setAfternoonEnd,"Afternoon","Evening"))</f>
        <v>Afternoon</v>
      </c>
      <c r="U576" s="41" t="str">
        <f aca="false">IF(J576&gt;=setLarge,"Large",IF(J576&gt;=setMedium,"Medium","Small"))</f>
        <v>Medium</v>
      </c>
      <c r="V576" s="41" t="str">
        <f aca="false">IF(P576&gt;=setExc,"Excellent",IF(P576&gt;=setGood,"Good",IF(P576&gt;=setAvg,"Average","Poor")))</f>
        <v>Good</v>
      </c>
    </row>
    <row r="577" customFormat="false" ht="15" hidden="false" customHeight="false" outlineLevel="0" collapsed="false">
      <c r="A577" s="41" t="s">
        <v>755</v>
      </c>
      <c r="B577" s="41" t="s">
        <v>189</v>
      </c>
      <c r="C577" s="41" t="s">
        <v>86</v>
      </c>
      <c r="D577" s="41" t="s">
        <v>104</v>
      </c>
      <c r="E577" s="41" t="s">
        <v>103</v>
      </c>
      <c r="F577" s="41" t="s">
        <v>79</v>
      </c>
      <c r="G577" s="42" t="n">
        <v>81.31</v>
      </c>
      <c r="H577" s="41" t="n">
        <v>7</v>
      </c>
      <c r="I577" s="42" t="n">
        <v>28.4585</v>
      </c>
      <c r="J577" s="42" t="n">
        <v>597.6285</v>
      </c>
      <c r="K577" s="43" t="n">
        <v>43525</v>
      </c>
      <c r="L577" s="44" t="n">
        <v>0.825694444444444</v>
      </c>
      <c r="M577" s="41" t="s">
        <v>98</v>
      </c>
      <c r="N577" s="42" t="n">
        <v>569.17</v>
      </c>
      <c r="O577" s="42" t="n">
        <v>28.4585</v>
      </c>
      <c r="P577" s="45" t="n">
        <v>6.3</v>
      </c>
      <c r="Q577" s="41" t="str">
        <f aca="false">CHOOSE(MONTH(K577),"Jan","Feb","Mar","Apr","May","Jun","Jul","Aug","Sep","Oct","Nov","Dec")</f>
        <v>Mar</v>
      </c>
      <c r="R577" s="41" t="n">
        <f aca="false">INT((K577-setMinDate)/7)+1</f>
        <v>9</v>
      </c>
      <c r="S577" s="41" t="n">
        <f aca="false">HOUR(L577)</f>
        <v>19</v>
      </c>
      <c r="T577" s="41" t="str">
        <f aca="false">IF(S577&lt;setMorningEnd,"Morning",IF(S577&lt;setAfternoonEnd,"Afternoon","Evening"))</f>
        <v>Evening</v>
      </c>
      <c r="U577" s="41" t="str">
        <f aca="false">IF(J577&gt;=setLarge,"Large",IF(J577&gt;=setMedium,"Medium","Small"))</f>
        <v>Medium</v>
      </c>
      <c r="V577" s="41" t="str">
        <f aca="false">IF(P577&gt;=setExc,"Excellent",IF(P577&gt;=setGood,"Good",IF(P577&gt;=setAvg,"Average","Poor")))</f>
        <v>Average</v>
      </c>
    </row>
    <row r="578" customFormat="false" ht="15" hidden="false" customHeight="false" outlineLevel="0" collapsed="false">
      <c r="A578" s="41" t="s">
        <v>756</v>
      </c>
      <c r="B578" s="41" t="s">
        <v>189</v>
      </c>
      <c r="C578" s="41" t="s">
        <v>86</v>
      </c>
      <c r="D578" s="41" t="s">
        <v>105</v>
      </c>
      <c r="E578" s="41" t="s">
        <v>103</v>
      </c>
      <c r="F578" s="41" t="s">
        <v>76</v>
      </c>
      <c r="G578" s="42" t="n">
        <v>60.3</v>
      </c>
      <c r="H578" s="41" t="n">
        <v>4</v>
      </c>
      <c r="I578" s="42" t="n">
        <v>12.06</v>
      </c>
      <c r="J578" s="42" t="n">
        <v>253.26</v>
      </c>
      <c r="K578" s="43" t="n">
        <v>43516</v>
      </c>
      <c r="L578" s="44" t="n">
        <v>0.779861111111111</v>
      </c>
      <c r="M578" s="41" t="s">
        <v>97</v>
      </c>
      <c r="N578" s="42" t="n">
        <v>241.2</v>
      </c>
      <c r="O578" s="42" t="n">
        <v>12.06</v>
      </c>
      <c r="P578" s="45" t="n">
        <v>5.8</v>
      </c>
      <c r="Q578" s="41" t="str">
        <f aca="false">CHOOSE(MONTH(K578),"Jan","Feb","Mar","Apr","May","Jun","Jul","Aug","Sep","Oct","Nov","Dec")</f>
        <v>Feb</v>
      </c>
      <c r="R578" s="41" t="n">
        <f aca="false">INT((K578-setMinDate)/7)+1</f>
        <v>8</v>
      </c>
      <c r="S578" s="41" t="n">
        <f aca="false">HOUR(L578)</f>
        <v>18</v>
      </c>
      <c r="T578" s="41" t="str">
        <f aca="false">IF(S578&lt;setMorningEnd,"Morning",IF(S578&lt;setAfternoonEnd,"Afternoon","Evening"))</f>
        <v>Evening</v>
      </c>
      <c r="U578" s="41" t="str">
        <f aca="false">IF(J578&gt;=setLarge,"Large",IF(J578&gt;=setMedium,"Medium","Small"))</f>
        <v>Medium</v>
      </c>
      <c r="V578" s="41" t="str">
        <f aca="false">IF(P578&gt;=setExc,"Excellent",IF(P578&gt;=setGood,"Good",IF(P578&gt;=setAvg,"Average","Poor")))</f>
        <v>Average</v>
      </c>
    </row>
    <row r="579" customFormat="false" ht="15" hidden="false" customHeight="false" outlineLevel="0" collapsed="false">
      <c r="A579" s="41" t="s">
        <v>757</v>
      </c>
      <c r="B579" s="41" t="s">
        <v>180</v>
      </c>
      <c r="C579" s="41" t="s">
        <v>87</v>
      </c>
      <c r="D579" s="41" t="s">
        <v>105</v>
      </c>
      <c r="E579" s="41" t="s">
        <v>103</v>
      </c>
      <c r="F579" s="41" t="s">
        <v>76</v>
      </c>
      <c r="G579" s="42" t="n">
        <v>31.77</v>
      </c>
      <c r="H579" s="41" t="n">
        <v>4</v>
      </c>
      <c r="I579" s="42" t="n">
        <v>6.354</v>
      </c>
      <c r="J579" s="42" t="n">
        <v>133.434</v>
      </c>
      <c r="K579" s="43" t="n">
        <v>43479</v>
      </c>
      <c r="L579" s="44" t="n">
        <v>0.613194444444445</v>
      </c>
      <c r="M579" s="41" t="s">
        <v>98</v>
      </c>
      <c r="N579" s="42" t="n">
        <v>127.08</v>
      </c>
      <c r="O579" s="42" t="n">
        <v>6.354</v>
      </c>
      <c r="P579" s="45" t="n">
        <v>6.2</v>
      </c>
      <c r="Q579" s="41" t="str">
        <f aca="false">CHOOSE(MONTH(K579),"Jan","Feb","Mar","Apr","May","Jun","Jul","Aug","Sep","Oct","Nov","Dec")</f>
        <v>Jan</v>
      </c>
      <c r="R579" s="41" t="n">
        <f aca="false">INT((K579-setMinDate)/7)+1</f>
        <v>2</v>
      </c>
      <c r="S579" s="41" t="n">
        <f aca="false">HOUR(L579)</f>
        <v>14</v>
      </c>
      <c r="T579" s="41" t="str">
        <f aca="false">IF(S579&lt;setMorningEnd,"Morning",IF(S579&lt;setAfternoonEnd,"Afternoon","Evening"))</f>
        <v>Afternoon</v>
      </c>
      <c r="U579" s="41" t="str">
        <f aca="false">IF(J579&gt;=setLarge,"Large",IF(J579&gt;=setMedium,"Medium","Small"))</f>
        <v>Small</v>
      </c>
      <c r="V579" s="41" t="str">
        <f aca="false">IF(P579&gt;=setExc,"Excellent",IF(P579&gt;=setGood,"Good",IF(P579&gt;=setAvg,"Average","Poor")))</f>
        <v>Average</v>
      </c>
    </row>
    <row r="580" customFormat="false" ht="15" hidden="false" customHeight="false" outlineLevel="0" collapsed="false">
      <c r="A580" s="41" t="s">
        <v>758</v>
      </c>
      <c r="B580" s="41" t="s">
        <v>178</v>
      </c>
      <c r="C580" s="41" t="s">
        <v>85</v>
      </c>
      <c r="D580" s="41" t="s">
        <v>105</v>
      </c>
      <c r="E580" s="41" t="s">
        <v>102</v>
      </c>
      <c r="F580" s="41" t="s">
        <v>81</v>
      </c>
      <c r="G580" s="42" t="n">
        <v>64.27</v>
      </c>
      <c r="H580" s="41" t="n">
        <v>4</v>
      </c>
      <c r="I580" s="42" t="n">
        <v>12.854</v>
      </c>
      <c r="J580" s="42" t="n">
        <v>269.934</v>
      </c>
      <c r="K580" s="43" t="n">
        <v>43550</v>
      </c>
      <c r="L580" s="44" t="n">
        <v>0.579166666666667</v>
      </c>
      <c r="M580" s="41" t="s">
        <v>97</v>
      </c>
      <c r="N580" s="42" t="n">
        <v>257.08</v>
      </c>
      <c r="O580" s="42" t="n">
        <v>12.854</v>
      </c>
      <c r="P580" s="45" t="n">
        <v>7.7</v>
      </c>
      <c r="Q580" s="41" t="str">
        <f aca="false">CHOOSE(MONTH(K580),"Jan","Feb","Mar","Apr","May","Jun","Jul","Aug","Sep","Oct","Nov","Dec")</f>
        <v>Mar</v>
      </c>
      <c r="R580" s="41" t="n">
        <f aca="false">INT((K580-setMinDate)/7)+1</f>
        <v>13</v>
      </c>
      <c r="S580" s="41" t="n">
        <f aca="false">HOUR(L580)</f>
        <v>13</v>
      </c>
      <c r="T580" s="41" t="str">
        <f aca="false">IF(S580&lt;setMorningEnd,"Morning",IF(S580&lt;setAfternoonEnd,"Afternoon","Evening"))</f>
        <v>Afternoon</v>
      </c>
      <c r="U580" s="41" t="str">
        <f aca="false">IF(J580&gt;=setLarge,"Large",IF(J580&gt;=setMedium,"Medium","Small"))</f>
        <v>Medium</v>
      </c>
      <c r="V580" s="41" t="str">
        <f aca="false">IF(P580&gt;=setExc,"Excellent",IF(P580&gt;=setGood,"Good",IF(P580&gt;=setAvg,"Average","Poor")))</f>
        <v>Good</v>
      </c>
    </row>
    <row r="581" customFormat="false" ht="15" hidden="false" customHeight="false" outlineLevel="0" collapsed="false">
      <c r="A581" s="41" t="s">
        <v>759</v>
      </c>
      <c r="B581" s="41" t="s">
        <v>189</v>
      </c>
      <c r="C581" s="41" t="s">
        <v>86</v>
      </c>
      <c r="D581" s="41" t="s">
        <v>105</v>
      </c>
      <c r="E581" s="41" t="s">
        <v>103</v>
      </c>
      <c r="F581" s="41" t="s">
        <v>81</v>
      </c>
      <c r="G581" s="42" t="n">
        <v>69.51</v>
      </c>
      <c r="H581" s="41" t="n">
        <v>2</v>
      </c>
      <c r="I581" s="42" t="n">
        <v>6.951</v>
      </c>
      <c r="J581" s="42" t="n">
        <v>145.971</v>
      </c>
      <c r="K581" s="43" t="n">
        <v>43525</v>
      </c>
      <c r="L581" s="44" t="n">
        <v>0.510416666666667</v>
      </c>
      <c r="M581" s="41" t="s">
        <v>98</v>
      </c>
      <c r="N581" s="42" t="n">
        <v>139.02</v>
      </c>
      <c r="O581" s="42" t="n">
        <v>6.951</v>
      </c>
      <c r="P581" s="45" t="n">
        <v>8.1</v>
      </c>
      <c r="Q581" s="41" t="str">
        <f aca="false">CHOOSE(MONTH(K581),"Jan","Feb","Mar","Apr","May","Jun","Jul","Aug","Sep","Oct","Nov","Dec")</f>
        <v>Mar</v>
      </c>
      <c r="R581" s="41" t="n">
        <f aca="false">INT((K581-setMinDate)/7)+1</f>
        <v>9</v>
      </c>
      <c r="S581" s="41" t="n">
        <f aca="false">HOUR(L581)</f>
        <v>12</v>
      </c>
      <c r="T581" s="41" t="str">
        <f aca="false">IF(S581&lt;setMorningEnd,"Morning",IF(S581&lt;setAfternoonEnd,"Afternoon","Evening"))</f>
        <v>Afternoon</v>
      </c>
      <c r="U581" s="41" t="str">
        <f aca="false">IF(J581&gt;=setLarge,"Large",IF(J581&gt;=setMedium,"Medium","Small"))</f>
        <v>Small</v>
      </c>
      <c r="V581" s="41" t="str">
        <f aca="false">IF(P581&gt;=setExc,"Excellent",IF(P581&gt;=setGood,"Good",IF(P581&gt;=setAvg,"Average","Poor")))</f>
        <v>Good</v>
      </c>
    </row>
    <row r="582" customFormat="false" ht="15" hidden="false" customHeight="false" outlineLevel="0" collapsed="false">
      <c r="A582" s="41" t="s">
        <v>760</v>
      </c>
      <c r="B582" s="41" t="s">
        <v>180</v>
      </c>
      <c r="C582" s="41" t="s">
        <v>87</v>
      </c>
      <c r="D582" s="41" t="s">
        <v>105</v>
      </c>
      <c r="E582" s="41" t="s">
        <v>103</v>
      </c>
      <c r="F582" s="41" t="s">
        <v>76</v>
      </c>
      <c r="G582" s="42" t="n">
        <v>27.22</v>
      </c>
      <c r="H582" s="41" t="n">
        <v>3</v>
      </c>
      <c r="I582" s="42" t="n">
        <v>4.083</v>
      </c>
      <c r="J582" s="42" t="n">
        <v>85.743</v>
      </c>
      <c r="K582" s="43" t="n">
        <v>43472</v>
      </c>
      <c r="L582" s="44" t="n">
        <v>0.525694444444445</v>
      </c>
      <c r="M582" s="41" t="s">
        <v>97</v>
      </c>
      <c r="N582" s="42" t="n">
        <v>81.66</v>
      </c>
      <c r="O582" s="42" t="n">
        <v>4.083</v>
      </c>
      <c r="P582" s="45" t="n">
        <v>7.3</v>
      </c>
      <c r="Q582" s="41" t="str">
        <f aca="false">CHOOSE(MONTH(K582),"Jan","Feb","Mar","Apr","May","Jun","Jul","Aug","Sep","Oct","Nov","Dec")</f>
        <v>Jan</v>
      </c>
      <c r="R582" s="41" t="n">
        <f aca="false">INT((K582-setMinDate)/7)+1</f>
        <v>1</v>
      </c>
      <c r="S582" s="41" t="n">
        <f aca="false">HOUR(L582)</f>
        <v>12</v>
      </c>
      <c r="T582" s="41" t="str">
        <f aca="false">IF(S582&lt;setMorningEnd,"Morning",IF(S582&lt;setAfternoonEnd,"Afternoon","Evening"))</f>
        <v>Afternoon</v>
      </c>
      <c r="U582" s="41" t="str">
        <f aca="false">IF(J582&gt;=setLarge,"Large",IF(J582&gt;=setMedium,"Medium","Small"))</f>
        <v>Small</v>
      </c>
      <c r="V582" s="41" t="str">
        <f aca="false">IF(P582&gt;=setExc,"Excellent",IF(P582&gt;=setGood,"Good",IF(P582&gt;=setAvg,"Average","Poor")))</f>
        <v>Good</v>
      </c>
    </row>
    <row r="583" customFormat="false" ht="15" hidden="false" customHeight="false" outlineLevel="0" collapsed="false">
      <c r="A583" s="41" t="s">
        <v>761</v>
      </c>
      <c r="B583" s="41" t="s">
        <v>178</v>
      </c>
      <c r="C583" s="41" t="s">
        <v>85</v>
      </c>
      <c r="D583" s="41" t="s">
        <v>104</v>
      </c>
      <c r="E583" s="41" t="s">
        <v>102</v>
      </c>
      <c r="F583" s="41" t="s">
        <v>81</v>
      </c>
      <c r="G583" s="42" t="n">
        <v>77.68</v>
      </c>
      <c r="H583" s="41" t="n">
        <v>4</v>
      </c>
      <c r="I583" s="42" t="n">
        <v>15.536</v>
      </c>
      <c r="J583" s="42" t="n">
        <v>326.256</v>
      </c>
      <c r="K583" s="43" t="n">
        <v>43497</v>
      </c>
      <c r="L583" s="44" t="n">
        <v>0.829166666666667</v>
      </c>
      <c r="M583" s="41" t="s">
        <v>97</v>
      </c>
      <c r="N583" s="42" t="n">
        <v>310.72</v>
      </c>
      <c r="O583" s="42" t="n">
        <v>15.536</v>
      </c>
      <c r="P583" s="45" t="n">
        <v>8.4</v>
      </c>
      <c r="Q583" s="41" t="str">
        <f aca="false">CHOOSE(MONTH(K583),"Jan","Feb","Mar","Apr","May","Jun","Jul","Aug","Sep","Oct","Nov","Dec")</f>
        <v>Feb</v>
      </c>
      <c r="R583" s="41" t="n">
        <f aca="false">INT((K583-setMinDate)/7)+1</f>
        <v>5</v>
      </c>
      <c r="S583" s="41" t="n">
        <f aca="false">HOUR(L583)</f>
        <v>19</v>
      </c>
      <c r="T583" s="41" t="str">
        <f aca="false">IF(S583&lt;setMorningEnd,"Morning",IF(S583&lt;setAfternoonEnd,"Afternoon","Evening"))</f>
        <v>Evening</v>
      </c>
      <c r="U583" s="41" t="str">
        <f aca="false">IF(J583&gt;=setLarge,"Large",IF(J583&gt;=setMedium,"Medium","Small"))</f>
        <v>Medium</v>
      </c>
      <c r="V583" s="41" t="str">
        <f aca="false">IF(P583&gt;=setExc,"Excellent",IF(P583&gt;=setGood,"Good",IF(P583&gt;=setAvg,"Average","Poor")))</f>
        <v>Good</v>
      </c>
    </row>
    <row r="584" customFormat="false" ht="15" hidden="false" customHeight="false" outlineLevel="0" collapsed="false">
      <c r="A584" s="41" t="s">
        <v>762</v>
      </c>
      <c r="B584" s="41" t="s">
        <v>180</v>
      </c>
      <c r="C584" s="41" t="s">
        <v>87</v>
      </c>
      <c r="D584" s="41" t="s">
        <v>104</v>
      </c>
      <c r="E584" s="41" t="s">
        <v>102</v>
      </c>
      <c r="F584" s="41" t="s">
        <v>79</v>
      </c>
      <c r="G584" s="42" t="n">
        <v>92.98</v>
      </c>
      <c r="H584" s="41" t="n">
        <v>2</v>
      </c>
      <c r="I584" s="42" t="n">
        <v>9.298</v>
      </c>
      <c r="J584" s="42" t="n">
        <v>195.258</v>
      </c>
      <c r="K584" s="43" t="n">
        <v>43509</v>
      </c>
      <c r="L584" s="44" t="n">
        <v>0.629166666666667</v>
      </c>
      <c r="M584" s="41" t="s">
        <v>99</v>
      </c>
      <c r="N584" s="42" t="n">
        <v>185.96</v>
      </c>
      <c r="O584" s="42" t="n">
        <v>9.298</v>
      </c>
      <c r="P584" s="45" t="n">
        <v>8</v>
      </c>
      <c r="Q584" s="41" t="str">
        <f aca="false">CHOOSE(MONTH(K584),"Jan","Feb","Mar","Apr","May","Jun","Jul","Aug","Sep","Oct","Nov","Dec")</f>
        <v>Feb</v>
      </c>
      <c r="R584" s="41" t="n">
        <f aca="false">INT((K584-setMinDate)/7)+1</f>
        <v>7</v>
      </c>
      <c r="S584" s="41" t="n">
        <f aca="false">HOUR(L584)</f>
        <v>15</v>
      </c>
      <c r="T584" s="41" t="str">
        <f aca="false">IF(S584&lt;setMorningEnd,"Morning",IF(S584&lt;setAfternoonEnd,"Afternoon","Evening"))</f>
        <v>Afternoon</v>
      </c>
      <c r="U584" s="41" t="str">
        <f aca="false">IF(J584&gt;=setLarge,"Large",IF(J584&gt;=setMedium,"Medium","Small"))</f>
        <v>Small</v>
      </c>
      <c r="V584" s="41" t="str">
        <f aca="false">IF(P584&gt;=setExc,"Excellent",IF(P584&gt;=setGood,"Good",IF(P584&gt;=setAvg,"Average","Poor")))</f>
        <v>Good</v>
      </c>
    </row>
    <row r="585" customFormat="false" ht="15" hidden="false" customHeight="false" outlineLevel="0" collapsed="false">
      <c r="A585" s="41" t="s">
        <v>763</v>
      </c>
      <c r="B585" s="41" t="s">
        <v>189</v>
      </c>
      <c r="C585" s="41" t="s">
        <v>86</v>
      </c>
      <c r="D585" s="41" t="s">
        <v>104</v>
      </c>
      <c r="E585" s="41" t="s">
        <v>102</v>
      </c>
      <c r="F585" s="41" t="s">
        <v>79</v>
      </c>
      <c r="G585" s="42" t="n">
        <v>18.08</v>
      </c>
      <c r="H585" s="41" t="n">
        <v>4</v>
      </c>
      <c r="I585" s="42" t="n">
        <v>3.616</v>
      </c>
      <c r="J585" s="42" t="n">
        <v>75.936</v>
      </c>
      <c r="K585" s="43" t="n">
        <v>43479</v>
      </c>
      <c r="L585" s="44" t="n">
        <v>0.752083333333333</v>
      </c>
      <c r="M585" s="41" t="s">
        <v>99</v>
      </c>
      <c r="N585" s="42" t="n">
        <v>72.32</v>
      </c>
      <c r="O585" s="42" t="n">
        <v>3.616</v>
      </c>
      <c r="P585" s="45" t="n">
        <v>9.5</v>
      </c>
      <c r="Q585" s="41" t="str">
        <f aca="false">CHOOSE(MONTH(K585),"Jan","Feb","Mar","Apr","May","Jun","Jul","Aug","Sep","Oct","Nov","Dec")</f>
        <v>Jan</v>
      </c>
      <c r="R585" s="41" t="n">
        <f aca="false">INT((K585-setMinDate)/7)+1</f>
        <v>2</v>
      </c>
      <c r="S585" s="41" t="n">
        <f aca="false">HOUR(L585)</f>
        <v>18</v>
      </c>
      <c r="T585" s="41" t="str">
        <f aca="false">IF(S585&lt;setMorningEnd,"Morning",IF(S585&lt;setAfternoonEnd,"Afternoon","Evening"))</f>
        <v>Evening</v>
      </c>
      <c r="U585" s="41" t="str">
        <f aca="false">IF(J585&gt;=setLarge,"Large",IF(J585&gt;=setMedium,"Medium","Small"))</f>
        <v>Small</v>
      </c>
      <c r="V585" s="41" t="str">
        <f aca="false">IF(P585&gt;=setExc,"Excellent",IF(P585&gt;=setGood,"Good",IF(P585&gt;=setAvg,"Average","Poor")))</f>
        <v>Excellent</v>
      </c>
    </row>
    <row r="586" customFormat="false" ht="15" hidden="false" customHeight="false" outlineLevel="0" collapsed="false">
      <c r="A586" s="41" t="s">
        <v>764</v>
      </c>
      <c r="B586" s="41" t="s">
        <v>189</v>
      </c>
      <c r="C586" s="41" t="s">
        <v>86</v>
      </c>
      <c r="D586" s="41" t="s">
        <v>105</v>
      </c>
      <c r="E586" s="41" t="s">
        <v>103</v>
      </c>
      <c r="F586" s="41" t="s">
        <v>77</v>
      </c>
      <c r="G586" s="42" t="n">
        <v>63.06</v>
      </c>
      <c r="H586" s="41" t="n">
        <v>3</v>
      </c>
      <c r="I586" s="42" t="n">
        <v>9.459</v>
      </c>
      <c r="J586" s="42" t="n">
        <v>198.639</v>
      </c>
      <c r="K586" s="43" t="n">
        <v>43484</v>
      </c>
      <c r="L586" s="44" t="n">
        <v>0.665277777777778</v>
      </c>
      <c r="M586" s="41" t="s">
        <v>98</v>
      </c>
      <c r="N586" s="42" t="n">
        <v>189.18</v>
      </c>
      <c r="O586" s="42" t="n">
        <v>9.459</v>
      </c>
      <c r="P586" s="45" t="n">
        <v>7</v>
      </c>
      <c r="Q586" s="41" t="str">
        <f aca="false">CHOOSE(MONTH(K586),"Jan","Feb","Mar","Apr","May","Jun","Jul","Aug","Sep","Oct","Nov","Dec")</f>
        <v>Jan</v>
      </c>
      <c r="R586" s="41" t="n">
        <f aca="false">INT((K586-setMinDate)/7)+1</f>
        <v>3</v>
      </c>
      <c r="S586" s="41" t="n">
        <f aca="false">HOUR(L586)</f>
        <v>15</v>
      </c>
      <c r="T586" s="41" t="str">
        <f aca="false">IF(S586&lt;setMorningEnd,"Morning",IF(S586&lt;setAfternoonEnd,"Afternoon","Evening"))</f>
        <v>Afternoon</v>
      </c>
      <c r="U586" s="41" t="str">
        <f aca="false">IF(J586&gt;=setLarge,"Large",IF(J586&gt;=setMedium,"Medium","Small"))</f>
        <v>Small</v>
      </c>
      <c r="V586" s="41" t="str">
        <f aca="false">IF(P586&gt;=setExc,"Excellent",IF(P586&gt;=setGood,"Good",IF(P586&gt;=setAvg,"Average","Poor")))</f>
        <v>Good</v>
      </c>
    </row>
    <row r="587" customFormat="false" ht="15" hidden="false" customHeight="false" outlineLevel="0" collapsed="false">
      <c r="A587" s="41" t="s">
        <v>765</v>
      </c>
      <c r="B587" s="41" t="s">
        <v>178</v>
      </c>
      <c r="C587" s="41" t="s">
        <v>85</v>
      </c>
      <c r="D587" s="41" t="s">
        <v>105</v>
      </c>
      <c r="E587" s="41" t="s">
        <v>103</v>
      </c>
      <c r="F587" s="41" t="s">
        <v>81</v>
      </c>
      <c r="G587" s="42" t="n">
        <v>51.71</v>
      </c>
      <c r="H587" s="41" t="n">
        <v>4</v>
      </c>
      <c r="I587" s="42" t="n">
        <v>10.342</v>
      </c>
      <c r="J587" s="42" t="n">
        <v>217.182</v>
      </c>
      <c r="K587" s="43" t="n">
        <v>43533</v>
      </c>
      <c r="L587" s="44" t="n">
        <v>0.578472222222222</v>
      </c>
      <c r="M587" s="41" t="s">
        <v>99</v>
      </c>
      <c r="N587" s="42" t="n">
        <v>206.84</v>
      </c>
      <c r="O587" s="42" t="n">
        <v>10.342</v>
      </c>
      <c r="P587" s="45" t="n">
        <v>9.8</v>
      </c>
      <c r="Q587" s="41" t="str">
        <f aca="false">CHOOSE(MONTH(K587),"Jan","Feb","Mar","Apr","May","Jun","Jul","Aug","Sep","Oct","Nov","Dec")</f>
        <v>Mar</v>
      </c>
      <c r="R587" s="41" t="n">
        <f aca="false">INT((K587-setMinDate)/7)+1</f>
        <v>10</v>
      </c>
      <c r="S587" s="41" t="n">
        <f aca="false">HOUR(L587)</f>
        <v>13</v>
      </c>
      <c r="T587" s="41" t="str">
        <f aca="false">IF(S587&lt;setMorningEnd,"Morning",IF(S587&lt;setAfternoonEnd,"Afternoon","Evening"))</f>
        <v>Afternoon</v>
      </c>
      <c r="U587" s="41" t="str">
        <f aca="false">IF(J587&gt;=setLarge,"Large",IF(J587&gt;=setMedium,"Medium","Small"))</f>
        <v>Small</v>
      </c>
      <c r="V587" s="41" t="str">
        <f aca="false">IF(P587&gt;=setExc,"Excellent",IF(P587&gt;=setGood,"Good",IF(P587&gt;=setAvg,"Average","Poor")))</f>
        <v>Excellent</v>
      </c>
    </row>
    <row r="588" customFormat="false" ht="15" hidden="false" customHeight="false" outlineLevel="0" collapsed="false">
      <c r="A588" s="41" t="s">
        <v>766</v>
      </c>
      <c r="B588" s="41" t="s">
        <v>178</v>
      </c>
      <c r="C588" s="41" t="s">
        <v>85</v>
      </c>
      <c r="D588" s="41" t="s">
        <v>105</v>
      </c>
      <c r="E588" s="41" t="s">
        <v>102</v>
      </c>
      <c r="F588" s="41" t="s">
        <v>76</v>
      </c>
      <c r="G588" s="42" t="n">
        <v>52.34</v>
      </c>
      <c r="H588" s="41" t="n">
        <v>3</v>
      </c>
      <c r="I588" s="42" t="n">
        <v>7.851</v>
      </c>
      <c r="J588" s="42" t="n">
        <v>164.871</v>
      </c>
      <c r="K588" s="43" t="n">
        <v>43551</v>
      </c>
      <c r="L588" s="44" t="n">
        <v>0.585416666666667</v>
      </c>
      <c r="M588" s="41" t="s">
        <v>97</v>
      </c>
      <c r="N588" s="42" t="n">
        <v>157.02</v>
      </c>
      <c r="O588" s="42" t="n">
        <v>7.851</v>
      </c>
      <c r="P588" s="45" t="n">
        <v>9.2</v>
      </c>
      <c r="Q588" s="41" t="str">
        <f aca="false">CHOOSE(MONTH(K588),"Jan","Feb","Mar","Apr","May","Jun","Jul","Aug","Sep","Oct","Nov","Dec")</f>
        <v>Mar</v>
      </c>
      <c r="R588" s="41" t="n">
        <f aca="false">INT((K588-setMinDate)/7)+1</f>
        <v>13</v>
      </c>
      <c r="S588" s="41" t="n">
        <f aca="false">HOUR(L588)</f>
        <v>14</v>
      </c>
      <c r="T588" s="41" t="str">
        <f aca="false">IF(S588&lt;setMorningEnd,"Morning",IF(S588&lt;setAfternoonEnd,"Afternoon","Evening"))</f>
        <v>Afternoon</v>
      </c>
      <c r="U588" s="41" t="str">
        <f aca="false">IF(J588&gt;=setLarge,"Large",IF(J588&gt;=setMedium,"Medium","Small"))</f>
        <v>Small</v>
      </c>
      <c r="V588" s="41" t="str">
        <f aca="false">IF(P588&gt;=setExc,"Excellent",IF(P588&gt;=setGood,"Good",IF(P588&gt;=setAvg,"Average","Poor")))</f>
        <v>Excellent</v>
      </c>
    </row>
    <row r="589" customFormat="false" ht="15" hidden="false" customHeight="false" outlineLevel="0" collapsed="false">
      <c r="A589" s="41" t="s">
        <v>767</v>
      </c>
      <c r="B589" s="41" t="s">
        <v>178</v>
      </c>
      <c r="C589" s="41" t="s">
        <v>85</v>
      </c>
      <c r="D589" s="41" t="s">
        <v>105</v>
      </c>
      <c r="E589" s="41" t="s">
        <v>102</v>
      </c>
      <c r="F589" s="41" t="s">
        <v>77</v>
      </c>
      <c r="G589" s="42" t="n">
        <v>43.06</v>
      </c>
      <c r="H589" s="41" t="n">
        <v>5</v>
      </c>
      <c r="I589" s="42" t="n">
        <v>10.765</v>
      </c>
      <c r="J589" s="42" t="n">
        <v>226.065</v>
      </c>
      <c r="K589" s="43" t="n">
        <v>43500</v>
      </c>
      <c r="L589" s="44" t="n">
        <v>0.693055555555556</v>
      </c>
      <c r="M589" s="41" t="s">
        <v>98</v>
      </c>
      <c r="N589" s="42" t="n">
        <v>215.3</v>
      </c>
      <c r="O589" s="42" t="n">
        <v>10.765</v>
      </c>
      <c r="P589" s="45" t="n">
        <v>7.7</v>
      </c>
      <c r="Q589" s="41" t="str">
        <f aca="false">CHOOSE(MONTH(K589),"Jan","Feb","Mar","Apr","May","Jun","Jul","Aug","Sep","Oct","Nov","Dec")</f>
        <v>Feb</v>
      </c>
      <c r="R589" s="41" t="n">
        <f aca="false">INT((K589-setMinDate)/7)+1</f>
        <v>5</v>
      </c>
      <c r="S589" s="41" t="n">
        <f aca="false">HOUR(L589)</f>
        <v>16</v>
      </c>
      <c r="T589" s="41" t="str">
        <f aca="false">IF(S589&lt;setMorningEnd,"Morning",IF(S589&lt;setAfternoonEnd,"Afternoon","Evening"))</f>
        <v>Afternoon</v>
      </c>
      <c r="U589" s="41" t="str">
        <f aca="false">IF(J589&gt;=setLarge,"Large",IF(J589&gt;=setMedium,"Medium","Small"))</f>
        <v>Small</v>
      </c>
      <c r="V589" s="41" t="str">
        <f aca="false">IF(P589&gt;=setExc,"Excellent",IF(P589&gt;=setGood,"Good",IF(P589&gt;=setAvg,"Average","Poor")))</f>
        <v>Good</v>
      </c>
    </row>
    <row r="590" customFormat="false" ht="15" hidden="false" customHeight="false" outlineLevel="0" collapsed="false">
      <c r="A590" s="41" t="s">
        <v>768</v>
      </c>
      <c r="B590" s="41" t="s">
        <v>180</v>
      </c>
      <c r="C590" s="41" t="s">
        <v>87</v>
      </c>
      <c r="D590" s="41" t="s">
        <v>105</v>
      </c>
      <c r="E590" s="41" t="s">
        <v>103</v>
      </c>
      <c r="F590" s="41" t="s">
        <v>79</v>
      </c>
      <c r="G590" s="42" t="n">
        <v>59.61</v>
      </c>
      <c r="H590" s="41" t="n">
        <v>10</v>
      </c>
      <c r="I590" s="42" t="n">
        <v>29.805</v>
      </c>
      <c r="J590" s="42" t="n">
        <v>625.905</v>
      </c>
      <c r="K590" s="43" t="n">
        <v>43538</v>
      </c>
      <c r="L590" s="44" t="n">
        <v>0.463194444444445</v>
      </c>
      <c r="M590" s="41" t="s">
        <v>97</v>
      </c>
      <c r="N590" s="42" t="n">
        <v>596.1</v>
      </c>
      <c r="O590" s="42" t="n">
        <v>29.805</v>
      </c>
      <c r="P590" s="45" t="n">
        <v>5.3</v>
      </c>
      <c r="Q590" s="41" t="str">
        <f aca="false">CHOOSE(MONTH(K590),"Jan","Feb","Mar","Apr","May","Jun","Jul","Aug","Sep","Oct","Nov","Dec")</f>
        <v>Mar</v>
      </c>
      <c r="R590" s="41" t="n">
        <f aca="false">INT((K590-setMinDate)/7)+1</f>
        <v>11</v>
      </c>
      <c r="S590" s="41" t="n">
        <f aca="false">HOUR(L590)</f>
        <v>11</v>
      </c>
      <c r="T590" s="41" t="str">
        <f aca="false">IF(S590&lt;setMorningEnd,"Morning",IF(S590&lt;setAfternoonEnd,"Afternoon","Evening"))</f>
        <v>Morning</v>
      </c>
      <c r="U590" s="41" t="str">
        <f aca="false">IF(J590&gt;=setLarge,"Large",IF(J590&gt;=setMedium,"Medium","Small"))</f>
        <v>Large</v>
      </c>
      <c r="V590" s="41" t="str">
        <f aca="false">IF(P590&gt;=setExc,"Excellent",IF(P590&gt;=setGood,"Good",IF(P590&gt;=setAvg,"Average","Poor")))</f>
        <v>Average</v>
      </c>
    </row>
    <row r="591" customFormat="false" ht="15" hidden="false" customHeight="false" outlineLevel="0" collapsed="false">
      <c r="A591" s="41" t="s">
        <v>769</v>
      </c>
      <c r="B591" s="41" t="s">
        <v>178</v>
      </c>
      <c r="C591" s="41" t="s">
        <v>85</v>
      </c>
      <c r="D591" s="41" t="s">
        <v>105</v>
      </c>
      <c r="E591" s="41" t="s">
        <v>103</v>
      </c>
      <c r="F591" s="41" t="s">
        <v>81</v>
      </c>
      <c r="G591" s="42" t="n">
        <v>14.62</v>
      </c>
      <c r="H591" s="41" t="n">
        <v>5</v>
      </c>
      <c r="I591" s="42" t="n">
        <v>3.655</v>
      </c>
      <c r="J591" s="42" t="n">
        <v>76.755</v>
      </c>
      <c r="K591" s="43" t="n">
        <v>43528</v>
      </c>
      <c r="L591" s="44" t="n">
        <v>0.515972222222222</v>
      </c>
      <c r="M591" s="41" t="s">
        <v>97</v>
      </c>
      <c r="N591" s="42" t="n">
        <v>73.1</v>
      </c>
      <c r="O591" s="42" t="n">
        <v>3.655</v>
      </c>
      <c r="P591" s="45" t="n">
        <v>4.4</v>
      </c>
      <c r="Q591" s="41" t="str">
        <f aca="false">CHOOSE(MONTH(K591),"Jan","Feb","Mar","Apr","May","Jun","Jul","Aug","Sep","Oct","Nov","Dec")</f>
        <v>Mar</v>
      </c>
      <c r="R591" s="41" t="n">
        <f aca="false">INT((K591-setMinDate)/7)+1</f>
        <v>9</v>
      </c>
      <c r="S591" s="41" t="n">
        <f aca="false">HOUR(L591)</f>
        <v>12</v>
      </c>
      <c r="T591" s="41" t="str">
        <f aca="false">IF(S591&lt;setMorningEnd,"Morning",IF(S591&lt;setAfternoonEnd,"Afternoon","Evening"))</f>
        <v>Afternoon</v>
      </c>
      <c r="U591" s="41" t="str">
        <f aca="false">IF(J591&gt;=setLarge,"Large",IF(J591&gt;=setMedium,"Medium","Small"))</f>
        <v>Small</v>
      </c>
      <c r="V591" s="41" t="str">
        <f aca="false">IF(P591&gt;=setExc,"Excellent",IF(P591&gt;=setGood,"Good",IF(P591&gt;=setAvg,"Average","Poor")))</f>
        <v>Poor</v>
      </c>
    </row>
    <row r="592" customFormat="false" ht="15" hidden="false" customHeight="false" outlineLevel="0" collapsed="false">
      <c r="A592" s="41" t="s">
        <v>770</v>
      </c>
      <c r="B592" s="41" t="s">
        <v>180</v>
      </c>
      <c r="C592" s="41" t="s">
        <v>87</v>
      </c>
      <c r="D592" s="41" t="s">
        <v>104</v>
      </c>
      <c r="E592" s="41" t="s">
        <v>103</v>
      </c>
      <c r="F592" s="41" t="s">
        <v>81</v>
      </c>
      <c r="G592" s="42" t="n">
        <v>46.53</v>
      </c>
      <c r="H592" s="41" t="n">
        <v>6</v>
      </c>
      <c r="I592" s="42" t="n">
        <v>13.959</v>
      </c>
      <c r="J592" s="42" t="n">
        <v>293.139</v>
      </c>
      <c r="K592" s="43" t="n">
        <v>43527</v>
      </c>
      <c r="L592" s="44" t="n">
        <v>0.454166666666667</v>
      </c>
      <c r="M592" s="41" t="s">
        <v>99</v>
      </c>
      <c r="N592" s="42" t="n">
        <v>279.18</v>
      </c>
      <c r="O592" s="42" t="n">
        <v>13.959</v>
      </c>
      <c r="P592" s="45" t="n">
        <v>4.3</v>
      </c>
      <c r="Q592" s="41" t="str">
        <f aca="false">CHOOSE(MONTH(K592),"Jan","Feb","Mar","Apr","May","Jun","Jul","Aug","Sep","Oct","Nov","Dec")</f>
        <v>Mar</v>
      </c>
      <c r="R592" s="41" t="n">
        <f aca="false">INT((K592-setMinDate)/7)+1</f>
        <v>9</v>
      </c>
      <c r="S592" s="41" t="n">
        <f aca="false">HOUR(L592)</f>
        <v>10</v>
      </c>
      <c r="T592" s="41" t="str">
        <f aca="false">IF(S592&lt;setMorningEnd,"Morning",IF(S592&lt;setAfternoonEnd,"Afternoon","Evening"))</f>
        <v>Morning</v>
      </c>
      <c r="U592" s="41" t="str">
        <f aca="false">IF(J592&gt;=setLarge,"Large",IF(J592&gt;=setMedium,"Medium","Small"))</f>
        <v>Medium</v>
      </c>
      <c r="V592" s="41" t="str">
        <f aca="false">IF(P592&gt;=setExc,"Excellent",IF(P592&gt;=setGood,"Good",IF(P592&gt;=setAvg,"Average","Poor")))</f>
        <v>Poor</v>
      </c>
    </row>
    <row r="593" customFormat="false" ht="15" hidden="false" customHeight="false" outlineLevel="0" collapsed="false">
      <c r="A593" s="41" t="s">
        <v>771</v>
      </c>
      <c r="B593" s="41" t="s">
        <v>180</v>
      </c>
      <c r="C593" s="41" t="s">
        <v>87</v>
      </c>
      <c r="D593" s="41" t="s">
        <v>104</v>
      </c>
      <c r="E593" s="41" t="s">
        <v>102</v>
      </c>
      <c r="F593" s="41" t="s">
        <v>80</v>
      </c>
      <c r="G593" s="42" t="n">
        <v>24.24</v>
      </c>
      <c r="H593" s="41" t="n">
        <v>7</v>
      </c>
      <c r="I593" s="42" t="n">
        <v>8.484</v>
      </c>
      <c r="J593" s="42" t="n">
        <v>178.164</v>
      </c>
      <c r="K593" s="43" t="n">
        <v>43492</v>
      </c>
      <c r="L593" s="44" t="n">
        <v>0.734722222222222</v>
      </c>
      <c r="M593" s="41" t="s">
        <v>98</v>
      </c>
      <c r="N593" s="42" t="n">
        <v>169.68</v>
      </c>
      <c r="O593" s="42" t="n">
        <v>8.484</v>
      </c>
      <c r="P593" s="45" t="n">
        <v>9.4</v>
      </c>
      <c r="Q593" s="41" t="str">
        <f aca="false">CHOOSE(MONTH(K593),"Jan","Feb","Mar","Apr","May","Jun","Jul","Aug","Sep","Oct","Nov","Dec")</f>
        <v>Jan</v>
      </c>
      <c r="R593" s="41" t="n">
        <f aca="false">INT((K593-setMinDate)/7)+1</f>
        <v>4</v>
      </c>
      <c r="S593" s="41" t="n">
        <f aca="false">HOUR(L593)</f>
        <v>17</v>
      </c>
      <c r="T593" s="41" t="str">
        <f aca="false">IF(S593&lt;setMorningEnd,"Morning",IF(S593&lt;setAfternoonEnd,"Afternoon","Evening"))</f>
        <v>Evening</v>
      </c>
      <c r="U593" s="41" t="str">
        <f aca="false">IF(J593&gt;=setLarge,"Large",IF(J593&gt;=setMedium,"Medium","Small"))</f>
        <v>Small</v>
      </c>
      <c r="V593" s="41" t="str">
        <f aca="false">IF(P593&gt;=setExc,"Excellent",IF(P593&gt;=setGood,"Good",IF(P593&gt;=setAvg,"Average","Poor")))</f>
        <v>Excellent</v>
      </c>
    </row>
    <row r="594" customFormat="false" ht="15" hidden="false" customHeight="false" outlineLevel="0" collapsed="false">
      <c r="A594" s="41" t="s">
        <v>772</v>
      </c>
      <c r="B594" s="41" t="s">
        <v>178</v>
      </c>
      <c r="C594" s="41" t="s">
        <v>85</v>
      </c>
      <c r="D594" s="41" t="s">
        <v>104</v>
      </c>
      <c r="E594" s="41" t="s">
        <v>102</v>
      </c>
      <c r="F594" s="41" t="s">
        <v>77</v>
      </c>
      <c r="G594" s="42" t="n">
        <v>45.58</v>
      </c>
      <c r="H594" s="41" t="n">
        <v>1</v>
      </c>
      <c r="I594" s="42" t="n">
        <v>2.279</v>
      </c>
      <c r="J594" s="42" t="n">
        <v>47.859</v>
      </c>
      <c r="K594" s="43" t="n">
        <v>43503</v>
      </c>
      <c r="L594" s="44" t="n">
        <v>0.592361111111111</v>
      </c>
      <c r="M594" s="41" t="s">
        <v>97</v>
      </c>
      <c r="N594" s="42" t="n">
        <v>45.58</v>
      </c>
      <c r="O594" s="42" t="n">
        <v>2.279</v>
      </c>
      <c r="P594" s="45" t="n">
        <v>9.8</v>
      </c>
      <c r="Q594" s="41" t="str">
        <f aca="false">CHOOSE(MONTH(K594),"Jan","Feb","Mar","Apr","May","Jun","Jul","Aug","Sep","Oct","Nov","Dec")</f>
        <v>Feb</v>
      </c>
      <c r="R594" s="41" t="n">
        <f aca="false">INT((K594-setMinDate)/7)+1</f>
        <v>6</v>
      </c>
      <c r="S594" s="41" t="n">
        <f aca="false">HOUR(L594)</f>
        <v>14</v>
      </c>
      <c r="T594" s="41" t="str">
        <f aca="false">IF(S594&lt;setMorningEnd,"Morning",IF(S594&lt;setAfternoonEnd,"Afternoon","Evening"))</f>
        <v>Afternoon</v>
      </c>
      <c r="U594" s="41" t="str">
        <f aca="false">IF(J594&gt;=setLarge,"Large",IF(J594&gt;=setMedium,"Medium","Small"))</f>
        <v>Small</v>
      </c>
      <c r="V594" s="41" t="str">
        <f aca="false">IF(P594&gt;=setExc,"Excellent",IF(P594&gt;=setGood,"Good",IF(P594&gt;=setAvg,"Average","Poor")))</f>
        <v>Excellent</v>
      </c>
    </row>
    <row r="595" customFormat="false" ht="15" hidden="false" customHeight="false" outlineLevel="0" collapsed="false">
      <c r="A595" s="41" t="s">
        <v>773</v>
      </c>
      <c r="B595" s="41" t="s">
        <v>178</v>
      </c>
      <c r="C595" s="41" t="s">
        <v>85</v>
      </c>
      <c r="D595" s="41" t="s">
        <v>104</v>
      </c>
      <c r="E595" s="41" t="s">
        <v>102</v>
      </c>
      <c r="F595" s="41" t="s">
        <v>77</v>
      </c>
      <c r="G595" s="42" t="n">
        <v>75.2</v>
      </c>
      <c r="H595" s="41" t="n">
        <v>3</v>
      </c>
      <c r="I595" s="42" t="n">
        <v>11.28</v>
      </c>
      <c r="J595" s="42" t="n">
        <v>236.88</v>
      </c>
      <c r="K595" s="43" t="n">
        <v>43501</v>
      </c>
      <c r="L595" s="44" t="n">
        <v>0.49375</v>
      </c>
      <c r="M595" s="41" t="s">
        <v>98</v>
      </c>
      <c r="N595" s="42" t="n">
        <v>225.6</v>
      </c>
      <c r="O595" s="42" t="n">
        <v>11.28</v>
      </c>
      <c r="P595" s="45" t="n">
        <v>4.8</v>
      </c>
      <c r="Q595" s="41" t="str">
        <f aca="false">CHOOSE(MONTH(K595),"Jan","Feb","Mar","Apr","May","Jun","Jul","Aug","Sep","Oct","Nov","Dec")</f>
        <v>Feb</v>
      </c>
      <c r="R595" s="41" t="n">
        <f aca="false">INT((K595-setMinDate)/7)+1</f>
        <v>6</v>
      </c>
      <c r="S595" s="41" t="n">
        <f aca="false">HOUR(L595)</f>
        <v>11</v>
      </c>
      <c r="T595" s="41" t="str">
        <f aca="false">IF(S595&lt;setMorningEnd,"Morning",IF(S595&lt;setAfternoonEnd,"Afternoon","Evening"))</f>
        <v>Morning</v>
      </c>
      <c r="U595" s="41" t="str">
        <f aca="false">IF(J595&gt;=setLarge,"Large",IF(J595&gt;=setMedium,"Medium","Small"))</f>
        <v>Small</v>
      </c>
      <c r="V595" s="41" t="str">
        <f aca="false">IF(P595&gt;=setExc,"Excellent",IF(P595&gt;=setGood,"Good",IF(P595&gt;=setAvg,"Average","Poor")))</f>
        <v>Poor</v>
      </c>
    </row>
    <row r="596" customFormat="false" ht="15" hidden="false" customHeight="false" outlineLevel="0" collapsed="false">
      <c r="A596" s="41" t="s">
        <v>774</v>
      </c>
      <c r="B596" s="41" t="s">
        <v>189</v>
      </c>
      <c r="C596" s="41" t="s">
        <v>86</v>
      </c>
      <c r="D596" s="41" t="s">
        <v>104</v>
      </c>
      <c r="E596" s="41" t="s">
        <v>103</v>
      </c>
      <c r="F596" s="41" t="s">
        <v>77</v>
      </c>
      <c r="G596" s="42" t="n">
        <v>96.8</v>
      </c>
      <c r="H596" s="41" t="n">
        <v>3</v>
      </c>
      <c r="I596" s="42" t="n">
        <v>14.52</v>
      </c>
      <c r="J596" s="42" t="n">
        <v>304.92</v>
      </c>
      <c r="K596" s="43" t="n">
        <v>43539</v>
      </c>
      <c r="L596" s="44" t="n">
        <v>0.545138888888889</v>
      </c>
      <c r="M596" s="41" t="s">
        <v>97</v>
      </c>
      <c r="N596" s="42" t="n">
        <v>290.4</v>
      </c>
      <c r="O596" s="42" t="n">
        <v>14.52</v>
      </c>
      <c r="P596" s="45" t="n">
        <v>5.3</v>
      </c>
      <c r="Q596" s="41" t="str">
        <f aca="false">CHOOSE(MONTH(K596),"Jan","Feb","Mar","Apr","May","Jun","Jul","Aug","Sep","Oct","Nov","Dec")</f>
        <v>Mar</v>
      </c>
      <c r="R596" s="41" t="n">
        <f aca="false">INT((K596-setMinDate)/7)+1</f>
        <v>11</v>
      </c>
      <c r="S596" s="41" t="n">
        <f aca="false">HOUR(L596)</f>
        <v>13</v>
      </c>
      <c r="T596" s="41" t="str">
        <f aca="false">IF(S596&lt;setMorningEnd,"Morning",IF(S596&lt;setAfternoonEnd,"Afternoon","Evening"))</f>
        <v>Afternoon</v>
      </c>
      <c r="U596" s="41" t="str">
        <f aca="false">IF(J596&gt;=setLarge,"Large",IF(J596&gt;=setMedium,"Medium","Small"))</f>
        <v>Medium</v>
      </c>
      <c r="V596" s="41" t="str">
        <f aca="false">IF(P596&gt;=setExc,"Excellent",IF(P596&gt;=setGood,"Good",IF(P596&gt;=setAvg,"Average","Poor")))</f>
        <v>Average</v>
      </c>
    </row>
    <row r="597" customFormat="false" ht="15" hidden="false" customHeight="false" outlineLevel="0" collapsed="false">
      <c r="A597" s="41" t="s">
        <v>775</v>
      </c>
      <c r="B597" s="41" t="s">
        <v>189</v>
      </c>
      <c r="C597" s="41" t="s">
        <v>86</v>
      </c>
      <c r="D597" s="41" t="s">
        <v>105</v>
      </c>
      <c r="E597" s="41" t="s">
        <v>103</v>
      </c>
      <c r="F597" s="41" t="s">
        <v>81</v>
      </c>
      <c r="G597" s="42" t="n">
        <v>14.82</v>
      </c>
      <c r="H597" s="41" t="n">
        <v>3</v>
      </c>
      <c r="I597" s="42" t="n">
        <v>2.223</v>
      </c>
      <c r="J597" s="42" t="n">
        <v>46.683</v>
      </c>
      <c r="K597" s="43" t="n">
        <v>43525</v>
      </c>
      <c r="L597" s="44" t="n">
        <v>0.479166666666667</v>
      </c>
      <c r="M597" s="41" t="s">
        <v>99</v>
      </c>
      <c r="N597" s="42" t="n">
        <v>44.46</v>
      </c>
      <c r="O597" s="42" t="n">
        <v>2.223</v>
      </c>
      <c r="P597" s="45" t="n">
        <v>8.7</v>
      </c>
      <c r="Q597" s="41" t="str">
        <f aca="false">CHOOSE(MONTH(K597),"Jan","Feb","Mar","Apr","May","Jun","Jul","Aug","Sep","Oct","Nov","Dec")</f>
        <v>Mar</v>
      </c>
      <c r="R597" s="41" t="n">
        <f aca="false">INT((K597-setMinDate)/7)+1</f>
        <v>9</v>
      </c>
      <c r="S597" s="41" t="n">
        <f aca="false">HOUR(L597)</f>
        <v>11</v>
      </c>
      <c r="T597" s="41" t="str">
        <f aca="false">IF(S597&lt;setMorningEnd,"Morning",IF(S597&lt;setAfternoonEnd,"Afternoon","Evening"))</f>
        <v>Morning</v>
      </c>
      <c r="U597" s="41" t="str">
        <f aca="false">IF(J597&gt;=setLarge,"Large",IF(J597&gt;=setMedium,"Medium","Small"))</f>
        <v>Small</v>
      </c>
      <c r="V597" s="41" t="str">
        <f aca="false">IF(P597&gt;=setExc,"Excellent",IF(P597&gt;=setGood,"Good",IF(P597&gt;=setAvg,"Average","Poor")))</f>
        <v>Good</v>
      </c>
    </row>
    <row r="598" customFormat="false" ht="15" hidden="false" customHeight="false" outlineLevel="0" collapsed="false">
      <c r="A598" s="41" t="s">
        <v>776</v>
      </c>
      <c r="B598" s="41" t="s">
        <v>178</v>
      </c>
      <c r="C598" s="41" t="s">
        <v>85</v>
      </c>
      <c r="D598" s="41" t="s">
        <v>105</v>
      </c>
      <c r="E598" s="41" t="s">
        <v>103</v>
      </c>
      <c r="F598" s="41" t="s">
        <v>76</v>
      </c>
      <c r="G598" s="42" t="n">
        <v>52.2</v>
      </c>
      <c r="H598" s="41" t="n">
        <v>3</v>
      </c>
      <c r="I598" s="42" t="n">
        <v>7.83</v>
      </c>
      <c r="J598" s="42" t="n">
        <v>164.43</v>
      </c>
      <c r="K598" s="43" t="n">
        <v>43511</v>
      </c>
      <c r="L598" s="44" t="n">
        <v>0.5625</v>
      </c>
      <c r="M598" s="41" t="s">
        <v>99</v>
      </c>
      <c r="N598" s="42" t="n">
        <v>156.6</v>
      </c>
      <c r="O598" s="42" t="n">
        <v>7.83</v>
      </c>
      <c r="P598" s="45" t="n">
        <v>9.5</v>
      </c>
      <c r="Q598" s="41" t="str">
        <f aca="false">CHOOSE(MONTH(K598),"Jan","Feb","Mar","Apr","May","Jun","Jul","Aug","Sep","Oct","Nov","Dec")</f>
        <v>Feb</v>
      </c>
      <c r="R598" s="41" t="n">
        <f aca="false">INT((K598-setMinDate)/7)+1</f>
        <v>7</v>
      </c>
      <c r="S598" s="41" t="n">
        <f aca="false">HOUR(L598)</f>
        <v>13</v>
      </c>
      <c r="T598" s="41" t="str">
        <f aca="false">IF(S598&lt;setMorningEnd,"Morning",IF(S598&lt;setAfternoonEnd,"Afternoon","Evening"))</f>
        <v>Afternoon</v>
      </c>
      <c r="U598" s="41" t="str">
        <f aca="false">IF(J598&gt;=setLarge,"Large",IF(J598&gt;=setMedium,"Medium","Small"))</f>
        <v>Small</v>
      </c>
      <c r="V598" s="41" t="str">
        <f aca="false">IF(P598&gt;=setExc,"Excellent",IF(P598&gt;=setGood,"Good",IF(P598&gt;=setAvg,"Average","Poor")))</f>
        <v>Excellent</v>
      </c>
    </row>
    <row r="599" customFormat="false" ht="15" hidden="false" customHeight="false" outlineLevel="0" collapsed="false">
      <c r="A599" s="41" t="s">
        <v>777</v>
      </c>
      <c r="B599" s="41" t="s">
        <v>180</v>
      </c>
      <c r="C599" s="41" t="s">
        <v>87</v>
      </c>
      <c r="D599" s="41" t="s">
        <v>105</v>
      </c>
      <c r="E599" s="41" t="s">
        <v>102</v>
      </c>
      <c r="F599" s="41" t="s">
        <v>77</v>
      </c>
      <c r="G599" s="42" t="n">
        <v>46.66</v>
      </c>
      <c r="H599" s="41" t="n">
        <v>9</v>
      </c>
      <c r="I599" s="42" t="n">
        <v>20.997</v>
      </c>
      <c r="J599" s="42" t="n">
        <v>440.937</v>
      </c>
      <c r="K599" s="43" t="n">
        <v>43513</v>
      </c>
      <c r="L599" s="44" t="n">
        <v>0.799305555555556</v>
      </c>
      <c r="M599" s="41" t="s">
        <v>98</v>
      </c>
      <c r="N599" s="42" t="n">
        <v>419.94</v>
      </c>
      <c r="O599" s="42" t="n">
        <v>20.997</v>
      </c>
      <c r="P599" s="45" t="n">
        <v>5.3</v>
      </c>
      <c r="Q599" s="41" t="str">
        <f aca="false">CHOOSE(MONTH(K599),"Jan","Feb","Mar","Apr","May","Jun","Jul","Aug","Sep","Oct","Nov","Dec")</f>
        <v>Feb</v>
      </c>
      <c r="R599" s="41" t="n">
        <f aca="false">INT((K599-setMinDate)/7)+1</f>
        <v>7</v>
      </c>
      <c r="S599" s="41" t="n">
        <f aca="false">HOUR(L599)</f>
        <v>19</v>
      </c>
      <c r="T599" s="41" t="str">
        <f aca="false">IF(S599&lt;setMorningEnd,"Morning",IF(S599&lt;setAfternoonEnd,"Afternoon","Evening"))</f>
        <v>Evening</v>
      </c>
      <c r="U599" s="41" t="str">
        <f aca="false">IF(J599&gt;=setLarge,"Large",IF(J599&gt;=setMedium,"Medium","Small"))</f>
        <v>Medium</v>
      </c>
      <c r="V599" s="41" t="str">
        <f aca="false">IF(P599&gt;=setExc,"Excellent",IF(P599&gt;=setGood,"Good",IF(P599&gt;=setAvg,"Average","Poor")))</f>
        <v>Average</v>
      </c>
    </row>
    <row r="600" customFormat="false" ht="15" hidden="false" customHeight="false" outlineLevel="0" collapsed="false">
      <c r="A600" s="41" t="s">
        <v>778</v>
      </c>
      <c r="B600" s="41" t="s">
        <v>180</v>
      </c>
      <c r="C600" s="41" t="s">
        <v>87</v>
      </c>
      <c r="D600" s="41" t="s">
        <v>105</v>
      </c>
      <c r="E600" s="41" t="s">
        <v>102</v>
      </c>
      <c r="F600" s="41" t="s">
        <v>79</v>
      </c>
      <c r="G600" s="42" t="n">
        <v>36.85</v>
      </c>
      <c r="H600" s="41" t="n">
        <v>5</v>
      </c>
      <c r="I600" s="42" t="n">
        <v>9.2125</v>
      </c>
      <c r="J600" s="42" t="n">
        <v>193.4625</v>
      </c>
      <c r="K600" s="43" t="n">
        <v>43491</v>
      </c>
      <c r="L600" s="44" t="n">
        <v>0.786805555555556</v>
      </c>
      <c r="M600" s="41" t="s">
        <v>97</v>
      </c>
      <c r="N600" s="42" t="n">
        <v>184.25</v>
      </c>
      <c r="O600" s="42" t="n">
        <v>9.2125</v>
      </c>
      <c r="P600" s="45" t="n">
        <v>9.2</v>
      </c>
      <c r="Q600" s="41" t="str">
        <f aca="false">CHOOSE(MONTH(K600),"Jan","Feb","Mar","Apr","May","Jun","Jul","Aug","Sep","Oct","Nov","Dec")</f>
        <v>Jan</v>
      </c>
      <c r="R600" s="41" t="n">
        <f aca="false">INT((K600-setMinDate)/7)+1</f>
        <v>4</v>
      </c>
      <c r="S600" s="41" t="n">
        <f aca="false">HOUR(L600)</f>
        <v>18</v>
      </c>
      <c r="T600" s="41" t="str">
        <f aca="false">IF(S600&lt;setMorningEnd,"Morning",IF(S600&lt;setAfternoonEnd,"Afternoon","Evening"))</f>
        <v>Evening</v>
      </c>
      <c r="U600" s="41" t="str">
        <f aca="false">IF(J600&gt;=setLarge,"Large",IF(J600&gt;=setMedium,"Medium","Small"))</f>
        <v>Small</v>
      </c>
      <c r="V600" s="41" t="str">
        <f aca="false">IF(P600&gt;=setExc,"Excellent",IF(P600&gt;=setGood,"Good",IF(P600&gt;=setAvg,"Average","Poor")))</f>
        <v>Excellent</v>
      </c>
    </row>
    <row r="601" customFormat="false" ht="15" hidden="false" customHeight="false" outlineLevel="0" collapsed="false">
      <c r="A601" s="41" t="s">
        <v>779</v>
      </c>
      <c r="B601" s="41" t="s">
        <v>178</v>
      </c>
      <c r="C601" s="41" t="s">
        <v>85</v>
      </c>
      <c r="D601" s="41" t="s">
        <v>104</v>
      </c>
      <c r="E601" s="41" t="s">
        <v>102</v>
      </c>
      <c r="F601" s="41" t="s">
        <v>80</v>
      </c>
      <c r="G601" s="42" t="n">
        <v>70.32</v>
      </c>
      <c r="H601" s="41" t="n">
        <v>2</v>
      </c>
      <c r="I601" s="42" t="n">
        <v>7.032</v>
      </c>
      <c r="J601" s="42" t="n">
        <v>147.672</v>
      </c>
      <c r="K601" s="43" t="n">
        <v>43548</v>
      </c>
      <c r="L601" s="44" t="n">
        <v>0.598611111111111</v>
      </c>
      <c r="M601" s="41" t="s">
        <v>98</v>
      </c>
      <c r="N601" s="42" t="n">
        <v>140.64</v>
      </c>
      <c r="O601" s="42" t="n">
        <v>7.032</v>
      </c>
      <c r="P601" s="45" t="n">
        <v>9.6</v>
      </c>
      <c r="Q601" s="41" t="str">
        <f aca="false">CHOOSE(MONTH(K601),"Jan","Feb","Mar","Apr","May","Jun","Jul","Aug","Sep","Oct","Nov","Dec")</f>
        <v>Mar</v>
      </c>
      <c r="R601" s="41" t="n">
        <f aca="false">INT((K601-setMinDate)/7)+1</f>
        <v>12</v>
      </c>
      <c r="S601" s="41" t="n">
        <f aca="false">HOUR(L601)</f>
        <v>14</v>
      </c>
      <c r="T601" s="41" t="str">
        <f aca="false">IF(S601&lt;setMorningEnd,"Morning",IF(S601&lt;setAfternoonEnd,"Afternoon","Evening"))</f>
        <v>Afternoon</v>
      </c>
      <c r="U601" s="41" t="str">
        <f aca="false">IF(J601&gt;=setLarge,"Large",IF(J601&gt;=setMedium,"Medium","Small"))</f>
        <v>Small</v>
      </c>
      <c r="V601" s="41" t="str">
        <f aca="false">IF(P601&gt;=setExc,"Excellent",IF(P601&gt;=setGood,"Good",IF(P601&gt;=setAvg,"Average","Poor")))</f>
        <v>Excellent</v>
      </c>
    </row>
    <row r="602" customFormat="false" ht="15" hidden="false" customHeight="false" outlineLevel="0" collapsed="false">
      <c r="A602" s="41" t="s">
        <v>780</v>
      </c>
      <c r="B602" s="41" t="s">
        <v>180</v>
      </c>
      <c r="C602" s="41" t="s">
        <v>87</v>
      </c>
      <c r="D602" s="41" t="s">
        <v>105</v>
      </c>
      <c r="E602" s="41" t="s">
        <v>103</v>
      </c>
      <c r="F602" s="41" t="s">
        <v>78</v>
      </c>
      <c r="G602" s="42" t="n">
        <v>83.08</v>
      </c>
      <c r="H602" s="41" t="n">
        <v>1</v>
      </c>
      <c r="I602" s="42" t="n">
        <v>4.154</v>
      </c>
      <c r="J602" s="42" t="n">
        <v>87.234</v>
      </c>
      <c r="K602" s="43" t="n">
        <v>43488</v>
      </c>
      <c r="L602" s="44" t="n">
        <v>0.719444444444444</v>
      </c>
      <c r="M602" s="41" t="s">
        <v>98</v>
      </c>
      <c r="N602" s="42" t="n">
        <v>83.08</v>
      </c>
      <c r="O602" s="42" t="n">
        <v>4.154</v>
      </c>
      <c r="P602" s="45" t="n">
        <v>6.4</v>
      </c>
      <c r="Q602" s="41" t="str">
        <f aca="false">CHOOSE(MONTH(K602),"Jan","Feb","Mar","Apr","May","Jun","Jul","Aug","Sep","Oct","Nov","Dec")</f>
        <v>Jan</v>
      </c>
      <c r="R602" s="41" t="n">
        <f aca="false">INT((K602-setMinDate)/7)+1</f>
        <v>4</v>
      </c>
      <c r="S602" s="41" t="n">
        <f aca="false">HOUR(L602)</f>
        <v>17</v>
      </c>
      <c r="T602" s="41" t="str">
        <f aca="false">IF(S602&lt;setMorningEnd,"Morning",IF(S602&lt;setAfternoonEnd,"Afternoon","Evening"))</f>
        <v>Evening</v>
      </c>
      <c r="U602" s="41" t="str">
        <f aca="false">IF(J602&gt;=setLarge,"Large",IF(J602&gt;=setMedium,"Medium","Small"))</f>
        <v>Small</v>
      </c>
      <c r="V602" s="41" t="str">
        <f aca="false">IF(P602&gt;=setExc,"Excellent",IF(P602&gt;=setGood,"Good",IF(P602&gt;=setAvg,"Average","Poor")))</f>
        <v>Average</v>
      </c>
    </row>
    <row r="603" customFormat="false" ht="15" hidden="false" customHeight="false" outlineLevel="0" collapsed="false">
      <c r="A603" s="41" t="s">
        <v>781</v>
      </c>
      <c r="B603" s="41" t="s">
        <v>180</v>
      </c>
      <c r="C603" s="41" t="s">
        <v>87</v>
      </c>
      <c r="D603" s="41" t="s">
        <v>105</v>
      </c>
      <c r="E603" s="41" t="s">
        <v>102</v>
      </c>
      <c r="F603" s="41" t="s">
        <v>79</v>
      </c>
      <c r="G603" s="42" t="n">
        <v>64.99</v>
      </c>
      <c r="H603" s="41" t="n">
        <v>1</v>
      </c>
      <c r="I603" s="42" t="n">
        <v>3.2495</v>
      </c>
      <c r="J603" s="42" t="n">
        <v>68.2395</v>
      </c>
      <c r="K603" s="43" t="n">
        <v>43491</v>
      </c>
      <c r="L603" s="44" t="n">
        <v>0.420833333333333</v>
      </c>
      <c r="M603" s="41" t="s">
        <v>99</v>
      </c>
      <c r="N603" s="42" t="n">
        <v>64.99</v>
      </c>
      <c r="O603" s="42" t="n">
        <v>3.2495</v>
      </c>
      <c r="P603" s="45" t="n">
        <v>4.5</v>
      </c>
      <c r="Q603" s="41" t="str">
        <f aca="false">CHOOSE(MONTH(K603),"Jan","Feb","Mar","Apr","May","Jun","Jul","Aug","Sep","Oct","Nov","Dec")</f>
        <v>Jan</v>
      </c>
      <c r="R603" s="41" t="n">
        <f aca="false">INT((K603-setMinDate)/7)+1</f>
        <v>4</v>
      </c>
      <c r="S603" s="41" t="n">
        <f aca="false">HOUR(L603)</f>
        <v>10</v>
      </c>
      <c r="T603" s="41" t="str">
        <f aca="false">IF(S603&lt;setMorningEnd,"Morning",IF(S603&lt;setAfternoonEnd,"Afternoon","Evening"))</f>
        <v>Morning</v>
      </c>
      <c r="U603" s="41" t="str">
        <f aca="false">IF(J603&gt;=setLarge,"Large",IF(J603&gt;=setMedium,"Medium","Small"))</f>
        <v>Small</v>
      </c>
      <c r="V603" s="41" t="str">
        <f aca="false">IF(P603&gt;=setExc,"Excellent",IF(P603&gt;=setGood,"Good",IF(P603&gt;=setAvg,"Average","Poor")))</f>
        <v>Poor</v>
      </c>
    </row>
    <row r="604" customFormat="false" ht="15" hidden="false" customHeight="false" outlineLevel="0" collapsed="false">
      <c r="A604" s="41" t="s">
        <v>782</v>
      </c>
      <c r="B604" s="41" t="s">
        <v>180</v>
      </c>
      <c r="C604" s="41" t="s">
        <v>87</v>
      </c>
      <c r="D604" s="41" t="s">
        <v>105</v>
      </c>
      <c r="E604" s="41" t="s">
        <v>103</v>
      </c>
      <c r="F604" s="41" t="s">
        <v>76</v>
      </c>
      <c r="G604" s="42" t="n">
        <v>77.56</v>
      </c>
      <c r="H604" s="41" t="n">
        <v>10</v>
      </c>
      <c r="I604" s="42" t="n">
        <v>38.78</v>
      </c>
      <c r="J604" s="42" t="n">
        <v>814.38</v>
      </c>
      <c r="K604" s="43" t="n">
        <v>43538</v>
      </c>
      <c r="L604" s="44" t="n">
        <v>0.857638888888889</v>
      </c>
      <c r="M604" s="41" t="s">
        <v>98</v>
      </c>
      <c r="N604" s="42" t="n">
        <v>775.6</v>
      </c>
      <c r="O604" s="42" t="n">
        <v>38.78</v>
      </c>
      <c r="P604" s="45" t="n">
        <v>6.9</v>
      </c>
      <c r="Q604" s="41" t="str">
        <f aca="false">CHOOSE(MONTH(K604),"Jan","Feb","Mar","Apr","May","Jun","Jul","Aug","Sep","Oct","Nov","Dec")</f>
        <v>Mar</v>
      </c>
      <c r="R604" s="41" t="n">
        <f aca="false">INT((K604-setMinDate)/7)+1</f>
        <v>11</v>
      </c>
      <c r="S604" s="41" t="n">
        <f aca="false">HOUR(L604)</f>
        <v>20</v>
      </c>
      <c r="T604" s="41" t="str">
        <f aca="false">IF(S604&lt;setMorningEnd,"Morning",IF(S604&lt;setAfternoonEnd,"Afternoon","Evening"))</f>
        <v>Evening</v>
      </c>
      <c r="U604" s="41" t="str">
        <f aca="false">IF(J604&gt;=setLarge,"Large",IF(J604&gt;=setMedium,"Medium","Small"))</f>
        <v>Large</v>
      </c>
      <c r="V604" s="41" t="str">
        <f aca="false">IF(P604&gt;=setExc,"Excellent",IF(P604&gt;=setGood,"Good",IF(P604&gt;=setAvg,"Average","Poor")))</f>
        <v>Average</v>
      </c>
    </row>
    <row r="605" customFormat="false" ht="15" hidden="false" customHeight="false" outlineLevel="0" collapsed="false">
      <c r="A605" s="41" t="s">
        <v>783</v>
      </c>
      <c r="B605" s="41" t="s">
        <v>189</v>
      </c>
      <c r="C605" s="41" t="s">
        <v>86</v>
      </c>
      <c r="D605" s="41" t="s">
        <v>105</v>
      </c>
      <c r="E605" s="41" t="s">
        <v>102</v>
      </c>
      <c r="F605" s="41" t="s">
        <v>77</v>
      </c>
      <c r="G605" s="42" t="n">
        <v>54.51</v>
      </c>
      <c r="H605" s="41" t="n">
        <v>6</v>
      </c>
      <c r="I605" s="42" t="n">
        <v>16.353</v>
      </c>
      <c r="J605" s="42" t="n">
        <v>343.413</v>
      </c>
      <c r="K605" s="43" t="n">
        <v>43541</v>
      </c>
      <c r="L605" s="44" t="n">
        <v>0.579166666666667</v>
      </c>
      <c r="M605" s="41" t="s">
        <v>98</v>
      </c>
      <c r="N605" s="42" t="n">
        <v>327.06</v>
      </c>
      <c r="O605" s="42" t="n">
        <v>16.353</v>
      </c>
      <c r="P605" s="45" t="n">
        <v>7.8</v>
      </c>
      <c r="Q605" s="41" t="str">
        <f aca="false">CHOOSE(MONTH(K605),"Jan","Feb","Mar","Apr","May","Jun","Jul","Aug","Sep","Oct","Nov","Dec")</f>
        <v>Mar</v>
      </c>
      <c r="R605" s="41" t="n">
        <f aca="false">INT((K605-setMinDate)/7)+1</f>
        <v>11</v>
      </c>
      <c r="S605" s="41" t="n">
        <f aca="false">HOUR(L605)</f>
        <v>13</v>
      </c>
      <c r="T605" s="41" t="str">
        <f aca="false">IF(S605&lt;setMorningEnd,"Morning",IF(S605&lt;setAfternoonEnd,"Afternoon","Evening"))</f>
        <v>Afternoon</v>
      </c>
      <c r="U605" s="41" t="str">
        <f aca="false">IF(J605&gt;=setLarge,"Large",IF(J605&gt;=setMedium,"Medium","Small"))</f>
        <v>Medium</v>
      </c>
      <c r="V605" s="41" t="str">
        <f aca="false">IF(P605&gt;=setExc,"Excellent",IF(P605&gt;=setGood,"Good",IF(P605&gt;=setAvg,"Average","Poor")))</f>
        <v>Good</v>
      </c>
    </row>
    <row r="606" customFormat="false" ht="15" hidden="false" customHeight="false" outlineLevel="0" collapsed="false">
      <c r="A606" s="41" t="s">
        <v>784</v>
      </c>
      <c r="B606" s="41" t="s">
        <v>180</v>
      </c>
      <c r="C606" s="41" t="s">
        <v>87</v>
      </c>
      <c r="D606" s="41" t="s">
        <v>104</v>
      </c>
      <c r="E606" s="41" t="s">
        <v>102</v>
      </c>
      <c r="F606" s="41" t="s">
        <v>79</v>
      </c>
      <c r="G606" s="42" t="n">
        <v>51.89</v>
      </c>
      <c r="H606" s="41" t="n">
        <v>7</v>
      </c>
      <c r="I606" s="42" t="n">
        <v>18.1615</v>
      </c>
      <c r="J606" s="42" t="n">
        <v>381.3915</v>
      </c>
      <c r="K606" s="43" t="n">
        <v>43473</v>
      </c>
      <c r="L606" s="44" t="n">
        <v>0.838888888888889</v>
      </c>
      <c r="M606" s="41" t="s">
        <v>97</v>
      </c>
      <c r="N606" s="42" t="n">
        <v>363.23</v>
      </c>
      <c r="O606" s="42" t="n">
        <v>18.1615</v>
      </c>
      <c r="P606" s="45" t="n">
        <v>4.5</v>
      </c>
      <c r="Q606" s="41" t="str">
        <f aca="false">CHOOSE(MONTH(K606),"Jan","Feb","Mar","Apr","May","Jun","Jul","Aug","Sep","Oct","Nov","Dec")</f>
        <v>Jan</v>
      </c>
      <c r="R606" s="41" t="n">
        <f aca="false">INT((K606-setMinDate)/7)+1</f>
        <v>2</v>
      </c>
      <c r="S606" s="41" t="n">
        <f aca="false">HOUR(L606)</f>
        <v>20</v>
      </c>
      <c r="T606" s="41" t="str">
        <f aca="false">IF(S606&lt;setMorningEnd,"Morning",IF(S606&lt;setAfternoonEnd,"Afternoon","Evening"))</f>
        <v>Evening</v>
      </c>
      <c r="U606" s="41" t="str">
        <f aca="false">IF(J606&gt;=setLarge,"Large",IF(J606&gt;=setMedium,"Medium","Small"))</f>
        <v>Medium</v>
      </c>
      <c r="V606" s="41" t="str">
        <f aca="false">IF(P606&gt;=setExc,"Excellent",IF(P606&gt;=setGood,"Good",IF(P606&gt;=setAvg,"Average","Poor")))</f>
        <v>Poor</v>
      </c>
    </row>
    <row r="607" customFormat="false" ht="15" hidden="false" customHeight="false" outlineLevel="0" collapsed="false">
      <c r="A607" s="41" t="s">
        <v>785</v>
      </c>
      <c r="B607" s="41" t="s">
        <v>189</v>
      </c>
      <c r="C607" s="41" t="s">
        <v>86</v>
      </c>
      <c r="D607" s="41" t="s">
        <v>105</v>
      </c>
      <c r="E607" s="41" t="s">
        <v>103</v>
      </c>
      <c r="F607" s="41" t="s">
        <v>80</v>
      </c>
      <c r="G607" s="42" t="n">
        <v>31.75</v>
      </c>
      <c r="H607" s="41" t="n">
        <v>4</v>
      </c>
      <c r="I607" s="42" t="n">
        <v>6.35</v>
      </c>
      <c r="J607" s="42" t="n">
        <v>133.35</v>
      </c>
      <c r="K607" s="43" t="n">
        <v>43504</v>
      </c>
      <c r="L607" s="44" t="n">
        <v>0.643055555555556</v>
      </c>
      <c r="M607" s="41" t="s">
        <v>97</v>
      </c>
      <c r="N607" s="42" t="n">
        <v>127</v>
      </c>
      <c r="O607" s="42" t="n">
        <v>6.35</v>
      </c>
      <c r="P607" s="45" t="n">
        <v>8.6</v>
      </c>
      <c r="Q607" s="41" t="str">
        <f aca="false">CHOOSE(MONTH(K607),"Jan","Feb","Mar","Apr","May","Jun","Jul","Aug","Sep","Oct","Nov","Dec")</f>
        <v>Feb</v>
      </c>
      <c r="R607" s="41" t="n">
        <f aca="false">INT((K607-setMinDate)/7)+1</f>
        <v>6</v>
      </c>
      <c r="S607" s="41" t="n">
        <f aca="false">HOUR(L607)</f>
        <v>15</v>
      </c>
      <c r="T607" s="41" t="str">
        <f aca="false">IF(S607&lt;setMorningEnd,"Morning",IF(S607&lt;setAfternoonEnd,"Afternoon","Evening"))</f>
        <v>Afternoon</v>
      </c>
      <c r="U607" s="41" t="str">
        <f aca="false">IF(J607&gt;=setLarge,"Large",IF(J607&gt;=setMedium,"Medium","Small"))</f>
        <v>Small</v>
      </c>
      <c r="V607" s="41" t="str">
        <f aca="false">IF(P607&gt;=setExc,"Excellent",IF(P607&gt;=setGood,"Good",IF(P607&gt;=setAvg,"Average","Poor")))</f>
        <v>Good</v>
      </c>
    </row>
    <row r="608" customFormat="false" ht="15" hidden="false" customHeight="false" outlineLevel="0" collapsed="false">
      <c r="A608" s="41" t="s">
        <v>786</v>
      </c>
      <c r="B608" s="41" t="s">
        <v>178</v>
      </c>
      <c r="C608" s="41" t="s">
        <v>85</v>
      </c>
      <c r="D608" s="41" t="s">
        <v>104</v>
      </c>
      <c r="E608" s="41" t="s">
        <v>102</v>
      </c>
      <c r="F608" s="41" t="s">
        <v>79</v>
      </c>
      <c r="G608" s="42" t="n">
        <v>53.65</v>
      </c>
      <c r="H608" s="41" t="n">
        <v>7</v>
      </c>
      <c r="I608" s="42" t="n">
        <v>18.7775</v>
      </c>
      <c r="J608" s="42" t="n">
        <v>394.3275</v>
      </c>
      <c r="K608" s="43" t="n">
        <v>43506</v>
      </c>
      <c r="L608" s="44" t="n">
        <v>0.538888888888889</v>
      </c>
      <c r="M608" s="41" t="s">
        <v>98</v>
      </c>
      <c r="N608" s="42" t="n">
        <v>375.55</v>
      </c>
      <c r="O608" s="42" t="n">
        <v>18.7775</v>
      </c>
      <c r="P608" s="45" t="n">
        <v>5.2</v>
      </c>
      <c r="Q608" s="41" t="str">
        <f aca="false">CHOOSE(MONTH(K608),"Jan","Feb","Mar","Apr","May","Jun","Jul","Aug","Sep","Oct","Nov","Dec")</f>
        <v>Feb</v>
      </c>
      <c r="R608" s="41" t="n">
        <f aca="false">INT((K608-setMinDate)/7)+1</f>
        <v>6</v>
      </c>
      <c r="S608" s="41" t="n">
        <f aca="false">HOUR(L608)</f>
        <v>12</v>
      </c>
      <c r="T608" s="41" t="str">
        <f aca="false">IF(S608&lt;setMorningEnd,"Morning",IF(S608&lt;setAfternoonEnd,"Afternoon","Evening"))</f>
        <v>Afternoon</v>
      </c>
      <c r="U608" s="41" t="str">
        <f aca="false">IF(J608&gt;=setLarge,"Large",IF(J608&gt;=setMedium,"Medium","Small"))</f>
        <v>Medium</v>
      </c>
      <c r="V608" s="41" t="str">
        <f aca="false">IF(P608&gt;=setExc,"Excellent",IF(P608&gt;=setGood,"Good",IF(P608&gt;=setAvg,"Average","Poor")))</f>
        <v>Average</v>
      </c>
    </row>
    <row r="609" customFormat="false" ht="15" hidden="false" customHeight="false" outlineLevel="0" collapsed="false">
      <c r="A609" s="41" t="s">
        <v>787</v>
      </c>
      <c r="B609" s="41" t="s">
        <v>180</v>
      </c>
      <c r="C609" s="41" t="s">
        <v>87</v>
      </c>
      <c r="D609" s="41" t="s">
        <v>104</v>
      </c>
      <c r="E609" s="41" t="s">
        <v>102</v>
      </c>
      <c r="F609" s="41" t="s">
        <v>76</v>
      </c>
      <c r="G609" s="42" t="n">
        <v>49.79</v>
      </c>
      <c r="H609" s="41" t="n">
        <v>4</v>
      </c>
      <c r="I609" s="42" t="n">
        <v>9.958</v>
      </c>
      <c r="J609" s="42" t="n">
        <v>209.118</v>
      </c>
      <c r="K609" s="43" t="n">
        <v>43552</v>
      </c>
      <c r="L609" s="44" t="n">
        <v>0.802777777777778</v>
      </c>
      <c r="M609" s="41" t="s">
        <v>99</v>
      </c>
      <c r="N609" s="42" t="n">
        <v>199.16</v>
      </c>
      <c r="O609" s="42" t="n">
        <v>9.958</v>
      </c>
      <c r="P609" s="45" t="n">
        <v>6.4</v>
      </c>
      <c r="Q609" s="41" t="str">
        <f aca="false">CHOOSE(MONTH(K609),"Jan","Feb","Mar","Apr","May","Jun","Jul","Aug","Sep","Oct","Nov","Dec")</f>
        <v>Mar</v>
      </c>
      <c r="R609" s="41" t="n">
        <f aca="false">INT((K609-setMinDate)/7)+1</f>
        <v>13</v>
      </c>
      <c r="S609" s="41" t="n">
        <f aca="false">HOUR(L609)</f>
        <v>19</v>
      </c>
      <c r="T609" s="41" t="str">
        <f aca="false">IF(S609&lt;setMorningEnd,"Morning",IF(S609&lt;setAfternoonEnd,"Afternoon","Evening"))</f>
        <v>Evening</v>
      </c>
      <c r="U609" s="41" t="str">
        <f aca="false">IF(J609&gt;=setLarge,"Large",IF(J609&gt;=setMedium,"Medium","Small"))</f>
        <v>Small</v>
      </c>
      <c r="V609" s="41" t="str">
        <f aca="false">IF(P609&gt;=setExc,"Excellent",IF(P609&gt;=setGood,"Good",IF(P609&gt;=setAvg,"Average","Poor")))</f>
        <v>Average</v>
      </c>
    </row>
    <row r="610" customFormat="false" ht="15" hidden="false" customHeight="false" outlineLevel="0" collapsed="false">
      <c r="A610" s="41" t="s">
        <v>788</v>
      </c>
      <c r="B610" s="41" t="s">
        <v>178</v>
      </c>
      <c r="C610" s="41" t="s">
        <v>85</v>
      </c>
      <c r="D610" s="41" t="s">
        <v>105</v>
      </c>
      <c r="E610" s="41" t="s">
        <v>103</v>
      </c>
      <c r="F610" s="41" t="s">
        <v>79</v>
      </c>
      <c r="G610" s="42" t="n">
        <v>30.61</v>
      </c>
      <c r="H610" s="41" t="n">
        <v>1</v>
      </c>
      <c r="I610" s="42" t="n">
        <v>1.5305</v>
      </c>
      <c r="J610" s="42" t="n">
        <v>32.1405</v>
      </c>
      <c r="K610" s="43" t="n">
        <v>43488</v>
      </c>
      <c r="L610" s="44" t="n">
        <v>0.513888888888889</v>
      </c>
      <c r="M610" s="41" t="s">
        <v>98</v>
      </c>
      <c r="N610" s="42" t="n">
        <v>30.61</v>
      </c>
      <c r="O610" s="42" t="n">
        <v>1.5305</v>
      </c>
      <c r="P610" s="45" t="n">
        <v>5.2</v>
      </c>
      <c r="Q610" s="41" t="str">
        <f aca="false">CHOOSE(MONTH(K610),"Jan","Feb","Mar","Apr","May","Jun","Jul","Aug","Sep","Oct","Nov","Dec")</f>
        <v>Jan</v>
      </c>
      <c r="R610" s="41" t="n">
        <f aca="false">INT((K610-setMinDate)/7)+1</f>
        <v>4</v>
      </c>
      <c r="S610" s="41" t="n">
        <f aca="false">HOUR(L610)</f>
        <v>12</v>
      </c>
      <c r="T610" s="41" t="str">
        <f aca="false">IF(S610&lt;setMorningEnd,"Morning",IF(S610&lt;setAfternoonEnd,"Afternoon","Evening"))</f>
        <v>Afternoon</v>
      </c>
      <c r="U610" s="41" t="str">
        <f aca="false">IF(J610&gt;=setLarge,"Large",IF(J610&gt;=setMedium,"Medium","Small"))</f>
        <v>Small</v>
      </c>
      <c r="V610" s="41" t="str">
        <f aca="false">IF(P610&gt;=setExc,"Excellent",IF(P610&gt;=setGood,"Good",IF(P610&gt;=setAvg,"Average","Poor")))</f>
        <v>Average</v>
      </c>
    </row>
    <row r="611" customFormat="false" ht="15" hidden="false" customHeight="false" outlineLevel="0" collapsed="false">
      <c r="A611" s="41" t="s">
        <v>789</v>
      </c>
      <c r="B611" s="41" t="s">
        <v>189</v>
      </c>
      <c r="C611" s="41" t="s">
        <v>86</v>
      </c>
      <c r="D611" s="41" t="s">
        <v>104</v>
      </c>
      <c r="E611" s="41" t="s">
        <v>103</v>
      </c>
      <c r="F611" s="41" t="s">
        <v>76</v>
      </c>
      <c r="G611" s="42" t="n">
        <v>57.89</v>
      </c>
      <c r="H611" s="41" t="n">
        <v>2</v>
      </c>
      <c r="I611" s="42" t="n">
        <v>5.789</v>
      </c>
      <c r="J611" s="42" t="n">
        <v>121.569</v>
      </c>
      <c r="K611" s="43" t="n">
        <v>43482</v>
      </c>
      <c r="L611" s="44" t="n">
        <v>0.442361111111111</v>
      </c>
      <c r="M611" s="41" t="s">
        <v>98</v>
      </c>
      <c r="N611" s="42" t="n">
        <v>115.78</v>
      </c>
      <c r="O611" s="42" t="n">
        <v>5.789</v>
      </c>
      <c r="P611" s="45" t="n">
        <v>8.9</v>
      </c>
      <c r="Q611" s="41" t="str">
        <f aca="false">CHOOSE(MONTH(K611),"Jan","Feb","Mar","Apr","May","Jun","Jul","Aug","Sep","Oct","Nov","Dec")</f>
        <v>Jan</v>
      </c>
      <c r="R611" s="41" t="n">
        <f aca="false">INT((K611-setMinDate)/7)+1</f>
        <v>3</v>
      </c>
      <c r="S611" s="41" t="n">
        <f aca="false">HOUR(L611)</f>
        <v>10</v>
      </c>
      <c r="T611" s="41" t="str">
        <f aca="false">IF(S611&lt;setMorningEnd,"Morning",IF(S611&lt;setAfternoonEnd,"Afternoon","Evening"))</f>
        <v>Morning</v>
      </c>
      <c r="U611" s="41" t="str">
        <f aca="false">IF(J611&gt;=setLarge,"Large",IF(J611&gt;=setMedium,"Medium","Small"))</f>
        <v>Small</v>
      </c>
      <c r="V611" s="41" t="str">
        <f aca="false">IF(P611&gt;=setExc,"Excellent",IF(P611&gt;=setGood,"Good",IF(P611&gt;=setAvg,"Average","Poor")))</f>
        <v>Good</v>
      </c>
    </row>
    <row r="612" customFormat="false" ht="15" hidden="false" customHeight="false" outlineLevel="0" collapsed="false">
      <c r="A612" s="41" t="s">
        <v>790</v>
      </c>
      <c r="B612" s="41" t="s">
        <v>178</v>
      </c>
      <c r="C612" s="41" t="s">
        <v>85</v>
      </c>
      <c r="D612" s="41" t="s">
        <v>105</v>
      </c>
      <c r="E612" s="41" t="s">
        <v>102</v>
      </c>
      <c r="F612" s="41" t="s">
        <v>78</v>
      </c>
      <c r="G612" s="42" t="n">
        <v>28.96</v>
      </c>
      <c r="H612" s="41" t="n">
        <v>1</v>
      </c>
      <c r="I612" s="42" t="n">
        <v>1.448</v>
      </c>
      <c r="J612" s="42" t="n">
        <v>30.408</v>
      </c>
      <c r="K612" s="43" t="n">
        <v>43503</v>
      </c>
      <c r="L612" s="44" t="n">
        <v>0.429166666666667</v>
      </c>
      <c r="M612" s="41" t="s">
        <v>99</v>
      </c>
      <c r="N612" s="42" t="n">
        <v>28.96</v>
      </c>
      <c r="O612" s="42" t="n">
        <v>1.448</v>
      </c>
      <c r="P612" s="45" t="n">
        <v>6.2</v>
      </c>
      <c r="Q612" s="41" t="str">
        <f aca="false">CHOOSE(MONTH(K612),"Jan","Feb","Mar","Apr","May","Jun","Jul","Aug","Sep","Oct","Nov","Dec")</f>
        <v>Feb</v>
      </c>
      <c r="R612" s="41" t="n">
        <f aca="false">INT((K612-setMinDate)/7)+1</f>
        <v>6</v>
      </c>
      <c r="S612" s="41" t="n">
        <f aca="false">HOUR(L612)</f>
        <v>10</v>
      </c>
      <c r="T612" s="41" t="str">
        <f aca="false">IF(S612&lt;setMorningEnd,"Morning",IF(S612&lt;setAfternoonEnd,"Afternoon","Evening"))</f>
        <v>Morning</v>
      </c>
      <c r="U612" s="41" t="str">
        <f aca="false">IF(J612&gt;=setLarge,"Large",IF(J612&gt;=setMedium,"Medium","Small"))</f>
        <v>Small</v>
      </c>
      <c r="V612" s="41" t="str">
        <f aca="false">IF(P612&gt;=setExc,"Excellent",IF(P612&gt;=setGood,"Good",IF(P612&gt;=setAvg,"Average","Poor")))</f>
        <v>Average</v>
      </c>
    </row>
    <row r="613" customFormat="false" ht="15" hidden="false" customHeight="false" outlineLevel="0" collapsed="false">
      <c r="A613" s="41" t="s">
        <v>791</v>
      </c>
      <c r="B613" s="41" t="s">
        <v>180</v>
      </c>
      <c r="C613" s="41" t="s">
        <v>87</v>
      </c>
      <c r="D613" s="41" t="s">
        <v>104</v>
      </c>
      <c r="E613" s="41" t="s">
        <v>102</v>
      </c>
      <c r="F613" s="41" t="s">
        <v>76</v>
      </c>
      <c r="G613" s="42" t="n">
        <v>98.97</v>
      </c>
      <c r="H613" s="41" t="n">
        <v>9</v>
      </c>
      <c r="I613" s="42" t="n">
        <v>44.5365</v>
      </c>
      <c r="J613" s="42" t="n">
        <v>935.2665</v>
      </c>
      <c r="K613" s="43" t="n">
        <v>43533</v>
      </c>
      <c r="L613" s="44" t="n">
        <v>0.474305555555556</v>
      </c>
      <c r="M613" s="41" t="s">
        <v>97</v>
      </c>
      <c r="N613" s="42" t="n">
        <v>890.73</v>
      </c>
      <c r="O613" s="42" t="n">
        <v>44.5365</v>
      </c>
      <c r="P613" s="45" t="n">
        <v>6.7</v>
      </c>
      <c r="Q613" s="41" t="str">
        <f aca="false">CHOOSE(MONTH(K613),"Jan","Feb","Mar","Apr","May","Jun","Jul","Aug","Sep","Oct","Nov","Dec")</f>
        <v>Mar</v>
      </c>
      <c r="R613" s="41" t="n">
        <f aca="false">INT((K613-setMinDate)/7)+1</f>
        <v>10</v>
      </c>
      <c r="S613" s="41" t="n">
        <f aca="false">HOUR(L613)</f>
        <v>11</v>
      </c>
      <c r="T613" s="41" t="str">
        <f aca="false">IF(S613&lt;setMorningEnd,"Morning",IF(S613&lt;setAfternoonEnd,"Afternoon","Evening"))</f>
        <v>Morning</v>
      </c>
      <c r="U613" s="41" t="str">
        <f aca="false">IF(J613&gt;=setLarge,"Large",IF(J613&gt;=setMedium,"Medium","Small"))</f>
        <v>Large</v>
      </c>
      <c r="V613" s="41" t="str">
        <f aca="false">IF(P613&gt;=setExc,"Excellent",IF(P613&gt;=setGood,"Good",IF(P613&gt;=setAvg,"Average","Poor")))</f>
        <v>Average</v>
      </c>
    </row>
    <row r="614" customFormat="false" ht="15" hidden="false" customHeight="false" outlineLevel="0" collapsed="false">
      <c r="A614" s="41" t="s">
        <v>792</v>
      </c>
      <c r="B614" s="41" t="s">
        <v>189</v>
      </c>
      <c r="C614" s="41" t="s">
        <v>86</v>
      </c>
      <c r="D614" s="41" t="s">
        <v>104</v>
      </c>
      <c r="E614" s="41" t="s">
        <v>103</v>
      </c>
      <c r="F614" s="41" t="s">
        <v>79</v>
      </c>
      <c r="G614" s="42" t="n">
        <v>93.22</v>
      </c>
      <c r="H614" s="41" t="n">
        <v>3</v>
      </c>
      <c r="I614" s="42" t="n">
        <v>13.983</v>
      </c>
      <c r="J614" s="42" t="n">
        <v>293.643</v>
      </c>
      <c r="K614" s="43" t="n">
        <v>43489</v>
      </c>
      <c r="L614" s="44" t="n">
        <v>0.489583333333333</v>
      </c>
      <c r="M614" s="41" t="s">
        <v>97</v>
      </c>
      <c r="N614" s="42" t="n">
        <v>279.66</v>
      </c>
      <c r="O614" s="42" t="n">
        <v>13.983</v>
      </c>
      <c r="P614" s="45" t="n">
        <v>7.2</v>
      </c>
      <c r="Q614" s="41" t="str">
        <f aca="false">CHOOSE(MONTH(K614),"Jan","Feb","Mar","Apr","May","Jun","Jul","Aug","Sep","Oct","Nov","Dec")</f>
        <v>Jan</v>
      </c>
      <c r="R614" s="41" t="n">
        <f aca="false">INT((K614-setMinDate)/7)+1</f>
        <v>4</v>
      </c>
      <c r="S614" s="41" t="n">
        <f aca="false">HOUR(L614)</f>
        <v>11</v>
      </c>
      <c r="T614" s="41" t="str">
        <f aca="false">IF(S614&lt;setMorningEnd,"Morning",IF(S614&lt;setAfternoonEnd,"Afternoon","Evening"))</f>
        <v>Morning</v>
      </c>
      <c r="U614" s="41" t="str">
        <f aca="false">IF(J614&gt;=setLarge,"Large",IF(J614&gt;=setMedium,"Medium","Small"))</f>
        <v>Medium</v>
      </c>
      <c r="V614" s="41" t="str">
        <f aca="false">IF(P614&gt;=setExc,"Excellent",IF(P614&gt;=setGood,"Good",IF(P614&gt;=setAvg,"Average","Poor")))</f>
        <v>Good</v>
      </c>
    </row>
    <row r="615" customFormat="false" ht="15" hidden="false" customHeight="false" outlineLevel="0" collapsed="false">
      <c r="A615" s="41" t="s">
        <v>793</v>
      </c>
      <c r="B615" s="41" t="s">
        <v>180</v>
      </c>
      <c r="C615" s="41" t="s">
        <v>87</v>
      </c>
      <c r="D615" s="41" t="s">
        <v>104</v>
      </c>
      <c r="E615" s="41" t="s">
        <v>103</v>
      </c>
      <c r="F615" s="41" t="s">
        <v>77</v>
      </c>
      <c r="G615" s="42" t="n">
        <v>80.93</v>
      </c>
      <c r="H615" s="41" t="n">
        <v>1</v>
      </c>
      <c r="I615" s="42" t="n">
        <v>4.0465</v>
      </c>
      <c r="J615" s="42" t="n">
        <v>84.9765</v>
      </c>
      <c r="K615" s="43" t="n">
        <v>43484</v>
      </c>
      <c r="L615" s="44" t="n">
        <v>0.672222222222222</v>
      </c>
      <c r="M615" s="41" t="s">
        <v>99</v>
      </c>
      <c r="N615" s="42" t="n">
        <v>80.93</v>
      </c>
      <c r="O615" s="42" t="n">
        <v>4.0465</v>
      </c>
      <c r="P615" s="45" t="n">
        <v>9</v>
      </c>
      <c r="Q615" s="41" t="str">
        <f aca="false">CHOOSE(MONTH(K615),"Jan","Feb","Mar","Apr","May","Jun","Jul","Aug","Sep","Oct","Nov","Dec")</f>
        <v>Jan</v>
      </c>
      <c r="R615" s="41" t="n">
        <f aca="false">INT((K615-setMinDate)/7)+1</f>
        <v>3</v>
      </c>
      <c r="S615" s="41" t="n">
        <f aca="false">HOUR(L615)</f>
        <v>16</v>
      </c>
      <c r="T615" s="41" t="str">
        <f aca="false">IF(S615&lt;setMorningEnd,"Morning",IF(S615&lt;setAfternoonEnd,"Afternoon","Evening"))</f>
        <v>Afternoon</v>
      </c>
      <c r="U615" s="41" t="str">
        <f aca="false">IF(J615&gt;=setLarge,"Large",IF(J615&gt;=setMedium,"Medium","Small"))</f>
        <v>Small</v>
      </c>
      <c r="V615" s="41" t="str">
        <f aca="false">IF(P615&gt;=setExc,"Excellent",IF(P615&gt;=setGood,"Good",IF(P615&gt;=setAvg,"Average","Poor")))</f>
        <v>Excellent</v>
      </c>
    </row>
    <row r="616" customFormat="false" ht="15" hidden="false" customHeight="false" outlineLevel="0" collapsed="false">
      <c r="A616" s="41" t="s">
        <v>794</v>
      </c>
      <c r="B616" s="41" t="s">
        <v>178</v>
      </c>
      <c r="C616" s="41" t="s">
        <v>85</v>
      </c>
      <c r="D616" s="41" t="s">
        <v>104</v>
      </c>
      <c r="E616" s="41" t="s">
        <v>103</v>
      </c>
      <c r="F616" s="41" t="s">
        <v>76</v>
      </c>
      <c r="G616" s="42" t="n">
        <v>67.45</v>
      </c>
      <c r="H616" s="41" t="n">
        <v>10</v>
      </c>
      <c r="I616" s="42" t="n">
        <v>33.725</v>
      </c>
      <c r="J616" s="42" t="n">
        <v>708.225</v>
      </c>
      <c r="K616" s="43" t="n">
        <v>43499</v>
      </c>
      <c r="L616" s="44" t="n">
        <v>0.475694444444444</v>
      </c>
      <c r="M616" s="41" t="s">
        <v>98</v>
      </c>
      <c r="N616" s="42" t="n">
        <v>674.5</v>
      </c>
      <c r="O616" s="42" t="n">
        <v>33.725</v>
      </c>
      <c r="P616" s="45" t="n">
        <v>4.2</v>
      </c>
      <c r="Q616" s="41" t="str">
        <f aca="false">CHOOSE(MONTH(K616),"Jan","Feb","Mar","Apr","May","Jun","Jul","Aug","Sep","Oct","Nov","Dec")</f>
        <v>Feb</v>
      </c>
      <c r="R616" s="41" t="n">
        <f aca="false">INT((K616-setMinDate)/7)+1</f>
        <v>5</v>
      </c>
      <c r="S616" s="41" t="n">
        <f aca="false">HOUR(L616)</f>
        <v>11</v>
      </c>
      <c r="T616" s="41" t="str">
        <f aca="false">IF(S616&lt;setMorningEnd,"Morning",IF(S616&lt;setAfternoonEnd,"Afternoon","Evening"))</f>
        <v>Morning</v>
      </c>
      <c r="U616" s="41" t="str">
        <f aca="false">IF(J616&gt;=setLarge,"Large",IF(J616&gt;=setMedium,"Medium","Small"))</f>
        <v>Large</v>
      </c>
      <c r="V616" s="41" t="str">
        <f aca="false">IF(P616&gt;=setExc,"Excellent",IF(P616&gt;=setGood,"Good",IF(P616&gt;=setAvg,"Average","Poor")))</f>
        <v>Poor</v>
      </c>
    </row>
    <row r="617" customFormat="false" ht="15" hidden="false" customHeight="false" outlineLevel="0" collapsed="false">
      <c r="A617" s="41" t="s">
        <v>795</v>
      </c>
      <c r="B617" s="41" t="s">
        <v>178</v>
      </c>
      <c r="C617" s="41" t="s">
        <v>85</v>
      </c>
      <c r="D617" s="41" t="s">
        <v>104</v>
      </c>
      <c r="E617" s="41" t="s">
        <v>102</v>
      </c>
      <c r="F617" s="41" t="s">
        <v>77</v>
      </c>
      <c r="G617" s="42" t="n">
        <v>38.72</v>
      </c>
      <c r="H617" s="41" t="n">
        <v>9</v>
      </c>
      <c r="I617" s="42" t="n">
        <v>17.424</v>
      </c>
      <c r="J617" s="42" t="n">
        <v>365.904</v>
      </c>
      <c r="K617" s="43" t="n">
        <v>43544</v>
      </c>
      <c r="L617" s="44" t="n">
        <v>0.516666666666667</v>
      </c>
      <c r="M617" s="41" t="s">
        <v>98</v>
      </c>
      <c r="N617" s="42" t="n">
        <v>348.48</v>
      </c>
      <c r="O617" s="42" t="n">
        <v>17.424</v>
      </c>
      <c r="P617" s="45" t="n">
        <v>4.2</v>
      </c>
      <c r="Q617" s="41" t="str">
        <f aca="false">CHOOSE(MONTH(K617),"Jan","Feb","Mar","Apr","May","Jun","Jul","Aug","Sep","Oct","Nov","Dec")</f>
        <v>Mar</v>
      </c>
      <c r="R617" s="41" t="n">
        <f aca="false">INT((K617-setMinDate)/7)+1</f>
        <v>12</v>
      </c>
      <c r="S617" s="41" t="n">
        <f aca="false">HOUR(L617)</f>
        <v>12</v>
      </c>
      <c r="T617" s="41" t="str">
        <f aca="false">IF(S617&lt;setMorningEnd,"Morning",IF(S617&lt;setAfternoonEnd,"Afternoon","Evening"))</f>
        <v>Afternoon</v>
      </c>
      <c r="U617" s="41" t="str">
        <f aca="false">IF(J617&gt;=setLarge,"Large",IF(J617&gt;=setMedium,"Medium","Small"))</f>
        <v>Medium</v>
      </c>
      <c r="V617" s="41" t="str">
        <f aca="false">IF(P617&gt;=setExc,"Excellent",IF(P617&gt;=setGood,"Good",IF(P617&gt;=setAvg,"Average","Poor")))</f>
        <v>Poor</v>
      </c>
    </row>
    <row r="618" customFormat="false" ht="15" hidden="false" customHeight="false" outlineLevel="0" collapsed="false">
      <c r="A618" s="41" t="s">
        <v>796</v>
      </c>
      <c r="B618" s="41" t="s">
        <v>189</v>
      </c>
      <c r="C618" s="41" t="s">
        <v>86</v>
      </c>
      <c r="D618" s="41" t="s">
        <v>104</v>
      </c>
      <c r="E618" s="41" t="s">
        <v>103</v>
      </c>
      <c r="F618" s="41" t="s">
        <v>77</v>
      </c>
      <c r="G618" s="42" t="n">
        <v>72.6</v>
      </c>
      <c r="H618" s="41" t="n">
        <v>6</v>
      </c>
      <c r="I618" s="42" t="n">
        <v>21.78</v>
      </c>
      <c r="J618" s="42" t="n">
        <v>457.38</v>
      </c>
      <c r="K618" s="43" t="n">
        <v>43478</v>
      </c>
      <c r="L618" s="44" t="n">
        <v>0.827083333333333</v>
      </c>
      <c r="M618" s="41" t="s">
        <v>97</v>
      </c>
      <c r="N618" s="42" t="n">
        <v>435.6</v>
      </c>
      <c r="O618" s="42" t="n">
        <v>21.78</v>
      </c>
      <c r="P618" s="45" t="n">
        <v>6.9</v>
      </c>
      <c r="Q618" s="41" t="str">
        <f aca="false">CHOOSE(MONTH(K618),"Jan","Feb","Mar","Apr","May","Jun","Jul","Aug","Sep","Oct","Nov","Dec")</f>
        <v>Jan</v>
      </c>
      <c r="R618" s="41" t="n">
        <f aca="false">INT((K618-setMinDate)/7)+1</f>
        <v>2</v>
      </c>
      <c r="S618" s="41" t="n">
        <f aca="false">HOUR(L618)</f>
        <v>19</v>
      </c>
      <c r="T618" s="41" t="str">
        <f aca="false">IF(S618&lt;setMorningEnd,"Morning",IF(S618&lt;setAfternoonEnd,"Afternoon","Evening"))</f>
        <v>Evening</v>
      </c>
      <c r="U618" s="41" t="str">
        <f aca="false">IF(J618&gt;=setLarge,"Large",IF(J618&gt;=setMedium,"Medium","Small"))</f>
        <v>Medium</v>
      </c>
      <c r="V618" s="41" t="str">
        <f aca="false">IF(P618&gt;=setExc,"Excellent",IF(P618&gt;=setGood,"Good",IF(P618&gt;=setAvg,"Average","Poor")))</f>
        <v>Average</v>
      </c>
    </row>
    <row r="619" customFormat="false" ht="15" hidden="false" customHeight="false" outlineLevel="0" collapsed="false">
      <c r="A619" s="41" t="s">
        <v>797</v>
      </c>
      <c r="B619" s="41" t="s">
        <v>180</v>
      </c>
      <c r="C619" s="41" t="s">
        <v>87</v>
      </c>
      <c r="D619" s="41" t="s">
        <v>104</v>
      </c>
      <c r="E619" s="41" t="s">
        <v>103</v>
      </c>
      <c r="F619" s="41" t="s">
        <v>78</v>
      </c>
      <c r="G619" s="42" t="n">
        <v>87.91</v>
      </c>
      <c r="H619" s="41" t="n">
        <v>5</v>
      </c>
      <c r="I619" s="42" t="n">
        <v>21.9775</v>
      </c>
      <c r="J619" s="42" t="n">
        <v>461.5275</v>
      </c>
      <c r="K619" s="43" t="n">
        <v>43538</v>
      </c>
      <c r="L619" s="44" t="n">
        <v>0.756944444444444</v>
      </c>
      <c r="M619" s="41" t="s">
        <v>98</v>
      </c>
      <c r="N619" s="42" t="n">
        <v>439.55</v>
      </c>
      <c r="O619" s="42" t="n">
        <v>21.9775</v>
      </c>
      <c r="P619" s="45" t="n">
        <v>4.4</v>
      </c>
      <c r="Q619" s="41" t="str">
        <f aca="false">CHOOSE(MONTH(K619),"Jan","Feb","Mar","Apr","May","Jun","Jul","Aug","Sep","Oct","Nov","Dec")</f>
        <v>Mar</v>
      </c>
      <c r="R619" s="41" t="n">
        <f aca="false">INT((K619-setMinDate)/7)+1</f>
        <v>11</v>
      </c>
      <c r="S619" s="41" t="n">
        <f aca="false">HOUR(L619)</f>
        <v>18</v>
      </c>
      <c r="T619" s="41" t="str">
        <f aca="false">IF(S619&lt;setMorningEnd,"Morning",IF(S619&lt;setAfternoonEnd,"Afternoon","Evening"))</f>
        <v>Evening</v>
      </c>
      <c r="U619" s="41" t="str">
        <f aca="false">IF(J619&gt;=setLarge,"Large",IF(J619&gt;=setMedium,"Medium","Small"))</f>
        <v>Medium</v>
      </c>
      <c r="V619" s="41" t="str">
        <f aca="false">IF(P619&gt;=setExc,"Excellent",IF(P619&gt;=setGood,"Good",IF(P619&gt;=setAvg,"Average","Poor")))</f>
        <v>Poor</v>
      </c>
    </row>
    <row r="620" customFormat="false" ht="15" hidden="false" customHeight="false" outlineLevel="0" collapsed="false">
      <c r="A620" s="41" t="s">
        <v>798</v>
      </c>
      <c r="B620" s="41" t="s">
        <v>178</v>
      </c>
      <c r="C620" s="41" t="s">
        <v>85</v>
      </c>
      <c r="D620" s="41" t="s">
        <v>104</v>
      </c>
      <c r="E620" s="41" t="s">
        <v>103</v>
      </c>
      <c r="F620" s="41" t="s">
        <v>76</v>
      </c>
      <c r="G620" s="42" t="n">
        <v>98.53</v>
      </c>
      <c r="H620" s="41" t="n">
        <v>6</v>
      </c>
      <c r="I620" s="42" t="n">
        <v>29.559</v>
      </c>
      <c r="J620" s="42" t="n">
        <v>620.739</v>
      </c>
      <c r="K620" s="43" t="n">
        <v>43488</v>
      </c>
      <c r="L620" s="44" t="n">
        <v>0.473611111111111</v>
      </c>
      <c r="M620" s="41" t="s">
        <v>99</v>
      </c>
      <c r="N620" s="42" t="n">
        <v>591.18</v>
      </c>
      <c r="O620" s="42" t="n">
        <v>29.559</v>
      </c>
      <c r="P620" s="45" t="n">
        <v>4</v>
      </c>
      <c r="Q620" s="41" t="str">
        <f aca="false">CHOOSE(MONTH(K620),"Jan","Feb","Mar","Apr","May","Jun","Jul","Aug","Sep","Oct","Nov","Dec")</f>
        <v>Jan</v>
      </c>
      <c r="R620" s="41" t="n">
        <f aca="false">INT((K620-setMinDate)/7)+1</f>
        <v>4</v>
      </c>
      <c r="S620" s="41" t="n">
        <f aca="false">HOUR(L620)</f>
        <v>11</v>
      </c>
      <c r="T620" s="41" t="str">
        <f aca="false">IF(S620&lt;setMorningEnd,"Morning",IF(S620&lt;setAfternoonEnd,"Afternoon","Evening"))</f>
        <v>Morning</v>
      </c>
      <c r="U620" s="41" t="str">
        <f aca="false">IF(J620&gt;=setLarge,"Large",IF(J620&gt;=setMedium,"Medium","Small"))</f>
        <v>Large</v>
      </c>
      <c r="V620" s="41" t="str">
        <f aca="false">IF(P620&gt;=setExc,"Excellent",IF(P620&gt;=setGood,"Good",IF(P620&gt;=setAvg,"Average","Poor")))</f>
        <v>Poor</v>
      </c>
    </row>
    <row r="621" customFormat="false" ht="15" hidden="false" customHeight="false" outlineLevel="0" collapsed="false">
      <c r="A621" s="41" t="s">
        <v>799</v>
      </c>
      <c r="B621" s="41" t="s">
        <v>180</v>
      </c>
      <c r="C621" s="41" t="s">
        <v>87</v>
      </c>
      <c r="D621" s="41" t="s">
        <v>104</v>
      </c>
      <c r="E621" s="41" t="s">
        <v>102</v>
      </c>
      <c r="F621" s="41" t="s">
        <v>79</v>
      </c>
      <c r="G621" s="42" t="n">
        <v>43.46</v>
      </c>
      <c r="H621" s="41" t="n">
        <v>6</v>
      </c>
      <c r="I621" s="42" t="n">
        <v>13.038</v>
      </c>
      <c r="J621" s="42" t="n">
        <v>273.798</v>
      </c>
      <c r="K621" s="43" t="n">
        <v>43503</v>
      </c>
      <c r="L621" s="44" t="n">
        <v>0.746527777777778</v>
      </c>
      <c r="M621" s="41" t="s">
        <v>98</v>
      </c>
      <c r="N621" s="42" t="n">
        <v>260.76</v>
      </c>
      <c r="O621" s="42" t="n">
        <v>13.038</v>
      </c>
      <c r="P621" s="45" t="n">
        <v>8.5</v>
      </c>
      <c r="Q621" s="41" t="str">
        <f aca="false">CHOOSE(MONTH(K621),"Jan","Feb","Mar","Apr","May","Jun","Jul","Aug","Sep","Oct","Nov","Dec")</f>
        <v>Feb</v>
      </c>
      <c r="R621" s="41" t="n">
        <f aca="false">INT((K621-setMinDate)/7)+1</f>
        <v>6</v>
      </c>
      <c r="S621" s="41" t="n">
        <f aca="false">HOUR(L621)</f>
        <v>17</v>
      </c>
      <c r="T621" s="41" t="str">
        <f aca="false">IF(S621&lt;setMorningEnd,"Morning",IF(S621&lt;setAfternoonEnd,"Afternoon","Evening"))</f>
        <v>Evening</v>
      </c>
      <c r="U621" s="41" t="str">
        <f aca="false">IF(J621&gt;=setLarge,"Large",IF(J621&gt;=setMedium,"Medium","Small"))</f>
        <v>Medium</v>
      </c>
      <c r="V621" s="41" t="str">
        <f aca="false">IF(P621&gt;=setExc,"Excellent",IF(P621&gt;=setGood,"Good",IF(P621&gt;=setAvg,"Average","Poor")))</f>
        <v>Good</v>
      </c>
    </row>
    <row r="622" customFormat="false" ht="15" hidden="false" customHeight="false" outlineLevel="0" collapsed="false">
      <c r="A622" s="41" t="s">
        <v>800</v>
      </c>
      <c r="B622" s="41" t="s">
        <v>178</v>
      </c>
      <c r="C622" s="41" t="s">
        <v>85</v>
      </c>
      <c r="D622" s="41" t="s">
        <v>105</v>
      </c>
      <c r="E622" s="41" t="s">
        <v>102</v>
      </c>
      <c r="F622" s="41" t="s">
        <v>76</v>
      </c>
      <c r="G622" s="42" t="n">
        <v>71.68</v>
      </c>
      <c r="H622" s="41" t="n">
        <v>3</v>
      </c>
      <c r="I622" s="42" t="n">
        <v>10.752</v>
      </c>
      <c r="J622" s="42" t="n">
        <v>225.792</v>
      </c>
      <c r="K622" s="43" t="n">
        <v>43552</v>
      </c>
      <c r="L622" s="44" t="n">
        <v>0.645833333333333</v>
      </c>
      <c r="M622" s="41" t="s">
        <v>99</v>
      </c>
      <c r="N622" s="42" t="n">
        <v>215.04</v>
      </c>
      <c r="O622" s="42" t="n">
        <v>10.752</v>
      </c>
      <c r="P622" s="45" t="n">
        <v>9.2</v>
      </c>
      <c r="Q622" s="41" t="str">
        <f aca="false">CHOOSE(MONTH(K622),"Jan","Feb","Mar","Apr","May","Jun","Jul","Aug","Sep","Oct","Nov","Dec")</f>
        <v>Mar</v>
      </c>
      <c r="R622" s="41" t="n">
        <f aca="false">INT((K622-setMinDate)/7)+1</f>
        <v>13</v>
      </c>
      <c r="S622" s="41" t="n">
        <f aca="false">HOUR(L622)</f>
        <v>15</v>
      </c>
      <c r="T622" s="41" t="str">
        <f aca="false">IF(S622&lt;setMorningEnd,"Morning",IF(S622&lt;setAfternoonEnd,"Afternoon","Evening"))</f>
        <v>Afternoon</v>
      </c>
      <c r="U622" s="41" t="str">
        <f aca="false">IF(J622&gt;=setLarge,"Large",IF(J622&gt;=setMedium,"Medium","Small"))</f>
        <v>Small</v>
      </c>
      <c r="V622" s="41" t="str">
        <f aca="false">IF(P622&gt;=setExc,"Excellent",IF(P622&gt;=setGood,"Good",IF(P622&gt;=setAvg,"Average","Poor")))</f>
        <v>Excellent</v>
      </c>
    </row>
    <row r="623" customFormat="false" ht="15" hidden="false" customHeight="false" outlineLevel="0" collapsed="false">
      <c r="A623" s="41" t="s">
        <v>801</v>
      </c>
      <c r="B623" s="41" t="s">
        <v>178</v>
      </c>
      <c r="C623" s="41" t="s">
        <v>85</v>
      </c>
      <c r="D623" s="41" t="s">
        <v>104</v>
      </c>
      <c r="E623" s="41" t="s">
        <v>102</v>
      </c>
      <c r="F623" s="41" t="s">
        <v>76</v>
      </c>
      <c r="G623" s="42" t="n">
        <v>91.61</v>
      </c>
      <c r="H623" s="41" t="n">
        <v>1</v>
      </c>
      <c r="I623" s="42" t="n">
        <v>4.5805</v>
      </c>
      <c r="J623" s="42" t="n">
        <v>96.1905</v>
      </c>
      <c r="K623" s="43" t="n">
        <v>43544</v>
      </c>
      <c r="L623" s="44" t="n">
        <v>0.822222222222222</v>
      </c>
      <c r="M623" s="41" t="s">
        <v>97</v>
      </c>
      <c r="N623" s="42" t="n">
        <v>91.61</v>
      </c>
      <c r="O623" s="42" t="n">
        <v>4.5805</v>
      </c>
      <c r="P623" s="45" t="n">
        <v>9.8</v>
      </c>
      <c r="Q623" s="41" t="str">
        <f aca="false">CHOOSE(MONTH(K623),"Jan","Feb","Mar","Apr","May","Jun","Jul","Aug","Sep","Oct","Nov","Dec")</f>
        <v>Mar</v>
      </c>
      <c r="R623" s="41" t="n">
        <f aca="false">INT((K623-setMinDate)/7)+1</f>
        <v>12</v>
      </c>
      <c r="S623" s="41" t="n">
        <f aca="false">HOUR(L623)</f>
        <v>19</v>
      </c>
      <c r="T623" s="41" t="str">
        <f aca="false">IF(S623&lt;setMorningEnd,"Morning",IF(S623&lt;setAfternoonEnd,"Afternoon","Evening"))</f>
        <v>Evening</v>
      </c>
      <c r="U623" s="41" t="str">
        <f aca="false">IF(J623&gt;=setLarge,"Large",IF(J623&gt;=setMedium,"Medium","Small"))</f>
        <v>Small</v>
      </c>
      <c r="V623" s="41" t="str">
        <f aca="false">IF(P623&gt;=setExc,"Excellent",IF(P623&gt;=setGood,"Good",IF(P623&gt;=setAvg,"Average","Poor")))</f>
        <v>Excellent</v>
      </c>
    </row>
    <row r="624" customFormat="false" ht="15" hidden="false" customHeight="false" outlineLevel="0" collapsed="false">
      <c r="A624" s="41" t="s">
        <v>802</v>
      </c>
      <c r="B624" s="41" t="s">
        <v>189</v>
      </c>
      <c r="C624" s="41" t="s">
        <v>86</v>
      </c>
      <c r="D624" s="41" t="s">
        <v>104</v>
      </c>
      <c r="E624" s="41" t="s">
        <v>102</v>
      </c>
      <c r="F624" s="41" t="s">
        <v>80</v>
      </c>
      <c r="G624" s="42" t="n">
        <v>94.59</v>
      </c>
      <c r="H624" s="41" t="n">
        <v>7</v>
      </c>
      <c r="I624" s="42" t="n">
        <v>33.1065</v>
      </c>
      <c r="J624" s="42" t="n">
        <v>695.2365</v>
      </c>
      <c r="K624" s="43" t="n">
        <v>43482</v>
      </c>
      <c r="L624" s="44" t="n">
        <v>0.64375</v>
      </c>
      <c r="M624" s="41" t="s">
        <v>99</v>
      </c>
      <c r="N624" s="42" t="n">
        <v>662.13</v>
      </c>
      <c r="O624" s="42" t="n">
        <v>33.1065</v>
      </c>
      <c r="P624" s="45" t="n">
        <v>4.9</v>
      </c>
      <c r="Q624" s="41" t="str">
        <f aca="false">CHOOSE(MONTH(K624),"Jan","Feb","Mar","Apr","May","Jun","Jul","Aug","Sep","Oct","Nov","Dec")</f>
        <v>Jan</v>
      </c>
      <c r="R624" s="41" t="n">
        <f aca="false">INT((K624-setMinDate)/7)+1</f>
        <v>3</v>
      </c>
      <c r="S624" s="41" t="n">
        <f aca="false">HOUR(L624)</f>
        <v>15</v>
      </c>
      <c r="T624" s="41" t="str">
        <f aca="false">IF(S624&lt;setMorningEnd,"Morning",IF(S624&lt;setAfternoonEnd,"Afternoon","Evening"))</f>
        <v>Afternoon</v>
      </c>
      <c r="U624" s="41" t="str">
        <f aca="false">IF(J624&gt;=setLarge,"Large",IF(J624&gt;=setMedium,"Medium","Small"))</f>
        <v>Large</v>
      </c>
      <c r="V624" s="41" t="str">
        <f aca="false">IF(P624&gt;=setExc,"Excellent",IF(P624&gt;=setGood,"Good",IF(P624&gt;=setAvg,"Average","Poor")))</f>
        <v>Poor</v>
      </c>
    </row>
    <row r="625" customFormat="false" ht="15" hidden="false" customHeight="false" outlineLevel="0" collapsed="false">
      <c r="A625" s="41" t="s">
        <v>803</v>
      </c>
      <c r="B625" s="41" t="s">
        <v>189</v>
      </c>
      <c r="C625" s="41" t="s">
        <v>86</v>
      </c>
      <c r="D625" s="41" t="s">
        <v>105</v>
      </c>
      <c r="E625" s="41" t="s">
        <v>102</v>
      </c>
      <c r="F625" s="41" t="s">
        <v>79</v>
      </c>
      <c r="G625" s="42" t="n">
        <v>83.25</v>
      </c>
      <c r="H625" s="41" t="n">
        <v>10</v>
      </c>
      <c r="I625" s="42" t="n">
        <v>41.625</v>
      </c>
      <c r="J625" s="42" t="n">
        <v>874.125</v>
      </c>
      <c r="K625" s="43" t="n">
        <v>43477</v>
      </c>
      <c r="L625" s="44" t="n">
        <v>0.475694444444444</v>
      </c>
      <c r="M625" s="41" t="s">
        <v>99</v>
      </c>
      <c r="N625" s="42" t="n">
        <v>832.5</v>
      </c>
      <c r="O625" s="42" t="n">
        <v>41.625</v>
      </c>
      <c r="P625" s="45" t="n">
        <v>4.4</v>
      </c>
      <c r="Q625" s="41" t="str">
        <f aca="false">CHOOSE(MONTH(K625),"Jan","Feb","Mar","Apr","May","Jun","Jul","Aug","Sep","Oct","Nov","Dec")</f>
        <v>Jan</v>
      </c>
      <c r="R625" s="41" t="n">
        <f aca="false">INT((K625-setMinDate)/7)+1</f>
        <v>2</v>
      </c>
      <c r="S625" s="41" t="n">
        <f aca="false">HOUR(L625)</f>
        <v>11</v>
      </c>
      <c r="T625" s="41" t="str">
        <f aca="false">IF(S625&lt;setMorningEnd,"Morning",IF(S625&lt;setAfternoonEnd,"Afternoon","Evening"))</f>
        <v>Morning</v>
      </c>
      <c r="U625" s="41" t="str">
        <f aca="false">IF(J625&gt;=setLarge,"Large",IF(J625&gt;=setMedium,"Medium","Small"))</f>
        <v>Large</v>
      </c>
      <c r="V625" s="41" t="str">
        <f aca="false">IF(P625&gt;=setExc,"Excellent",IF(P625&gt;=setGood,"Good",IF(P625&gt;=setAvg,"Average","Poor")))</f>
        <v>Poor</v>
      </c>
    </row>
    <row r="626" customFormat="false" ht="15" hidden="false" customHeight="false" outlineLevel="0" collapsed="false">
      <c r="A626" s="41" t="s">
        <v>804</v>
      </c>
      <c r="B626" s="41" t="s">
        <v>189</v>
      </c>
      <c r="C626" s="41" t="s">
        <v>86</v>
      </c>
      <c r="D626" s="41" t="s">
        <v>104</v>
      </c>
      <c r="E626" s="41" t="s">
        <v>103</v>
      </c>
      <c r="F626" s="41" t="s">
        <v>79</v>
      </c>
      <c r="G626" s="42" t="n">
        <v>91.35</v>
      </c>
      <c r="H626" s="41" t="n">
        <v>1</v>
      </c>
      <c r="I626" s="42" t="n">
        <v>4.5675</v>
      </c>
      <c r="J626" s="42" t="n">
        <v>95.9175</v>
      </c>
      <c r="K626" s="43" t="n">
        <v>43512</v>
      </c>
      <c r="L626" s="44" t="n">
        <v>0.654166666666667</v>
      </c>
      <c r="M626" s="41" t="s">
        <v>97</v>
      </c>
      <c r="N626" s="42" t="n">
        <v>91.35</v>
      </c>
      <c r="O626" s="42" t="n">
        <v>4.5675</v>
      </c>
      <c r="P626" s="45" t="n">
        <v>6.8</v>
      </c>
      <c r="Q626" s="41" t="str">
        <f aca="false">CHOOSE(MONTH(K626),"Jan","Feb","Mar","Apr","May","Jun","Jul","Aug","Sep","Oct","Nov","Dec")</f>
        <v>Feb</v>
      </c>
      <c r="R626" s="41" t="n">
        <f aca="false">INT((K626-setMinDate)/7)+1</f>
        <v>7</v>
      </c>
      <c r="S626" s="41" t="n">
        <f aca="false">HOUR(L626)</f>
        <v>15</v>
      </c>
      <c r="T626" s="41" t="str">
        <f aca="false">IF(S626&lt;setMorningEnd,"Morning",IF(S626&lt;setAfternoonEnd,"Afternoon","Evening"))</f>
        <v>Afternoon</v>
      </c>
      <c r="U626" s="41" t="str">
        <f aca="false">IF(J626&gt;=setLarge,"Large",IF(J626&gt;=setMedium,"Medium","Small"))</f>
        <v>Small</v>
      </c>
      <c r="V626" s="41" t="str">
        <f aca="false">IF(P626&gt;=setExc,"Excellent",IF(P626&gt;=setGood,"Good",IF(P626&gt;=setAvg,"Average","Poor")))</f>
        <v>Average</v>
      </c>
    </row>
    <row r="627" customFormat="false" ht="15" hidden="false" customHeight="false" outlineLevel="0" collapsed="false">
      <c r="A627" s="41" t="s">
        <v>805</v>
      </c>
      <c r="B627" s="41" t="s">
        <v>189</v>
      </c>
      <c r="C627" s="41" t="s">
        <v>86</v>
      </c>
      <c r="D627" s="41" t="s">
        <v>104</v>
      </c>
      <c r="E627" s="41" t="s">
        <v>102</v>
      </c>
      <c r="F627" s="41" t="s">
        <v>76</v>
      </c>
      <c r="G627" s="42" t="n">
        <v>78.88</v>
      </c>
      <c r="H627" s="41" t="n">
        <v>2</v>
      </c>
      <c r="I627" s="42" t="n">
        <v>7.888</v>
      </c>
      <c r="J627" s="42" t="n">
        <v>165.648</v>
      </c>
      <c r="K627" s="43" t="n">
        <v>43491</v>
      </c>
      <c r="L627" s="44" t="n">
        <v>0.669444444444444</v>
      </c>
      <c r="M627" s="41" t="s">
        <v>97</v>
      </c>
      <c r="N627" s="42" t="n">
        <v>157.76</v>
      </c>
      <c r="O627" s="42" t="n">
        <v>7.888</v>
      </c>
      <c r="P627" s="45" t="n">
        <v>9.1</v>
      </c>
      <c r="Q627" s="41" t="str">
        <f aca="false">CHOOSE(MONTH(K627),"Jan","Feb","Mar","Apr","May","Jun","Jul","Aug","Sep","Oct","Nov","Dec")</f>
        <v>Jan</v>
      </c>
      <c r="R627" s="41" t="n">
        <f aca="false">INT((K627-setMinDate)/7)+1</f>
        <v>4</v>
      </c>
      <c r="S627" s="41" t="n">
        <f aca="false">HOUR(L627)</f>
        <v>16</v>
      </c>
      <c r="T627" s="41" t="str">
        <f aca="false">IF(S627&lt;setMorningEnd,"Morning",IF(S627&lt;setAfternoonEnd,"Afternoon","Evening"))</f>
        <v>Afternoon</v>
      </c>
      <c r="U627" s="41" t="str">
        <f aca="false">IF(J627&gt;=setLarge,"Large",IF(J627&gt;=setMedium,"Medium","Small"))</f>
        <v>Small</v>
      </c>
      <c r="V627" s="41" t="str">
        <f aca="false">IF(P627&gt;=setExc,"Excellent",IF(P627&gt;=setGood,"Good",IF(P627&gt;=setAvg,"Average","Poor")))</f>
        <v>Excellent</v>
      </c>
    </row>
    <row r="628" customFormat="false" ht="15" hidden="false" customHeight="false" outlineLevel="0" collapsed="false">
      <c r="A628" s="41" t="s">
        <v>806</v>
      </c>
      <c r="B628" s="41" t="s">
        <v>178</v>
      </c>
      <c r="C628" s="41" t="s">
        <v>85</v>
      </c>
      <c r="D628" s="41" t="s">
        <v>105</v>
      </c>
      <c r="E628" s="41" t="s">
        <v>103</v>
      </c>
      <c r="F628" s="41" t="s">
        <v>77</v>
      </c>
      <c r="G628" s="42" t="n">
        <v>60.87</v>
      </c>
      <c r="H628" s="41" t="n">
        <v>2</v>
      </c>
      <c r="I628" s="42" t="n">
        <v>6.087</v>
      </c>
      <c r="J628" s="42" t="n">
        <v>127.827</v>
      </c>
      <c r="K628" s="43" t="n">
        <v>43533</v>
      </c>
      <c r="L628" s="44" t="n">
        <v>0.525694444444445</v>
      </c>
      <c r="M628" s="41" t="s">
        <v>98</v>
      </c>
      <c r="N628" s="42" t="n">
        <v>121.74</v>
      </c>
      <c r="O628" s="42" t="n">
        <v>6.087</v>
      </c>
      <c r="P628" s="45" t="n">
        <v>8.7</v>
      </c>
      <c r="Q628" s="41" t="str">
        <f aca="false">CHOOSE(MONTH(K628),"Jan","Feb","Mar","Apr","May","Jun","Jul","Aug","Sep","Oct","Nov","Dec")</f>
        <v>Mar</v>
      </c>
      <c r="R628" s="41" t="n">
        <f aca="false">INT((K628-setMinDate)/7)+1</f>
        <v>10</v>
      </c>
      <c r="S628" s="41" t="n">
        <f aca="false">HOUR(L628)</f>
        <v>12</v>
      </c>
      <c r="T628" s="41" t="str">
        <f aca="false">IF(S628&lt;setMorningEnd,"Morning",IF(S628&lt;setAfternoonEnd,"Afternoon","Evening"))</f>
        <v>Afternoon</v>
      </c>
      <c r="U628" s="41" t="str">
        <f aca="false">IF(J628&gt;=setLarge,"Large",IF(J628&gt;=setMedium,"Medium","Small"))</f>
        <v>Small</v>
      </c>
      <c r="V628" s="41" t="str">
        <f aca="false">IF(P628&gt;=setExc,"Excellent",IF(P628&gt;=setGood,"Good",IF(P628&gt;=setAvg,"Average","Poor")))</f>
        <v>Good</v>
      </c>
    </row>
    <row r="629" customFormat="false" ht="15" hidden="false" customHeight="false" outlineLevel="0" collapsed="false">
      <c r="A629" s="41" t="s">
        <v>807</v>
      </c>
      <c r="B629" s="41" t="s">
        <v>189</v>
      </c>
      <c r="C629" s="41" t="s">
        <v>86</v>
      </c>
      <c r="D629" s="41" t="s">
        <v>104</v>
      </c>
      <c r="E629" s="41" t="s">
        <v>103</v>
      </c>
      <c r="F629" s="41" t="s">
        <v>81</v>
      </c>
      <c r="G629" s="42" t="n">
        <v>82.58</v>
      </c>
      <c r="H629" s="41" t="n">
        <v>10</v>
      </c>
      <c r="I629" s="42" t="n">
        <v>41.29</v>
      </c>
      <c r="J629" s="42" t="n">
        <v>867.09</v>
      </c>
      <c r="K629" s="43" t="n">
        <v>43538</v>
      </c>
      <c r="L629" s="44" t="n">
        <v>0.611805555555556</v>
      </c>
      <c r="M629" s="41" t="s">
        <v>97</v>
      </c>
      <c r="N629" s="42" t="n">
        <v>825.8</v>
      </c>
      <c r="O629" s="42" t="n">
        <v>41.29</v>
      </c>
      <c r="P629" s="45" t="n">
        <v>5</v>
      </c>
      <c r="Q629" s="41" t="str">
        <f aca="false">CHOOSE(MONTH(K629),"Jan","Feb","Mar","Apr","May","Jun","Jul","Aug","Sep","Oct","Nov","Dec")</f>
        <v>Mar</v>
      </c>
      <c r="R629" s="41" t="n">
        <f aca="false">INT((K629-setMinDate)/7)+1</f>
        <v>11</v>
      </c>
      <c r="S629" s="41" t="n">
        <f aca="false">HOUR(L629)</f>
        <v>14</v>
      </c>
      <c r="T629" s="41" t="str">
        <f aca="false">IF(S629&lt;setMorningEnd,"Morning",IF(S629&lt;setAfternoonEnd,"Afternoon","Evening"))</f>
        <v>Afternoon</v>
      </c>
      <c r="U629" s="41" t="str">
        <f aca="false">IF(J629&gt;=setLarge,"Large",IF(J629&gt;=setMedium,"Medium","Small"))</f>
        <v>Large</v>
      </c>
      <c r="V629" s="41" t="str">
        <f aca="false">IF(P629&gt;=setExc,"Excellent",IF(P629&gt;=setGood,"Good",IF(P629&gt;=setAvg,"Average","Poor")))</f>
        <v>Average</v>
      </c>
    </row>
    <row r="630" customFormat="false" ht="15" hidden="false" customHeight="false" outlineLevel="0" collapsed="false">
      <c r="A630" s="41" t="s">
        <v>808</v>
      </c>
      <c r="B630" s="41" t="s">
        <v>178</v>
      </c>
      <c r="C630" s="41" t="s">
        <v>85</v>
      </c>
      <c r="D630" s="41" t="s">
        <v>104</v>
      </c>
      <c r="E630" s="41" t="s">
        <v>103</v>
      </c>
      <c r="F630" s="41" t="s">
        <v>80</v>
      </c>
      <c r="G630" s="42" t="n">
        <v>53.3</v>
      </c>
      <c r="H630" s="41" t="n">
        <v>3</v>
      </c>
      <c r="I630" s="42" t="n">
        <v>7.995</v>
      </c>
      <c r="J630" s="42" t="n">
        <v>167.895</v>
      </c>
      <c r="K630" s="43" t="n">
        <v>43490</v>
      </c>
      <c r="L630" s="44" t="n">
        <v>0.596527777777778</v>
      </c>
      <c r="M630" s="41" t="s">
        <v>98</v>
      </c>
      <c r="N630" s="42" t="n">
        <v>159.9</v>
      </c>
      <c r="O630" s="42" t="n">
        <v>7.995</v>
      </c>
      <c r="P630" s="45" t="n">
        <v>7.5</v>
      </c>
      <c r="Q630" s="41" t="str">
        <f aca="false">CHOOSE(MONTH(K630),"Jan","Feb","Mar","Apr","May","Jun","Jul","Aug","Sep","Oct","Nov","Dec")</f>
        <v>Jan</v>
      </c>
      <c r="R630" s="41" t="n">
        <f aca="false">INT((K630-setMinDate)/7)+1</f>
        <v>4</v>
      </c>
      <c r="S630" s="41" t="n">
        <f aca="false">HOUR(L630)</f>
        <v>14</v>
      </c>
      <c r="T630" s="41" t="str">
        <f aca="false">IF(S630&lt;setMorningEnd,"Morning",IF(S630&lt;setAfternoonEnd,"Afternoon","Evening"))</f>
        <v>Afternoon</v>
      </c>
      <c r="U630" s="41" t="str">
        <f aca="false">IF(J630&gt;=setLarge,"Large",IF(J630&gt;=setMedium,"Medium","Small"))</f>
        <v>Small</v>
      </c>
      <c r="V630" s="41" t="str">
        <f aca="false">IF(P630&gt;=setExc,"Excellent",IF(P630&gt;=setGood,"Good",IF(P630&gt;=setAvg,"Average","Poor")))</f>
        <v>Good</v>
      </c>
    </row>
    <row r="631" customFormat="false" ht="15" hidden="false" customHeight="false" outlineLevel="0" collapsed="false">
      <c r="A631" s="41" t="s">
        <v>809</v>
      </c>
      <c r="B631" s="41" t="s">
        <v>178</v>
      </c>
      <c r="C631" s="41" t="s">
        <v>85</v>
      </c>
      <c r="D631" s="41" t="s">
        <v>105</v>
      </c>
      <c r="E631" s="41" t="s">
        <v>102</v>
      </c>
      <c r="F631" s="41" t="s">
        <v>79</v>
      </c>
      <c r="G631" s="42" t="n">
        <v>12.09</v>
      </c>
      <c r="H631" s="41" t="n">
        <v>1</v>
      </c>
      <c r="I631" s="42" t="n">
        <v>0.6045</v>
      </c>
      <c r="J631" s="42" t="n">
        <v>12.6945</v>
      </c>
      <c r="K631" s="43" t="n">
        <v>43491</v>
      </c>
      <c r="L631" s="44" t="n">
        <v>0.763194444444444</v>
      </c>
      <c r="M631" s="41" t="s">
        <v>99</v>
      </c>
      <c r="N631" s="42" t="n">
        <v>12.09</v>
      </c>
      <c r="O631" s="42" t="n">
        <v>0.6045</v>
      </c>
      <c r="P631" s="45" t="n">
        <v>8.2</v>
      </c>
      <c r="Q631" s="41" t="str">
        <f aca="false">CHOOSE(MONTH(K631),"Jan","Feb","Mar","Apr","May","Jun","Jul","Aug","Sep","Oct","Nov","Dec")</f>
        <v>Jan</v>
      </c>
      <c r="R631" s="41" t="n">
        <f aca="false">INT((K631-setMinDate)/7)+1</f>
        <v>4</v>
      </c>
      <c r="S631" s="41" t="n">
        <f aca="false">HOUR(L631)</f>
        <v>18</v>
      </c>
      <c r="T631" s="41" t="str">
        <f aca="false">IF(S631&lt;setMorningEnd,"Morning",IF(S631&lt;setAfternoonEnd,"Afternoon","Evening"))</f>
        <v>Evening</v>
      </c>
      <c r="U631" s="41" t="str">
        <f aca="false">IF(J631&gt;=setLarge,"Large",IF(J631&gt;=setMedium,"Medium","Small"))</f>
        <v>Small</v>
      </c>
      <c r="V631" s="41" t="str">
        <f aca="false">IF(P631&gt;=setExc,"Excellent",IF(P631&gt;=setGood,"Good",IF(P631&gt;=setAvg,"Average","Poor")))</f>
        <v>Good</v>
      </c>
    </row>
    <row r="632" customFormat="false" ht="15" hidden="false" customHeight="false" outlineLevel="0" collapsed="false">
      <c r="A632" s="41" t="s">
        <v>810</v>
      </c>
      <c r="B632" s="41" t="s">
        <v>178</v>
      </c>
      <c r="C632" s="41" t="s">
        <v>85</v>
      </c>
      <c r="D632" s="41" t="s">
        <v>105</v>
      </c>
      <c r="E632" s="41" t="s">
        <v>103</v>
      </c>
      <c r="F632" s="41" t="s">
        <v>77</v>
      </c>
      <c r="G632" s="42" t="n">
        <v>64.19</v>
      </c>
      <c r="H632" s="41" t="n">
        <v>10</v>
      </c>
      <c r="I632" s="42" t="n">
        <v>32.095</v>
      </c>
      <c r="J632" s="42" t="n">
        <v>673.995</v>
      </c>
      <c r="K632" s="43" t="n">
        <v>43484</v>
      </c>
      <c r="L632" s="44" t="n">
        <v>0.588888888888889</v>
      </c>
      <c r="M632" s="41" t="s">
        <v>99</v>
      </c>
      <c r="N632" s="42" t="n">
        <v>641.9</v>
      </c>
      <c r="O632" s="42" t="n">
        <v>32.095</v>
      </c>
      <c r="P632" s="45" t="n">
        <v>6.7</v>
      </c>
      <c r="Q632" s="41" t="str">
        <f aca="false">CHOOSE(MONTH(K632),"Jan","Feb","Mar","Apr","May","Jun","Jul","Aug","Sep","Oct","Nov","Dec")</f>
        <v>Jan</v>
      </c>
      <c r="R632" s="41" t="n">
        <f aca="false">INT((K632-setMinDate)/7)+1</f>
        <v>3</v>
      </c>
      <c r="S632" s="41" t="n">
        <f aca="false">HOUR(L632)</f>
        <v>14</v>
      </c>
      <c r="T632" s="41" t="str">
        <f aca="false">IF(S632&lt;setMorningEnd,"Morning",IF(S632&lt;setAfternoonEnd,"Afternoon","Evening"))</f>
        <v>Afternoon</v>
      </c>
      <c r="U632" s="41" t="str">
        <f aca="false">IF(J632&gt;=setLarge,"Large",IF(J632&gt;=setMedium,"Medium","Small"))</f>
        <v>Large</v>
      </c>
      <c r="V632" s="41" t="str">
        <f aca="false">IF(P632&gt;=setExc,"Excellent",IF(P632&gt;=setGood,"Good",IF(P632&gt;=setAvg,"Average","Poor")))</f>
        <v>Average</v>
      </c>
    </row>
    <row r="633" customFormat="false" ht="15" hidden="false" customHeight="false" outlineLevel="0" collapsed="false">
      <c r="A633" s="41" t="s">
        <v>811</v>
      </c>
      <c r="B633" s="41" t="s">
        <v>178</v>
      </c>
      <c r="C633" s="41" t="s">
        <v>85</v>
      </c>
      <c r="D633" s="41" t="s">
        <v>105</v>
      </c>
      <c r="E633" s="41" t="s">
        <v>103</v>
      </c>
      <c r="F633" s="41" t="s">
        <v>78</v>
      </c>
      <c r="G633" s="42" t="n">
        <v>78.31</v>
      </c>
      <c r="H633" s="41" t="n">
        <v>3</v>
      </c>
      <c r="I633" s="42" t="n">
        <v>11.7465</v>
      </c>
      <c r="J633" s="42" t="n">
        <v>246.6765</v>
      </c>
      <c r="K633" s="43" t="n">
        <v>43529</v>
      </c>
      <c r="L633" s="44" t="n">
        <v>0.693055555555556</v>
      </c>
      <c r="M633" s="41" t="s">
        <v>98</v>
      </c>
      <c r="N633" s="42" t="n">
        <v>234.93</v>
      </c>
      <c r="O633" s="42" t="n">
        <v>11.7465</v>
      </c>
      <c r="P633" s="45" t="n">
        <v>5.4</v>
      </c>
      <c r="Q633" s="41" t="str">
        <f aca="false">CHOOSE(MONTH(K633),"Jan","Feb","Mar","Apr","May","Jun","Jul","Aug","Sep","Oct","Nov","Dec")</f>
        <v>Mar</v>
      </c>
      <c r="R633" s="41" t="n">
        <f aca="false">INT((K633-setMinDate)/7)+1</f>
        <v>10</v>
      </c>
      <c r="S633" s="41" t="n">
        <f aca="false">HOUR(L633)</f>
        <v>16</v>
      </c>
      <c r="T633" s="41" t="str">
        <f aca="false">IF(S633&lt;setMorningEnd,"Morning",IF(S633&lt;setAfternoonEnd,"Afternoon","Evening"))</f>
        <v>Afternoon</v>
      </c>
      <c r="U633" s="41" t="str">
        <f aca="false">IF(J633&gt;=setLarge,"Large",IF(J633&gt;=setMedium,"Medium","Small"))</f>
        <v>Small</v>
      </c>
      <c r="V633" s="41" t="str">
        <f aca="false">IF(P633&gt;=setExc,"Excellent",IF(P633&gt;=setGood,"Good",IF(P633&gt;=setAvg,"Average","Poor")))</f>
        <v>Average</v>
      </c>
    </row>
    <row r="634" customFormat="false" ht="15" hidden="false" customHeight="false" outlineLevel="0" collapsed="false">
      <c r="A634" s="41" t="s">
        <v>812</v>
      </c>
      <c r="B634" s="41" t="s">
        <v>178</v>
      </c>
      <c r="C634" s="41" t="s">
        <v>85</v>
      </c>
      <c r="D634" s="41" t="s">
        <v>104</v>
      </c>
      <c r="E634" s="41" t="s">
        <v>103</v>
      </c>
      <c r="F634" s="41" t="s">
        <v>76</v>
      </c>
      <c r="G634" s="42" t="n">
        <v>83.77</v>
      </c>
      <c r="H634" s="41" t="n">
        <v>2</v>
      </c>
      <c r="I634" s="42" t="n">
        <v>8.377</v>
      </c>
      <c r="J634" s="42" t="n">
        <v>175.917</v>
      </c>
      <c r="K634" s="43" t="n">
        <v>43480</v>
      </c>
      <c r="L634" s="44" t="n">
        <v>0.454166666666667</v>
      </c>
      <c r="M634" s="41" t="s">
        <v>99</v>
      </c>
      <c r="N634" s="42" t="n">
        <v>167.54</v>
      </c>
      <c r="O634" s="42" t="n">
        <v>8.377</v>
      </c>
      <c r="P634" s="45" t="n">
        <v>7</v>
      </c>
      <c r="Q634" s="41" t="str">
        <f aca="false">CHOOSE(MONTH(K634),"Jan","Feb","Mar","Apr","May","Jun","Jul","Aug","Sep","Oct","Nov","Dec")</f>
        <v>Jan</v>
      </c>
      <c r="R634" s="41" t="n">
        <f aca="false">INT((K634-setMinDate)/7)+1</f>
        <v>3</v>
      </c>
      <c r="S634" s="41" t="n">
        <f aca="false">HOUR(L634)</f>
        <v>10</v>
      </c>
      <c r="T634" s="41" t="str">
        <f aca="false">IF(S634&lt;setMorningEnd,"Morning",IF(S634&lt;setAfternoonEnd,"Afternoon","Evening"))</f>
        <v>Morning</v>
      </c>
      <c r="U634" s="41" t="str">
        <f aca="false">IF(J634&gt;=setLarge,"Large",IF(J634&gt;=setMedium,"Medium","Small"))</f>
        <v>Small</v>
      </c>
      <c r="V634" s="41" t="str">
        <f aca="false">IF(P634&gt;=setExc,"Excellent",IF(P634&gt;=setGood,"Good",IF(P634&gt;=setAvg,"Average","Poor")))</f>
        <v>Good</v>
      </c>
    </row>
    <row r="635" customFormat="false" ht="15" hidden="false" customHeight="false" outlineLevel="0" collapsed="false">
      <c r="A635" s="41" t="s">
        <v>813</v>
      </c>
      <c r="B635" s="41" t="s">
        <v>189</v>
      </c>
      <c r="C635" s="41" t="s">
        <v>86</v>
      </c>
      <c r="D635" s="41" t="s">
        <v>105</v>
      </c>
      <c r="E635" s="41" t="s">
        <v>103</v>
      </c>
      <c r="F635" s="41" t="s">
        <v>80</v>
      </c>
      <c r="G635" s="42" t="n">
        <v>99.7</v>
      </c>
      <c r="H635" s="41" t="n">
        <v>3</v>
      </c>
      <c r="I635" s="42" t="n">
        <v>14.955</v>
      </c>
      <c r="J635" s="42" t="n">
        <v>314.055</v>
      </c>
      <c r="K635" s="43" t="n">
        <v>43542</v>
      </c>
      <c r="L635" s="44" t="n">
        <v>0.478472222222222</v>
      </c>
      <c r="M635" s="41" t="s">
        <v>98</v>
      </c>
      <c r="N635" s="42" t="n">
        <v>299.1</v>
      </c>
      <c r="O635" s="42" t="n">
        <v>14.955</v>
      </c>
      <c r="P635" s="45" t="n">
        <v>4.7</v>
      </c>
      <c r="Q635" s="41" t="str">
        <f aca="false">CHOOSE(MONTH(K635),"Jan","Feb","Mar","Apr","May","Jun","Jul","Aug","Sep","Oct","Nov","Dec")</f>
        <v>Mar</v>
      </c>
      <c r="R635" s="41" t="n">
        <f aca="false">INT((K635-setMinDate)/7)+1</f>
        <v>11</v>
      </c>
      <c r="S635" s="41" t="n">
        <f aca="false">HOUR(L635)</f>
        <v>11</v>
      </c>
      <c r="T635" s="41" t="str">
        <f aca="false">IF(S635&lt;setMorningEnd,"Morning",IF(S635&lt;setAfternoonEnd,"Afternoon","Evening"))</f>
        <v>Morning</v>
      </c>
      <c r="U635" s="41" t="str">
        <f aca="false">IF(J635&gt;=setLarge,"Large",IF(J635&gt;=setMedium,"Medium","Small"))</f>
        <v>Medium</v>
      </c>
      <c r="V635" s="41" t="str">
        <f aca="false">IF(P635&gt;=setExc,"Excellent",IF(P635&gt;=setGood,"Good",IF(P635&gt;=setAvg,"Average","Poor")))</f>
        <v>Poor</v>
      </c>
    </row>
    <row r="636" customFormat="false" ht="15" hidden="false" customHeight="false" outlineLevel="0" collapsed="false">
      <c r="A636" s="41" t="s">
        <v>814</v>
      </c>
      <c r="B636" s="41" t="s">
        <v>189</v>
      </c>
      <c r="C636" s="41" t="s">
        <v>86</v>
      </c>
      <c r="D636" s="41" t="s">
        <v>104</v>
      </c>
      <c r="E636" s="41" t="s">
        <v>103</v>
      </c>
      <c r="F636" s="41" t="s">
        <v>76</v>
      </c>
      <c r="G636" s="42" t="n">
        <v>79.91</v>
      </c>
      <c r="H636" s="41" t="n">
        <v>3</v>
      </c>
      <c r="I636" s="42" t="n">
        <v>11.9865</v>
      </c>
      <c r="J636" s="42" t="n">
        <v>251.7165</v>
      </c>
      <c r="K636" s="43" t="n">
        <v>43544</v>
      </c>
      <c r="L636" s="44" t="n">
        <v>0.811111111111111</v>
      </c>
      <c r="M636" s="41" t="s">
        <v>99</v>
      </c>
      <c r="N636" s="42" t="n">
        <v>239.73</v>
      </c>
      <c r="O636" s="42" t="n">
        <v>11.9865</v>
      </c>
      <c r="P636" s="45" t="n">
        <v>5</v>
      </c>
      <c r="Q636" s="41" t="str">
        <f aca="false">CHOOSE(MONTH(K636),"Jan","Feb","Mar","Apr","May","Jun","Jul","Aug","Sep","Oct","Nov","Dec")</f>
        <v>Mar</v>
      </c>
      <c r="R636" s="41" t="n">
        <f aca="false">INT((K636-setMinDate)/7)+1</f>
        <v>12</v>
      </c>
      <c r="S636" s="41" t="n">
        <f aca="false">HOUR(L636)</f>
        <v>19</v>
      </c>
      <c r="T636" s="41" t="str">
        <f aca="false">IF(S636&lt;setMorningEnd,"Morning",IF(S636&lt;setAfternoonEnd,"Afternoon","Evening"))</f>
        <v>Evening</v>
      </c>
      <c r="U636" s="41" t="str">
        <f aca="false">IF(J636&gt;=setLarge,"Large",IF(J636&gt;=setMedium,"Medium","Small"))</f>
        <v>Medium</v>
      </c>
      <c r="V636" s="41" t="str">
        <f aca="false">IF(P636&gt;=setExc,"Excellent",IF(P636&gt;=setGood,"Good",IF(P636&gt;=setAvg,"Average","Poor")))</f>
        <v>Average</v>
      </c>
    </row>
    <row r="637" customFormat="false" ht="15" hidden="false" customHeight="false" outlineLevel="0" collapsed="false">
      <c r="A637" s="41" t="s">
        <v>815</v>
      </c>
      <c r="B637" s="41" t="s">
        <v>189</v>
      </c>
      <c r="C637" s="41" t="s">
        <v>86</v>
      </c>
      <c r="D637" s="41" t="s">
        <v>104</v>
      </c>
      <c r="E637" s="41" t="s">
        <v>103</v>
      </c>
      <c r="F637" s="41" t="s">
        <v>81</v>
      </c>
      <c r="G637" s="42" t="n">
        <v>66.47</v>
      </c>
      <c r="H637" s="41" t="n">
        <v>10</v>
      </c>
      <c r="I637" s="42" t="n">
        <v>33.235</v>
      </c>
      <c r="J637" s="42" t="n">
        <v>697.935</v>
      </c>
      <c r="K637" s="43" t="n">
        <v>43480</v>
      </c>
      <c r="L637" s="44" t="n">
        <v>0.625694444444444</v>
      </c>
      <c r="M637" s="41" t="s">
        <v>99</v>
      </c>
      <c r="N637" s="42" t="n">
        <v>664.7</v>
      </c>
      <c r="O637" s="42" t="n">
        <v>33.235</v>
      </c>
      <c r="P637" s="45" t="n">
        <v>5</v>
      </c>
      <c r="Q637" s="41" t="str">
        <f aca="false">CHOOSE(MONTH(K637),"Jan","Feb","Mar","Apr","May","Jun","Jul","Aug","Sep","Oct","Nov","Dec")</f>
        <v>Jan</v>
      </c>
      <c r="R637" s="41" t="n">
        <f aca="false">INT((K637-setMinDate)/7)+1</f>
        <v>3</v>
      </c>
      <c r="S637" s="41" t="n">
        <f aca="false">HOUR(L637)</f>
        <v>15</v>
      </c>
      <c r="T637" s="41" t="str">
        <f aca="false">IF(S637&lt;setMorningEnd,"Morning",IF(S637&lt;setAfternoonEnd,"Afternoon","Evening"))</f>
        <v>Afternoon</v>
      </c>
      <c r="U637" s="41" t="str">
        <f aca="false">IF(J637&gt;=setLarge,"Large",IF(J637&gt;=setMedium,"Medium","Small"))</f>
        <v>Large</v>
      </c>
      <c r="V637" s="41" t="str">
        <f aca="false">IF(P637&gt;=setExc,"Excellent",IF(P637&gt;=setGood,"Good",IF(P637&gt;=setAvg,"Average","Poor")))</f>
        <v>Average</v>
      </c>
    </row>
    <row r="638" customFormat="false" ht="15" hidden="false" customHeight="false" outlineLevel="0" collapsed="false">
      <c r="A638" s="41" t="s">
        <v>816</v>
      </c>
      <c r="B638" s="41" t="s">
        <v>178</v>
      </c>
      <c r="C638" s="41" t="s">
        <v>85</v>
      </c>
      <c r="D638" s="41" t="s">
        <v>105</v>
      </c>
      <c r="E638" s="41" t="s">
        <v>103</v>
      </c>
      <c r="F638" s="41" t="s">
        <v>81</v>
      </c>
      <c r="G638" s="42" t="n">
        <v>28.95</v>
      </c>
      <c r="H638" s="41" t="n">
        <v>7</v>
      </c>
      <c r="I638" s="42" t="n">
        <v>10.1325</v>
      </c>
      <c r="J638" s="42" t="n">
        <v>212.7825</v>
      </c>
      <c r="K638" s="43" t="n">
        <v>43527</v>
      </c>
      <c r="L638" s="44" t="n">
        <v>0.854861111111111</v>
      </c>
      <c r="M638" s="41" t="s">
        <v>99</v>
      </c>
      <c r="N638" s="42" t="n">
        <v>202.65</v>
      </c>
      <c r="O638" s="42" t="n">
        <v>10.1325</v>
      </c>
      <c r="P638" s="45" t="n">
        <v>6</v>
      </c>
      <c r="Q638" s="41" t="str">
        <f aca="false">CHOOSE(MONTH(K638),"Jan","Feb","Mar","Apr","May","Jun","Jul","Aug","Sep","Oct","Nov","Dec")</f>
        <v>Mar</v>
      </c>
      <c r="R638" s="41" t="n">
        <f aca="false">INT((K638-setMinDate)/7)+1</f>
        <v>9</v>
      </c>
      <c r="S638" s="41" t="n">
        <f aca="false">HOUR(L638)</f>
        <v>20</v>
      </c>
      <c r="T638" s="41" t="str">
        <f aca="false">IF(S638&lt;setMorningEnd,"Morning",IF(S638&lt;setAfternoonEnd,"Afternoon","Evening"))</f>
        <v>Evening</v>
      </c>
      <c r="U638" s="41" t="str">
        <f aca="false">IF(J638&gt;=setLarge,"Large",IF(J638&gt;=setMedium,"Medium","Small"))</f>
        <v>Small</v>
      </c>
      <c r="V638" s="41" t="str">
        <f aca="false">IF(P638&gt;=setExc,"Excellent",IF(P638&gt;=setGood,"Good",IF(P638&gt;=setAvg,"Average","Poor")))</f>
        <v>Average</v>
      </c>
    </row>
    <row r="639" customFormat="false" ht="15" hidden="false" customHeight="false" outlineLevel="0" collapsed="false">
      <c r="A639" s="41" t="s">
        <v>817</v>
      </c>
      <c r="B639" s="41" t="s">
        <v>180</v>
      </c>
      <c r="C639" s="41" t="s">
        <v>87</v>
      </c>
      <c r="D639" s="41" t="s">
        <v>105</v>
      </c>
      <c r="E639" s="41" t="s">
        <v>102</v>
      </c>
      <c r="F639" s="41" t="s">
        <v>78</v>
      </c>
      <c r="G639" s="42" t="n">
        <v>46.2</v>
      </c>
      <c r="H639" s="41" t="n">
        <v>1</v>
      </c>
      <c r="I639" s="42" t="n">
        <v>2.31</v>
      </c>
      <c r="J639" s="42" t="n">
        <v>48.51</v>
      </c>
      <c r="K639" s="43" t="n">
        <v>43543</v>
      </c>
      <c r="L639" s="44" t="n">
        <v>0.511111111111111</v>
      </c>
      <c r="M639" s="41" t="s">
        <v>97</v>
      </c>
      <c r="N639" s="42" t="n">
        <v>46.2</v>
      </c>
      <c r="O639" s="42" t="n">
        <v>2.31</v>
      </c>
      <c r="P639" s="45" t="n">
        <v>6.3</v>
      </c>
      <c r="Q639" s="41" t="str">
        <f aca="false">CHOOSE(MONTH(K639),"Jan","Feb","Mar","Apr","May","Jun","Jul","Aug","Sep","Oct","Nov","Dec")</f>
        <v>Mar</v>
      </c>
      <c r="R639" s="41" t="n">
        <f aca="false">INT((K639-setMinDate)/7)+1</f>
        <v>12</v>
      </c>
      <c r="S639" s="41" t="n">
        <f aca="false">HOUR(L639)</f>
        <v>12</v>
      </c>
      <c r="T639" s="41" t="str">
        <f aca="false">IF(S639&lt;setMorningEnd,"Morning",IF(S639&lt;setAfternoonEnd,"Afternoon","Evening"))</f>
        <v>Afternoon</v>
      </c>
      <c r="U639" s="41" t="str">
        <f aca="false">IF(J639&gt;=setLarge,"Large",IF(J639&gt;=setMedium,"Medium","Small"))</f>
        <v>Small</v>
      </c>
      <c r="V639" s="41" t="str">
        <f aca="false">IF(P639&gt;=setExc,"Excellent",IF(P639&gt;=setGood,"Good",IF(P639&gt;=setAvg,"Average","Poor")))</f>
        <v>Average</v>
      </c>
    </row>
    <row r="640" customFormat="false" ht="15" hidden="false" customHeight="false" outlineLevel="0" collapsed="false">
      <c r="A640" s="41" t="s">
        <v>818</v>
      </c>
      <c r="B640" s="41" t="s">
        <v>189</v>
      </c>
      <c r="C640" s="41" t="s">
        <v>86</v>
      </c>
      <c r="D640" s="41" t="s">
        <v>104</v>
      </c>
      <c r="E640" s="41" t="s">
        <v>102</v>
      </c>
      <c r="F640" s="41" t="s">
        <v>76</v>
      </c>
      <c r="G640" s="42" t="n">
        <v>17.63</v>
      </c>
      <c r="H640" s="41" t="n">
        <v>5</v>
      </c>
      <c r="I640" s="42" t="n">
        <v>4.4075</v>
      </c>
      <c r="J640" s="42" t="n">
        <v>92.5575</v>
      </c>
      <c r="K640" s="43" t="n">
        <v>43532</v>
      </c>
      <c r="L640" s="44" t="n">
        <v>0.64375</v>
      </c>
      <c r="M640" s="41" t="s">
        <v>97</v>
      </c>
      <c r="N640" s="42" t="n">
        <v>88.15</v>
      </c>
      <c r="O640" s="42" t="n">
        <v>4.4075</v>
      </c>
      <c r="P640" s="45" t="n">
        <v>8.5</v>
      </c>
      <c r="Q640" s="41" t="str">
        <f aca="false">CHOOSE(MONTH(K640),"Jan","Feb","Mar","Apr","May","Jun","Jul","Aug","Sep","Oct","Nov","Dec")</f>
        <v>Mar</v>
      </c>
      <c r="R640" s="41" t="n">
        <f aca="false">INT((K640-setMinDate)/7)+1</f>
        <v>10</v>
      </c>
      <c r="S640" s="41" t="n">
        <f aca="false">HOUR(L640)</f>
        <v>15</v>
      </c>
      <c r="T640" s="41" t="str">
        <f aca="false">IF(S640&lt;setMorningEnd,"Morning",IF(S640&lt;setAfternoonEnd,"Afternoon","Evening"))</f>
        <v>Afternoon</v>
      </c>
      <c r="U640" s="41" t="str">
        <f aca="false">IF(J640&gt;=setLarge,"Large",IF(J640&gt;=setMedium,"Medium","Small"))</f>
        <v>Small</v>
      </c>
      <c r="V640" s="41" t="str">
        <f aca="false">IF(P640&gt;=setExc,"Excellent",IF(P640&gt;=setGood,"Good",IF(P640&gt;=setAvg,"Average","Poor")))</f>
        <v>Good</v>
      </c>
    </row>
    <row r="641" customFormat="false" ht="15" hidden="false" customHeight="false" outlineLevel="0" collapsed="false">
      <c r="A641" s="41" t="s">
        <v>819</v>
      </c>
      <c r="B641" s="41" t="s">
        <v>189</v>
      </c>
      <c r="C641" s="41" t="s">
        <v>86</v>
      </c>
      <c r="D641" s="41" t="s">
        <v>105</v>
      </c>
      <c r="E641" s="41" t="s">
        <v>103</v>
      </c>
      <c r="F641" s="41" t="s">
        <v>79</v>
      </c>
      <c r="G641" s="42" t="n">
        <v>52.42</v>
      </c>
      <c r="H641" s="41" t="n">
        <v>3</v>
      </c>
      <c r="I641" s="42" t="n">
        <v>7.863</v>
      </c>
      <c r="J641" s="42" t="n">
        <v>165.123</v>
      </c>
      <c r="K641" s="43" t="n">
        <v>43523</v>
      </c>
      <c r="L641" s="44" t="n">
        <v>0.733333333333333</v>
      </c>
      <c r="M641" s="41" t="s">
        <v>98</v>
      </c>
      <c r="N641" s="42" t="n">
        <v>157.26</v>
      </c>
      <c r="O641" s="42" t="n">
        <v>7.863</v>
      </c>
      <c r="P641" s="45" t="n">
        <v>7.5</v>
      </c>
      <c r="Q641" s="41" t="str">
        <f aca="false">CHOOSE(MONTH(K641),"Jan","Feb","Mar","Apr","May","Jun","Jul","Aug","Sep","Oct","Nov","Dec")</f>
        <v>Feb</v>
      </c>
      <c r="R641" s="41" t="n">
        <f aca="false">INT((K641-setMinDate)/7)+1</f>
        <v>9</v>
      </c>
      <c r="S641" s="41" t="n">
        <f aca="false">HOUR(L641)</f>
        <v>17</v>
      </c>
      <c r="T641" s="41" t="str">
        <f aca="false">IF(S641&lt;setMorningEnd,"Morning",IF(S641&lt;setAfternoonEnd,"Afternoon","Evening"))</f>
        <v>Evening</v>
      </c>
      <c r="U641" s="41" t="str">
        <f aca="false">IF(J641&gt;=setLarge,"Large",IF(J641&gt;=setMedium,"Medium","Small"))</f>
        <v>Small</v>
      </c>
      <c r="V641" s="41" t="str">
        <f aca="false">IF(P641&gt;=setExc,"Excellent",IF(P641&gt;=setGood,"Good",IF(P641&gt;=setAvg,"Average","Poor")))</f>
        <v>Good</v>
      </c>
    </row>
    <row r="642" customFormat="false" ht="15" hidden="false" customHeight="false" outlineLevel="0" collapsed="false">
      <c r="A642" s="41" t="s">
        <v>820</v>
      </c>
      <c r="B642" s="41" t="s">
        <v>189</v>
      </c>
      <c r="C642" s="41" t="s">
        <v>86</v>
      </c>
      <c r="D642" s="41" t="s">
        <v>104</v>
      </c>
      <c r="E642" s="41" t="s">
        <v>102</v>
      </c>
      <c r="F642" s="41" t="s">
        <v>76</v>
      </c>
      <c r="G642" s="42" t="n">
        <v>98.79</v>
      </c>
      <c r="H642" s="41" t="n">
        <v>3</v>
      </c>
      <c r="I642" s="42" t="n">
        <v>14.8185</v>
      </c>
      <c r="J642" s="42" t="n">
        <v>311.1885</v>
      </c>
      <c r="K642" s="43" t="n">
        <v>43519</v>
      </c>
      <c r="L642" s="44" t="n">
        <v>0.833333333333333</v>
      </c>
      <c r="M642" s="41" t="s">
        <v>98</v>
      </c>
      <c r="N642" s="42" t="n">
        <v>296.37</v>
      </c>
      <c r="O642" s="42" t="n">
        <v>14.8185</v>
      </c>
      <c r="P642" s="45" t="n">
        <v>6.4</v>
      </c>
      <c r="Q642" s="41" t="str">
        <f aca="false">CHOOSE(MONTH(K642),"Jan","Feb","Mar","Apr","May","Jun","Jul","Aug","Sep","Oct","Nov","Dec")</f>
        <v>Feb</v>
      </c>
      <c r="R642" s="41" t="n">
        <f aca="false">INT((K642-setMinDate)/7)+1</f>
        <v>8</v>
      </c>
      <c r="S642" s="41" t="n">
        <f aca="false">HOUR(L642)</f>
        <v>20</v>
      </c>
      <c r="T642" s="41" t="str">
        <f aca="false">IF(S642&lt;setMorningEnd,"Morning",IF(S642&lt;setAfternoonEnd,"Afternoon","Evening"))</f>
        <v>Evening</v>
      </c>
      <c r="U642" s="41" t="str">
        <f aca="false">IF(J642&gt;=setLarge,"Large",IF(J642&gt;=setMedium,"Medium","Small"))</f>
        <v>Medium</v>
      </c>
      <c r="V642" s="41" t="str">
        <f aca="false">IF(P642&gt;=setExc,"Excellent",IF(P642&gt;=setGood,"Good",IF(P642&gt;=setAvg,"Average","Poor")))</f>
        <v>Average</v>
      </c>
    </row>
    <row r="643" customFormat="false" ht="15" hidden="false" customHeight="false" outlineLevel="0" collapsed="false">
      <c r="A643" s="41" t="s">
        <v>821</v>
      </c>
      <c r="B643" s="41" t="s">
        <v>180</v>
      </c>
      <c r="C643" s="41" t="s">
        <v>87</v>
      </c>
      <c r="D643" s="41" t="s">
        <v>104</v>
      </c>
      <c r="E643" s="41" t="s">
        <v>102</v>
      </c>
      <c r="F643" s="41" t="s">
        <v>78</v>
      </c>
      <c r="G643" s="42" t="n">
        <v>88.55</v>
      </c>
      <c r="H643" s="41" t="n">
        <v>8</v>
      </c>
      <c r="I643" s="42" t="n">
        <v>35.42</v>
      </c>
      <c r="J643" s="42" t="n">
        <v>743.82</v>
      </c>
      <c r="K643" s="43" t="n">
        <v>43543</v>
      </c>
      <c r="L643" s="44" t="n">
        <v>0.645138888888889</v>
      </c>
      <c r="M643" s="41" t="s">
        <v>98</v>
      </c>
      <c r="N643" s="42" t="n">
        <v>708.4</v>
      </c>
      <c r="O643" s="42" t="n">
        <v>35.42</v>
      </c>
      <c r="P643" s="45" t="n">
        <v>4.7</v>
      </c>
      <c r="Q643" s="41" t="str">
        <f aca="false">CHOOSE(MONTH(K643),"Jan","Feb","Mar","Apr","May","Jun","Jul","Aug","Sep","Oct","Nov","Dec")</f>
        <v>Mar</v>
      </c>
      <c r="R643" s="41" t="n">
        <f aca="false">INT((K643-setMinDate)/7)+1</f>
        <v>12</v>
      </c>
      <c r="S643" s="41" t="n">
        <f aca="false">HOUR(L643)</f>
        <v>15</v>
      </c>
      <c r="T643" s="41" t="str">
        <f aca="false">IF(S643&lt;setMorningEnd,"Morning",IF(S643&lt;setAfternoonEnd,"Afternoon","Evening"))</f>
        <v>Afternoon</v>
      </c>
      <c r="U643" s="41" t="str">
        <f aca="false">IF(J643&gt;=setLarge,"Large",IF(J643&gt;=setMedium,"Medium","Small"))</f>
        <v>Large</v>
      </c>
      <c r="V643" s="41" t="str">
        <f aca="false">IF(P643&gt;=setExc,"Excellent",IF(P643&gt;=setGood,"Good",IF(P643&gt;=setAvg,"Average","Poor")))</f>
        <v>Poor</v>
      </c>
    </row>
    <row r="644" customFormat="false" ht="15" hidden="false" customHeight="false" outlineLevel="0" collapsed="false">
      <c r="A644" s="41" t="s">
        <v>822</v>
      </c>
      <c r="B644" s="41" t="s">
        <v>189</v>
      </c>
      <c r="C644" s="41" t="s">
        <v>86</v>
      </c>
      <c r="D644" s="41" t="s">
        <v>104</v>
      </c>
      <c r="E644" s="41" t="s">
        <v>103</v>
      </c>
      <c r="F644" s="41" t="s">
        <v>78</v>
      </c>
      <c r="G644" s="42" t="n">
        <v>55.67</v>
      </c>
      <c r="H644" s="41" t="n">
        <v>2</v>
      </c>
      <c r="I644" s="42" t="n">
        <v>5.567</v>
      </c>
      <c r="J644" s="42" t="n">
        <v>116.907</v>
      </c>
      <c r="K644" s="43" t="n">
        <v>43551</v>
      </c>
      <c r="L644" s="44" t="n">
        <v>0.630555555555556</v>
      </c>
      <c r="M644" s="41" t="s">
        <v>98</v>
      </c>
      <c r="N644" s="42" t="n">
        <v>111.34</v>
      </c>
      <c r="O644" s="42" t="n">
        <v>5.567</v>
      </c>
      <c r="P644" s="45" t="n">
        <v>6</v>
      </c>
      <c r="Q644" s="41" t="str">
        <f aca="false">CHOOSE(MONTH(K644),"Jan","Feb","Mar","Apr","May","Jun","Jul","Aug","Sep","Oct","Nov","Dec")</f>
        <v>Mar</v>
      </c>
      <c r="R644" s="41" t="n">
        <f aca="false">INT((K644-setMinDate)/7)+1</f>
        <v>13</v>
      </c>
      <c r="S644" s="41" t="n">
        <f aca="false">HOUR(L644)</f>
        <v>15</v>
      </c>
      <c r="T644" s="41" t="str">
        <f aca="false">IF(S644&lt;setMorningEnd,"Morning",IF(S644&lt;setAfternoonEnd,"Afternoon","Evening"))</f>
        <v>Afternoon</v>
      </c>
      <c r="U644" s="41" t="str">
        <f aca="false">IF(J644&gt;=setLarge,"Large",IF(J644&gt;=setMedium,"Medium","Small"))</f>
        <v>Small</v>
      </c>
      <c r="V644" s="41" t="str">
        <f aca="false">IF(P644&gt;=setExc,"Excellent",IF(P644&gt;=setGood,"Good",IF(P644&gt;=setAvg,"Average","Poor")))</f>
        <v>Average</v>
      </c>
    </row>
    <row r="645" customFormat="false" ht="15" hidden="false" customHeight="false" outlineLevel="0" collapsed="false">
      <c r="A645" s="41" t="s">
        <v>823</v>
      </c>
      <c r="B645" s="41" t="s">
        <v>180</v>
      </c>
      <c r="C645" s="41" t="s">
        <v>87</v>
      </c>
      <c r="D645" s="41" t="s">
        <v>104</v>
      </c>
      <c r="E645" s="41" t="s">
        <v>102</v>
      </c>
      <c r="F645" s="41" t="s">
        <v>76</v>
      </c>
      <c r="G645" s="42" t="n">
        <v>72.52</v>
      </c>
      <c r="H645" s="41" t="n">
        <v>8</v>
      </c>
      <c r="I645" s="42" t="n">
        <v>29.008</v>
      </c>
      <c r="J645" s="42" t="n">
        <v>609.168</v>
      </c>
      <c r="K645" s="43" t="n">
        <v>43554</v>
      </c>
      <c r="L645" s="44" t="n">
        <v>0.809722222222222</v>
      </c>
      <c r="M645" s="41" t="s">
        <v>99</v>
      </c>
      <c r="N645" s="42" t="n">
        <v>580.16</v>
      </c>
      <c r="O645" s="42" t="n">
        <v>29.008</v>
      </c>
      <c r="P645" s="45" t="n">
        <v>4</v>
      </c>
      <c r="Q645" s="41" t="str">
        <f aca="false">CHOOSE(MONTH(K645),"Jan","Feb","Mar","Apr","May","Jun","Jul","Aug","Sep","Oct","Nov","Dec")</f>
        <v>Mar</v>
      </c>
      <c r="R645" s="41" t="n">
        <f aca="false">INT((K645-setMinDate)/7)+1</f>
        <v>13</v>
      </c>
      <c r="S645" s="41" t="n">
        <f aca="false">HOUR(L645)</f>
        <v>19</v>
      </c>
      <c r="T645" s="41" t="str">
        <f aca="false">IF(S645&lt;setMorningEnd,"Morning",IF(S645&lt;setAfternoonEnd,"Afternoon","Evening"))</f>
        <v>Evening</v>
      </c>
      <c r="U645" s="41" t="str">
        <f aca="false">IF(J645&gt;=setLarge,"Large",IF(J645&gt;=setMedium,"Medium","Small"))</f>
        <v>Large</v>
      </c>
      <c r="V645" s="41" t="str">
        <f aca="false">IF(P645&gt;=setExc,"Excellent",IF(P645&gt;=setGood,"Good",IF(P645&gt;=setAvg,"Average","Poor")))</f>
        <v>Poor</v>
      </c>
    </row>
    <row r="646" customFormat="false" ht="15" hidden="false" customHeight="false" outlineLevel="0" collapsed="false">
      <c r="A646" s="41" t="s">
        <v>824</v>
      </c>
      <c r="B646" s="41" t="s">
        <v>180</v>
      </c>
      <c r="C646" s="41" t="s">
        <v>87</v>
      </c>
      <c r="D646" s="41" t="s">
        <v>104</v>
      </c>
      <c r="E646" s="41" t="s">
        <v>103</v>
      </c>
      <c r="F646" s="41" t="s">
        <v>78</v>
      </c>
      <c r="G646" s="42" t="n">
        <v>12.05</v>
      </c>
      <c r="H646" s="41" t="n">
        <v>5</v>
      </c>
      <c r="I646" s="42" t="n">
        <v>3.0125</v>
      </c>
      <c r="J646" s="42" t="n">
        <v>63.2625</v>
      </c>
      <c r="K646" s="43" t="n">
        <v>43512</v>
      </c>
      <c r="L646" s="44" t="n">
        <v>0.661805555555556</v>
      </c>
      <c r="M646" s="41" t="s">
        <v>98</v>
      </c>
      <c r="N646" s="42" t="n">
        <v>60.25</v>
      </c>
      <c r="O646" s="42" t="n">
        <v>3.0125</v>
      </c>
      <c r="P646" s="45" t="n">
        <v>5.5</v>
      </c>
      <c r="Q646" s="41" t="str">
        <f aca="false">CHOOSE(MONTH(K646),"Jan","Feb","Mar","Apr","May","Jun","Jul","Aug","Sep","Oct","Nov","Dec")</f>
        <v>Feb</v>
      </c>
      <c r="R646" s="41" t="n">
        <f aca="false">INT((K646-setMinDate)/7)+1</f>
        <v>7</v>
      </c>
      <c r="S646" s="41" t="n">
        <f aca="false">HOUR(L646)</f>
        <v>15</v>
      </c>
      <c r="T646" s="41" t="str">
        <f aca="false">IF(S646&lt;setMorningEnd,"Morning",IF(S646&lt;setAfternoonEnd,"Afternoon","Evening"))</f>
        <v>Afternoon</v>
      </c>
      <c r="U646" s="41" t="str">
        <f aca="false">IF(J646&gt;=setLarge,"Large",IF(J646&gt;=setMedium,"Medium","Small"))</f>
        <v>Small</v>
      </c>
      <c r="V646" s="41" t="str">
        <f aca="false">IF(P646&gt;=setExc,"Excellent",IF(P646&gt;=setGood,"Good",IF(P646&gt;=setAvg,"Average","Poor")))</f>
        <v>Average</v>
      </c>
    </row>
    <row r="647" customFormat="false" ht="15" hidden="false" customHeight="false" outlineLevel="0" collapsed="false">
      <c r="A647" s="41" t="s">
        <v>825</v>
      </c>
      <c r="B647" s="41" t="s">
        <v>178</v>
      </c>
      <c r="C647" s="41" t="s">
        <v>85</v>
      </c>
      <c r="D647" s="41" t="s">
        <v>104</v>
      </c>
      <c r="E647" s="41" t="s">
        <v>103</v>
      </c>
      <c r="F647" s="41" t="s">
        <v>80</v>
      </c>
      <c r="G647" s="42" t="n">
        <v>19.36</v>
      </c>
      <c r="H647" s="41" t="n">
        <v>9</v>
      </c>
      <c r="I647" s="42" t="n">
        <v>8.712</v>
      </c>
      <c r="J647" s="42" t="n">
        <v>182.952</v>
      </c>
      <c r="K647" s="43" t="n">
        <v>43483</v>
      </c>
      <c r="L647" s="44" t="n">
        <v>0.779861111111111</v>
      </c>
      <c r="M647" s="41" t="s">
        <v>98</v>
      </c>
      <c r="N647" s="42" t="n">
        <v>174.24</v>
      </c>
      <c r="O647" s="42" t="n">
        <v>8.712</v>
      </c>
      <c r="P647" s="45" t="n">
        <v>8.7</v>
      </c>
      <c r="Q647" s="41" t="str">
        <f aca="false">CHOOSE(MONTH(K647),"Jan","Feb","Mar","Apr","May","Jun","Jul","Aug","Sep","Oct","Nov","Dec")</f>
        <v>Jan</v>
      </c>
      <c r="R647" s="41" t="n">
        <f aca="false">INT((K647-setMinDate)/7)+1</f>
        <v>3</v>
      </c>
      <c r="S647" s="41" t="n">
        <f aca="false">HOUR(L647)</f>
        <v>18</v>
      </c>
      <c r="T647" s="41" t="str">
        <f aca="false">IF(S647&lt;setMorningEnd,"Morning",IF(S647&lt;setAfternoonEnd,"Afternoon","Evening"))</f>
        <v>Evening</v>
      </c>
      <c r="U647" s="41" t="str">
        <f aca="false">IF(J647&gt;=setLarge,"Large",IF(J647&gt;=setMedium,"Medium","Small"))</f>
        <v>Small</v>
      </c>
      <c r="V647" s="41" t="str">
        <f aca="false">IF(P647&gt;=setExc,"Excellent",IF(P647&gt;=setGood,"Good",IF(P647&gt;=setAvg,"Average","Poor")))</f>
        <v>Good</v>
      </c>
    </row>
    <row r="648" customFormat="false" ht="15" hidden="false" customHeight="false" outlineLevel="0" collapsed="false">
      <c r="A648" s="41" t="s">
        <v>826</v>
      </c>
      <c r="B648" s="41" t="s">
        <v>180</v>
      </c>
      <c r="C648" s="41" t="s">
        <v>87</v>
      </c>
      <c r="D648" s="41" t="s">
        <v>105</v>
      </c>
      <c r="E648" s="41" t="s">
        <v>103</v>
      </c>
      <c r="F648" s="41" t="s">
        <v>81</v>
      </c>
      <c r="G648" s="42" t="n">
        <v>70.21</v>
      </c>
      <c r="H648" s="41" t="n">
        <v>6</v>
      </c>
      <c r="I648" s="42" t="n">
        <v>21.063</v>
      </c>
      <c r="J648" s="42" t="n">
        <v>442.323</v>
      </c>
      <c r="K648" s="43" t="n">
        <v>43554</v>
      </c>
      <c r="L648" s="44" t="n">
        <v>0.623611111111111</v>
      </c>
      <c r="M648" s="41" t="s">
        <v>97</v>
      </c>
      <c r="N648" s="42" t="n">
        <v>421.26</v>
      </c>
      <c r="O648" s="42" t="n">
        <v>21.063</v>
      </c>
      <c r="P648" s="45" t="n">
        <v>7.4</v>
      </c>
      <c r="Q648" s="41" t="str">
        <f aca="false">CHOOSE(MONTH(K648),"Jan","Feb","Mar","Apr","May","Jun","Jul","Aug","Sep","Oct","Nov","Dec")</f>
        <v>Mar</v>
      </c>
      <c r="R648" s="41" t="n">
        <f aca="false">INT((K648-setMinDate)/7)+1</f>
        <v>13</v>
      </c>
      <c r="S648" s="41" t="n">
        <f aca="false">HOUR(L648)</f>
        <v>14</v>
      </c>
      <c r="T648" s="41" t="str">
        <f aca="false">IF(S648&lt;setMorningEnd,"Morning",IF(S648&lt;setAfternoonEnd,"Afternoon","Evening"))</f>
        <v>Afternoon</v>
      </c>
      <c r="U648" s="41" t="str">
        <f aca="false">IF(J648&gt;=setLarge,"Large",IF(J648&gt;=setMedium,"Medium","Small"))</f>
        <v>Medium</v>
      </c>
      <c r="V648" s="41" t="str">
        <f aca="false">IF(P648&gt;=setExc,"Excellent",IF(P648&gt;=setGood,"Good",IF(P648&gt;=setAvg,"Average","Poor")))</f>
        <v>Good</v>
      </c>
    </row>
    <row r="649" customFormat="false" ht="15" hidden="false" customHeight="false" outlineLevel="0" collapsed="false">
      <c r="A649" s="41" t="s">
        <v>827</v>
      </c>
      <c r="B649" s="41" t="s">
        <v>189</v>
      </c>
      <c r="C649" s="41" t="s">
        <v>86</v>
      </c>
      <c r="D649" s="41" t="s">
        <v>104</v>
      </c>
      <c r="E649" s="41" t="s">
        <v>103</v>
      </c>
      <c r="F649" s="41" t="s">
        <v>79</v>
      </c>
      <c r="G649" s="42" t="n">
        <v>33.63</v>
      </c>
      <c r="H649" s="41" t="n">
        <v>1</v>
      </c>
      <c r="I649" s="42" t="n">
        <v>1.6815</v>
      </c>
      <c r="J649" s="42" t="n">
        <v>35.3115</v>
      </c>
      <c r="K649" s="43" t="n">
        <v>43544</v>
      </c>
      <c r="L649" s="44" t="n">
        <v>0.829861111111111</v>
      </c>
      <c r="M649" s="41" t="s">
        <v>97</v>
      </c>
      <c r="N649" s="42" t="n">
        <v>33.63</v>
      </c>
      <c r="O649" s="42" t="n">
        <v>1.6815</v>
      </c>
      <c r="P649" s="45" t="n">
        <v>5.6</v>
      </c>
      <c r="Q649" s="41" t="str">
        <f aca="false">CHOOSE(MONTH(K649),"Jan","Feb","Mar","Apr","May","Jun","Jul","Aug","Sep","Oct","Nov","Dec")</f>
        <v>Mar</v>
      </c>
      <c r="R649" s="41" t="n">
        <f aca="false">INT((K649-setMinDate)/7)+1</f>
        <v>12</v>
      </c>
      <c r="S649" s="41" t="n">
        <f aca="false">HOUR(L649)</f>
        <v>19</v>
      </c>
      <c r="T649" s="41" t="str">
        <f aca="false">IF(S649&lt;setMorningEnd,"Morning",IF(S649&lt;setAfternoonEnd,"Afternoon","Evening"))</f>
        <v>Evening</v>
      </c>
      <c r="U649" s="41" t="str">
        <f aca="false">IF(J649&gt;=setLarge,"Large",IF(J649&gt;=setMedium,"Medium","Small"))</f>
        <v>Small</v>
      </c>
      <c r="V649" s="41" t="str">
        <f aca="false">IF(P649&gt;=setExc,"Excellent",IF(P649&gt;=setGood,"Good",IF(P649&gt;=setAvg,"Average","Poor")))</f>
        <v>Average</v>
      </c>
    </row>
    <row r="650" customFormat="false" ht="15" hidden="false" customHeight="false" outlineLevel="0" collapsed="false">
      <c r="A650" s="41" t="s">
        <v>828</v>
      </c>
      <c r="B650" s="41" t="s">
        <v>180</v>
      </c>
      <c r="C650" s="41" t="s">
        <v>87</v>
      </c>
      <c r="D650" s="41" t="s">
        <v>104</v>
      </c>
      <c r="E650" s="41" t="s">
        <v>102</v>
      </c>
      <c r="F650" s="41" t="s">
        <v>77</v>
      </c>
      <c r="G650" s="42" t="n">
        <v>15.49</v>
      </c>
      <c r="H650" s="41" t="n">
        <v>2</v>
      </c>
      <c r="I650" s="42" t="n">
        <v>1.549</v>
      </c>
      <c r="J650" s="42" t="n">
        <v>32.529</v>
      </c>
      <c r="K650" s="43" t="n">
        <v>43481</v>
      </c>
      <c r="L650" s="44" t="n">
        <v>0.631944444444444</v>
      </c>
      <c r="M650" s="41" t="s">
        <v>97</v>
      </c>
      <c r="N650" s="42" t="n">
        <v>30.98</v>
      </c>
      <c r="O650" s="42" t="n">
        <v>1.549</v>
      </c>
      <c r="P650" s="45" t="n">
        <v>6.3</v>
      </c>
      <c r="Q650" s="41" t="str">
        <f aca="false">CHOOSE(MONTH(K650),"Jan","Feb","Mar","Apr","May","Jun","Jul","Aug","Sep","Oct","Nov","Dec")</f>
        <v>Jan</v>
      </c>
      <c r="R650" s="41" t="n">
        <f aca="false">INT((K650-setMinDate)/7)+1</f>
        <v>3</v>
      </c>
      <c r="S650" s="41" t="n">
        <f aca="false">HOUR(L650)</f>
        <v>15</v>
      </c>
      <c r="T650" s="41" t="str">
        <f aca="false">IF(S650&lt;setMorningEnd,"Morning",IF(S650&lt;setAfternoonEnd,"Afternoon","Evening"))</f>
        <v>Afternoon</v>
      </c>
      <c r="U650" s="41" t="str">
        <f aca="false">IF(J650&gt;=setLarge,"Large",IF(J650&gt;=setMedium,"Medium","Small"))</f>
        <v>Small</v>
      </c>
      <c r="V650" s="41" t="str">
        <f aca="false">IF(P650&gt;=setExc,"Excellent",IF(P650&gt;=setGood,"Good",IF(P650&gt;=setAvg,"Average","Poor")))</f>
        <v>Average</v>
      </c>
    </row>
    <row r="651" customFormat="false" ht="15" hidden="false" customHeight="false" outlineLevel="0" collapsed="false">
      <c r="A651" s="41" t="s">
        <v>829</v>
      </c>
      <c r="B651" s="41" t="s">
        <v>180</v>
      </c>
      <c r="C651" s="41" t="s">
        <v>87</v>
      </c>
      <c r="D651" s="41" t="s">
        <v>105</v>
      </c>
      <c r="E651" s="41" t="s">
        <v>103</v>
      </c>
      <c r="F651" s="41" t="s">
        <v>78</v>
      </c>
      <c r="G651" s="42" t="n">
        <v>24.74</v>
      </c>
      <c r="H651" s="41" t="n">
        <v>10</v>
      </c>
      <c r="I651" s="42" t="n">
        <v>12.37</v>
      </c>
      <c r="J651" s="42" t="n">
        <v>259.77</v>
      </c>
      <c r="K651" s="43" t="n">
        <v>43520</v>
      </c>
      <c r="L651" s="44" t="n">
        <v>0.697222222222222</v>
      </c>
      <c r="M651" s="41" t="s">
        <v>97</v>
      </c>
      <c r="N651" s="42" t="n">
        <v>247.4</v>
      </c>
      <c r="O651" s="42" t="n">
        <v>12.37</v>
      </c>
      <c r="P651" s="45" t="n">
        <v>7.1</v>
      </c>
      <c r="Q651" s="41" t="str">
        <f aca="false">CHOOSE(MONTH(K651),"Jan","Feb","Mar","Apr","May","Jun","Jul","Aug","Sep","Oct","Nov","Dec")</f>
        <v>Feb</v>
      </c>
      <c r="R651" s="41" t="n">
        <f aca="false">INT((K651-setMinDate)/7)+1</f>
        <v>8</v>
      </c>
      <c r="S651" s="41" t="n">
        <f aca="false">HOUR(L651)</f>
        <v>16</v>
      </c>
      <c r="T651" s="41" t="str">
        <f aca="false">IF(S651&lt;setMorningEnd,"Morning",IF(S651&lt;setAfternoonEnd,"Afternoon","Evening"))</f>
        <v>Afternoon</v>
      </c>
      <c r="U651" s="41" t="str">
        <f aca="false">IF(J651&gt;=setLarge,"Large",IF(J651&gt;=setMedium,"Medium","Small"))</f>
        <v>Medium</v>
      </c>
      <c r="V651" s="41" t="str">
        <f aca="false">IF(P651&gt;=setExc,"Excellent",IF(P651&gt;=setGood,"Good",IF(P651&gt;=setAvg,"Average","Poor")))</f>
        <v>Good</v>
      </c>
    </row>
    <row r="652" customFormat="false" ht="15" hidden="false" customHeight="false" outlineLevel="0" collapsed="false">
      <c r="A652" s="41" t="s">
        <v>830</v>
      </c>
      <c r="B652" s="41" t="s">
        <v>189</v>
      </c>
      <c r="C652" s="41" t="s">
        <v>86</v>
      </c>
      <c r="D652" s="41" t="s">
        <v>105</v>
      </c>
      <c r="E652" s="41" t="s">
        <v>103</v>
      </c>
      <c r="F652" s="41" t="s">
        <v>78</v>
      </c>
      <c r="G652" s="42" t="n">
        <v>75.66</v>
      </c>
      <c r="H652" s="41" t="n">
        <v>5</v>
      </c>
      <c r="I652" s="42" t="n">
        <v>18.915</v>
      </c>
      <c r="J652" s="42" t="n">
        <v>397.215</v>
      </c>
      <c r="K652" s="43" t="n">
        <v>43480</v>
      </c>
      <c r="L652" s="44" t="n">
        <v>0.765277777777778</v>
      </c>
      <c r="M652" s="41" t="s">
        <v>98</v>
      </c>
      <c r="N652" s="42" t="n">
        <v>378.3</v>
      </c>
      <c r="O652" s="42" t="n">
        <v>18.915</v>
      </c>
      <c r="P652" s="45" t="n">
        <v>7.8</v>
      </c>
      <c r="Q652" s="41" t="str">
        <f aca="false">CHOOSE(MONTH(K652),"Jan","Feb","Mar","Apr","May","Jun","Jul","Aug","Sep","Oct","Nov","Dec")</f>
        <v>Jan</v>
      </c>
      <c r="R652" s="41" t="n">
        <f aca="false">INT((K652-setMinDate)/7)+1</f>
        <v>3</v>
      </c>
      <c r="S652" s="41" t="n">
        <f aca="false">HOUR(L652)</f>
        <v>18</v>
      </c>
      <c r="T652" s="41" t="str">
        <f aca="false">IF(S652&lt;setMorningEnd,"Morning",IF(S652&lt;setAfternoonEnd,"Afternoon","Evening"))</f>
        <v>Evening</v>
      </c>
      <c r="U652" s="41" t="str">
        <f aca="false">IF(J652&gt;=setLarge,"Large",IF(J652&gt;=setMedium,"Medium","Small"))</f>
        <v>Medium</v>
      </c>
      <c r="V652" s="41" t="str">
        <f aca="false">IF(P652&gt;=setExc,"Excellent",IF(P652&gt;=setGood,"Good",IF(P652&gt;=setAvg,"Average","Poor")))</f>
        <v>Good</v>
      </c>
    </row>
    <row r="653" customFormat="false" ht="15" hidden="false" customHeight="false" outlineLevel="0" collapsed="false">
      <c r="A653" s="41" t="s">
        <v>831</v>
      </c>
      <c r="B653" s="41" t="s">
        <v>189</v>
      </c>
      <c r="C653" s="41" t="s">
        <v>86</v>
      </c>
      <c r="D653" s="41" t="s">
        <v>105</v>
      </c>
      <c r="E653" s="41" t="s">
        <v>102</v>
      </c>
      <c r="F653" s="41" t="s">
        <v>81</v>
      </c>
      <c r="G653" s="42" t="n">
        <v>55.81</v>
      </c>
      <c r="H653" s="41" t="n">
        <v>6</v>
      </c>
      <c r="I653" s="42" t="n">
        <v>16.743</v>
      </c>
      <c r="J653" s="42" t="n">
        <v>351.603</v>
      </c>
      <c r="K653" s="43" t="n">
        <v>43487</v>
      </c>
      <c r="L653" s="44" t="n">
        <v>0.494444444444445</v>
      </c>
      <c r="M653" s="41" t="s">
        <v>97</v>
      </c>
      <c r="N653" s="42" t="n">
        <v>334.86</v>
      </c>
      <c r="O653" s="42" t="n">
        <v>16.743</v>
      </c>
      <c r="P653" s="45" t="n">
        <v>9.9</v>
      </c>
      <c r="Q653" s="41" t="str">
        <f aca="false">CHOOSE(MONTH(K653),"Jan","Feb","Mar","Apr","May","Jun","Jul","Aug","Sep","Oct","Nov","Dec")</f>
        <v>Jan</v>
      </c>
      <c r="R653" s="41" t="n">
        <f aca="false">INT((K653-setMinDate)/7)+1</f>
        <v>4</v>
      </c>
      <c r="S653" s="41" t="n">
        <f aca="false">HOUR(L653)</f>
        <v>11</v>
      </c>
      <c r="T653" s="41" t="str">
        <f aca="false">IF(S653&lt;setMorningEnd,"Morning",IF(S653&lt;setAfternoonEnd,"Afternoon","Evening"))</f>
        <v>Morning</v>
      </c>
      <c r="U653" s="41" t="str">
        <f aca="false">IF(J653&gt;=setLarge,"Large",IF(J653&gt;=setMedium,"Medium","Small"))</f>
        <v>Medium</v>
      </c>
      <c r="V653" s="41" t="str">
        <f aca="false">IF(P653&gt;=setExc,"Excellent",IF(P653&gt;=setGood,"Good",IF(P653&gt;=setAvg,"Average","Poor")))</f>
        <v>Excellent</v>
      </c>
    </row>
    <row r="654" customFormat="false" ht="15" hidden="false" customHeight="false" outlineLevel="0" collapsed="false">
      <c r="A654" s="41" t="s">
        <v>832</v>
      </c>
      <c r="B654" s="41" t="s">
        <v>178</v>
      </c>
      <c r="C654" s="41" t="s">
        <v>85</v>
      </c>
      <c r="D654" s="41" t="s">
        <v>104</v>
      </c>
      <c r="E654" s="41" t="s">
        <v>103</v>
      </c>
      <c r="F654" s="41" t="s">
        <v>80</v>
      </c>
      <c r="G654" s="42" t="n">
        <v>72.78</v>
      </c>
      <c r="H654" s="41" t="n">
        <v>10</v>
      </c>
      <c r="I654" s="42" t="n">
        <v>36.39</v>
      </c>
      <c r="J654" s="42" t="n">
        <v>764.19</v>
      </c>
      <c r="K654" s="43" t="n">
        <v>43499</v>
      </c>
      <c r="L654" s="44" t="n">
        <v>0.725</v>
      </c>
      <c r="M654" s="41" t="s">
        <v>97</v>
      </c>
      <c r="N654" s="42" t="n">
        <v>727.8</v>
      </c>
      <c r="O654" s="42" t="n">
        <v>36.39</v>
      </c>
      <c r="P654" s="45" t="n">
        <v>7.3</v>
      </c>
      <c r="Q654" s="41" t="str">
        <f aca="false">CHOOSE(MONTH(K654),"Jan","Feb","Mar","Apr","May","Jun","Jul","Aug","Sep","Oct","Nov","Dec")</f>
        <v>Feb</v>
      </c>
      <c r="R654" s="41" t="n">
        <f aca="false">INT((K654-setMinDate)/7)+1</f>
        <v>5</v>
      </c>
      <c r="S654" s="41" t="n">
        <f aca="false">HOUR(L654)</f>
        <v>17</v>
      </c>
      <c r="T654" s="41" t="str">
        <f aca="false">IF(S654&lt;setMorningEnd,"Morning",IF(S654&lt;setAfternoonEnd,"Afternoon","Evening"))</f>
        <v>Evening</v>
      </c>
      <c r="U654" s="41" t="str">
        <f aca="false">IF(J654&gt;=setLarge,"Large",IF(J654&gt;=setMedium,"Medium","Small"))</f>
        <v>Large</v>
      </c>
      <c r="V654" s="41" t="str">
        <f aca="false">IF(P654&gt;=setExc,"Excellent",IF(P654&gt;=setGood,"Good",IF(P654&gt;=setAvg,"Average","Poor")))</f>
        <v>Good</v>
      </c>
    </row>
    <row r="655" customFormat="false" ht="15" hidden="false" customHeight="false" outlineLevel="0" collapsed="false">
      <c r="A655" s="41" t="s">
        <v>833</v>
      </c>
      <c r="B655" s="41" t="s">
        <v>189</v>
      </c>
      <c r="C655" s="41" t="s">
        <v>86</v>
      </c>
      <c r="D655" s="41" t="s">
        <v>104</v>
      </c>
      <c r="E655" s="41" t="s">
        <v>103</v>
      </c>
      <c r="F655" s="41" t="s">
        <v>77</v>
      </c>
      <c r="G655" s="42" t="n">
        <v>37.32</v>
      </c>
      <c r="H655" s="41" t="n">
        <v>9</v>
      </c>
      <c r="I655" s="42" t="n">
        <v>16.794</v>
      </c>
      <c r="J655" s="42" t="n">
        <v>352.674</v>
      </c>
      <c r="K655" s="43" t="n">
        <v>43530</v>
      </c>
      <c r="L655" s="44" t="n">
        <v>0.646527777777778</v>
      </c>
      <c r="M655" s="41" t="s">
        <v>98</v>
      </c>
      <c r="N655" s="42" t="n">
        <v>335.88</v>
      </c>
      <c r="O655" s="42" t="n">
        <v>16.794</v>
      </c>
      <c r="P655" s="45" t="n">
        <v>5.1</v>
      </c>
      <c r="Q655" s="41" t="str">
        <f aca="false">CHOOSE(MONTH(K655),"Jan","Feb","Mar","Apr","May","Jun","Jul","Aug","Sep","Oct","Nov","Dec")</f>
        <v>Mar</v>
      </c>
      <c r="R655" s="41" t="n">
        <f aca="false">INT((K655-setMinDate)/7)+1</f>
        <v>10</v>
      </c>
      <c r="S655" s="41" t="n">
        <f aca="false">HOUR(L655)</f>
        <v>15</v>
      </c>
      <c r="T655" s="41" t="str">
        <f aca="false">IF(S655&lt;setMorningEnd,"Morning",IF(S655&lt;setAfternoonEnd,"Afternoon","Evening"))</f>
        <v>Afternoon</v>
      </c>
      <c r="U655" s="41" t="str">
        <f aca="false">IF(J655&gt;=setLarge,"Large",IF(J655&gt;=setMedium,"Medium","Small"))</f>
        <v>Medium</v>
      </c>
      <c r="V655" s="41" t="str">
        <f aca="false">IF(P655&gt;=setExc,"Excellent",IF(P655&gt;=setGood,"Good",IF(P655&gt;=setAvg,"Average","Poor")))</f>
        <v>Average</v>
      </c>
    </row>
    <row r="656" customFormat="false" ht="15" hidden="false" customHeight="false" outlineLevel="0" collapsed="false">
      <c r="A656" s="41" t="s">
        <v>834</v>
      </c>
      <c r="B656" s="41" t="s">
        <v>189</v>
      </c>
      <c r="C656" s="41" t="s">
        <v>86</v>
      </c>
      <c r="D656" s="41" t="s">
        <v>104</v>
      </c>
      <c r="E656" s="41" t="s">
        <v>103</v>
      </c>
      <c r="F656" s="41" t="s">
        <v>79</v>
      </c>
      <c r="G656" s="42" t="n">
        <v>60.18</v>
      </c>
      <c r="H656" s="41" t="n">
        <v>4</v>
      </c>
      <c r="I656" s="42" t="n">
        <v>12.036</v>
      </c>
      <c r="J656" s="42" t="n">
        <v>252.756</v>
      </c>
      <c r="K656" s="43" t="n">
        <v>43512</v>
      </c>
      <c r="L656" s="44" t="n">
        <v>0.752777777777778</v>
      </c>
      <c r="M656" s="41" t="s">
        <v>99</v>
      </c>
      <c r="N656" s="42" t="n">
        <v>240.72</v>
      </c>
      <c r="O656" s="42" t="n">
        <v>12.036</v>
      </c>
      <c r="P656" s="45" t="n">
        <v>9.4</v>
      </c>
      <c r="Q656" s="41" t="str">
        <f aca="false">CHOOSE(MONTH(K656),"Jan","Feb","Mar","Apr","May","Jun","Jul","Aug","Sep","Oct","Nov","Dec")</f>
        <v>Feb</v>
      </c>
      <c r="R656" s="41" t="n">
        <f aca="false">INT((K656-setMinDate)/7)+1</f>
        <v>7</v>
      </c>
      <c r="S656" s="41" t="n">
        <f aca="false">HOUR(L656)</f>
        <v>18</v>
      </c>
      <c r="T656" s="41" t="str">
        <f aca="false">IF(S656&lt;setMorningEnd,"Morning",IF(S656&lt;setAfternoonEnd,"Afternoon","Evening"))</f>
        <v>Evening</v>
      </c>
      <c r="U656" s="41" t="str">
        <f aca="false">IF(J656&gt;=setLarge,"Large",IF(J656&gt;=setMedium,"Medium","Small"))</f>
        <v>Medium</v>
      </c>
      <c r="V656" s="41" t="str">
        <f aca="false">IF(P656&gt;=setExc,"Excellent",IF(P656&gt;=setGood,"Good",IF(P656&gt;=setAvg,"Average","Poor")))</f>
        <v>Excellent</v>
      </c>
    </row>
    <row r="657" customFormat="false" ht="15" hidden="false" customHeight="false" outlineLevel="0" collapsed="false">
      <c r="A657" s="41" t="s">
        <v>835</v>
      </c>
      <c r="B657" s="41" t="s">
        <v>178</v>
      </c>
      <c r="C657" s="41" t="s">
        <v>85</v>
      </c>
      <c r="D657" s="41" t="s">
        <v>105</v>
      </c>
      <c r="E657" s="41" t="s">
        <v>102</v>
      </c>
      <c r="F657" s="41" t="s">
        <v>78</v>
      </c>
      <c r="G657" s="42" t="n">
        <v>15.69</v>
      </c>
      <c r="H657" s="41" t="n">
        <v>3</v>
      </c>
      <c r="I657" s="42" t="n">
        <v>2.3535</v>
      </c>
      <c r="J657" s="42" t="n">
        <v>49.4235</v>
      </c>
      <c r="K657" s="43" t="n">
        <v>43538</v>
      </c>
      <c r="L657" s="44" t="n">
        <v>0.592361111111111</v>
      </c>
      <c r="M657" s="41" t="s">
        <v>99</v>
      </c>
      <c r="N657" s="42" t="n">
        <v>47.07</v>
      </c>
      <c r="O657" s="42" t="n">
        <v>2.3535</v>
      </c>
      <c r="P657" s="45" t="n">
        <v>5.8</v>
      </c>
      <c r="Q657" s="41" t="str">
        <f aca="false">CHOOSE(MONTH(K657),"Jan","Feb","Mar","Apr","May","Jun","Jul","Aug","Sep","Oct","Nov","Dec")</f>
        <v>Mar</v>
      </c>
      <c r="R657" s="41" t="n">
        <f aca="false">INT((K657-setMinDate)/7)+1</f>
        <v>11</v>
      </c>
      <c r="S657" s="41" t="n">
        <f aca="false">HOUR(L657)</f>
        <v>14</v>
      </c>
      <c r="T657" s="41" t="str">
        <f aca="false">IF(S657&lt;setMorningEnd,"Morning",IF(S657&lt;setAfternoonEnd,"Afternoon","Evening"))</f>
        <v>Afternoon</v>
      </c>
      <c r="U657" s="41" t="str">
        <f aca="false">IF(J657&gt;=setLarge,"Large",IF(J657&gt;=setMedium,"Medium","Small"))</f>
        <v>Small</v>
      </c>
      <c r="V657" s="41" t="str">
        <f aca="false">IF(P657&gt;=setExc,"Excellent",IF(P657&gt;=setGood,"Good",IF(P657&gt;=setAvg,"Average","Poor")))</f>
        <v>Average</v>
      </c>
    </row>
    <row r="658" customFormat="false" ht="15" hidden="false" customHeight="false" outlineLevel="0" collapsed="false">
      <c r="A658" s="41" t="s">
        <v>836</v>
      </c>
      <c r="B658" s="41" t="s">
        <v>180</v>
      </c>
      <c r="C658" s="41" t="s">
        <v>87</v>
      </c>
      <c r="D658" s="41" t="s">
        <v>105</v>
      </c>
      <c r="E658" s="41" t="s">
        <v>102</v>
      </c>
      <c r="F658" s="41" t="s">
        <v>78</v>
      </c>
      <c r="G658" s="42" t="n">
        <v>99.69</v>
      </c>
      <c r="H658" s="41" t="n">
        <v>1</v>
      </c>
      <c r="I658" s="42" t="n">
        <v>4.9845</v>
      </c>
      <c r="J658" s="42" t="n">
        <v>104.6745</v>
      </c>
      <c r="K658" s="43" t="n">
        <v>43523</v>
      </c>
      <c r="L658" s="44" t="n">
        <v>0.432638888888889</v>
      </c>
      <c r="M658" s="41" t="s">
        <v>99</v>
      </c>
      <c r="N658" s="42" t="n">
        <v>99.69</v>
      </c>
      <c r="O658" s="42" t="n">
        <v>4.9845</v>
      </c>
      <c r="P658" s="45" t="n">
        <v>8</v>
      </c>
      <c r="Q658" s="41" t="str">
        <f aca="false">CHOOSE(MONTH(K658),"Jan","Feb","Mar","Apr","May","Jun","Jul","Aug","Sep","Oct","Nov","Dec")</f>
        <v>Feb</v>
      </c>
      <c r="R658" s="41" t="n">
        <f aca="false">INT((K658-setMinDate)/7)+1</f>
        <v>9</v>
      </c>
      <c r="S658" s="41" t="n">
        <f aca="false">HOUR(L658)</f>
        <v>10</v>
      </c>
      <c r="T658" s="41" t="str">
        <f aca="false">IF(S658&lt;setMorningEnd,"Morning",IF(S658&lt;setAfternoonEnd,"Afternoon","Evening"))</f>
        <v>Morning</v>
      </c>
      <c r="U658" s="41" t="str">
        <f aca="false">IF(J658&gt;=setLarge,"Large",IF(J658&gt;=setMedium,"Medium","Small"))</f>
        <v>Small</v>
      </c>
      <c r="V658" s="41" t="str">
        <f aca="false">IF(P658&gt;=setExc,"Excellent",IF(P658&gt;=setGood,"Good",IF(P658&gt;=setAvg,"Average","Poor")))</f>
        <v>Good</v>
      </c>
    </row>
    <row r="659" customFormat="false" ht="15" hidden="false" customHeight="false" outlineLevel="0" collapsed="false">
      <c r="A659" s="41" t="s">
        <v>837</v>
      </c>
      <c r="B659" s="41" t="s">
        <v>178</v>
      </c>
      <c r="C659" s="41" t="s">
        <v>85</v>
      </c>
      <c r="D659" s="41" t="s">
        <v>104</v>
      </c>
      <c r="E659" s="41" t="s">
        <v>102</v>
      </c>
      <c r="F659" s="41" t="s">
        <v>79</v>
      </c>
      <c r="G659" s="42" t="n">
        <v>88.15</v>
      </c>
      <c r="H659" s="41" t="n">
        <v>3</v>
      </c>
      <c r="I659" s="42" t="n">
        <v>13.2225</v>
      </c>
      <c r="J659" s="42" t="n">
        <v>277.6725</v>
      </c>
      <c r="K659" s="43" t="n">
        <v>43483</v>
      </c>
      <c r="L659" s="44" t="n">
        <v>0.424305555555556</v>
      </c>
      <c r="M659" s="41" t="s">
        <v>98</v>
      </c>
      <c r="N659" s="42" t="n">
        <v>264.45</v>
      </c>
      <c r="O659" s="42" t="n">
        <v>13.2225</v>
      </c>
      <c r="P659" s="45" t="n">
        <v>7.9</v>
      </c>
      <c r="Q659" s="41" t="str">
        <f aca="false">CHOOSE(MONTH(K659),"Jan","Feb","Mar","Apr","May","Jun","Jul","Aug","Sep","Oct","Nov","Dec")</f>
        <v>Jan</v>
      </c>
      <c r="R659" s="41" t="n">
        <f aca="false">INT((K659-setMinDate)/7)+1</f>
        <v>3</v>
      </c>
      <c r="S659" s="41" t="n">
        <f aca="false">HOUR(L659)</f>
        <v>10</v>
      </c>
      <c r="T659" s="41" t="str">
        <f aca="false">IF(S659&lt;setMorningEnd,"Morning",IF(S659&lt;setAfternoonEnd,"Afternoon","Evening"))</f>
        <v>Morning</v>
      </c>
      <c r="U659" s="41" t="str">
        <f aca="false">IF(J659&gt;=setLarge,"Large",IF(J659&gt;=setMedium,"Medium","Small"))</f>
        <v>Medium</v>
      </c>
      <c r="V659" s="41" t="str">
        <f aca="false">IF(P659&gt;=setExc,"Excellent",IF(P659&gt;=setGood,"Good",IF(P659&gt;=setAvg,"Average","Poor")))</f>
        <v>Good</v>
      </c>
    </row>
    <row r="660" customFormat="false" ht="15" hidden="false" customHeight="false" outlineLevel="0" collapsed="false">
      <c r="A660" s="41" t="s">
        <v>838</v>
      </c>
      <c r="B660" s="41" t="s">
        <v>178</v>
      </c>
      <c r="C660" s="41" t="s">
        <v>85</v>
      </c>
      <c r="D660" s="41" t="s">
        <v>104</v>
      </c>
      <c r="E660" s="41" t="s">
        <v>102</v>
      </c>
      <c r="F660" s="41" t="s">
        <v>77</v>
      </c>
      <c r="G660" s="42" t="n">
        <v>27.93</v>
      </c>
      <c r="H660" s="41" t="n">
        <v>5</v>
      </c>
      <c r="I660" s="42" t="n">
        <v>6.9825</v>
      </c>
      <c r="J660" s="42" t="n">
        <v>146.6325</v>
      </c>
      <c r="K660" s="43" t="n">
        <v>43494</v>
      </c>
      <c r="L660" s="44" t="n">
        <v>0.658333333333333</v>
      </c>
      <c r="M660" s="41" t="s">
        <v>97</v>
      </c>
      <c r="N660" s="42" t="n">
        <v>139.65</v>
      </c>
      <c r="O660" s="42" t="n">
        <v>6.9825</v>
      </c>
      <c r="P660" s="45" t="n">
        <v>5.9</v>
      </c>
      <c r="Q660" s="41" t="str">
        <f aca="false">CHOOSE(MONTH(K660),"Jan","Feb","Mar","Apr","May","Jun","Jul","Aug","Sep","Oct","Nov","Dec")</f>
        <v>Jan</v>
      </c>
      <c r="R660" s="41" t="n">
        <f aca="false">INT((K660-setMinDate)/7)+1</f>
        <v>5</v>
      </c>
      <c r="S660" s="41" t="n">
        <f aca="false">HOUR(L660)</f>
        <v>15</v>
      </c>
      <c r="T660" s="41" t="str">
        <f aca="false">IF(S660&lt;setMorningEnd,"Morning",IF(S660&lt;setAfternoonEnd,"Afternoon","Evening"))</f>
        <v>Afternoon</v>
      </c>
      <c r="U660" s="41" t="str">
        <f aca="false">IF(J660&gt;=setLarge,"Large",IF(J660&gt;=setMedium,"Medium","Small"))</f>
        <v>Small</v>
      </c>
      <c r="V660" s="41" t="str">
        <f aca="false">IF(P660&gt;=setExc,"Excellent",IF(P660&gt;=setGood,"Good",IF(P660&gt;=setAvg,"Average","Poor")))</f>
        <v>Average</v>
      </c>
    </row>
    <row r="661" customFormat="false" ht="15" hidden="false" customHeight="false" outlineLevel="0" collapsed="false">
      <c r="A661" s="41" t="s">
        <v>839</v>
      </c>
      <c r="B661" s="41" t="s">
        <v>178</v>
      </c>
      <c r="C661" s="41" t="s">
        <v>85</v>
      </c>
      <c r="D661" s="41" t="s">
        <v>104</v>
      </c>
      <c r="E661" s="41" t="s">
        <v>103</v>
      </c>
      <c r="F661" s="41" t="s">
        <v>79</v>
      </c>
      <c r="G661" s="42" t="n">
        <v>55.45</v>
      </c>
      <c r="H661" s="41" t="n">
        <v>1</v>
      </c>
      <c r="I661" s="42" t="n">
        <v>2.7725</v>
      </c>
      <c r="J661" s="42" t="n">
        <v>58.2225</v>
      </c>
      <c r="K661" s="43" t="n">
        <v>43522</v>
      </c>
      <c r="L661" s="44" t="n">
        <v>0.740277777777778</v>
      </c>
      <c r="M661" s="41" t="s">
        <v>99</v>
      </c>
      <c r="N661" s="42" t="n">
        <v>55.45</v>
      </c>
      <c r="O661" s="42" t="n">
        <v>2.7725</v>
      </c>
      <c r="P661" s="45" t="n">
        <v>4.9</v>
      </c>
      <c r="Q661" s="41" t="str">
        <f aca="false">CHOOSE(MONTH(K661),"Jan","Feb","Mar","Apr","May","Jun","Jul","Aug","Sep","Oct","Nov","Dec")</f>
        <v>Feb</v>
      </c>
      <c r="R661" s="41" t="n">
        <f aca="false">INT((K661-setMinDate)/7)+1</f>
        <v>9</v>
      </c>
      <c r="S661" s="41" t="n">
        <f aca="false">HOUR(L661)</f>
        <v>17</v>
      </c>
      <c r="T661" s="41" t="str">
        <f aca="false">IF(S661&lt;setMorningEnd,"Morning",IF(S661&lt;setAfternoonEnd,"Afternoon","Evening"))</f>
        <v>Evening</v>
      </c>
      <c r="U661" s="41" t="str">
        <f aca="false">IF(J661&gt;=setLarge,"Large",IF(J661&gt;=setMedium,"Medium","Small"))</f>
        <v>Small</v>
      </c>
      <c r="V661" s="41" t="str">
        <f aca="false">IF(P661&gt;=setExc,"Excellent",IF(P661&gt;=setGood,"Good",IF(P661&gt;=setAvg,"Average","Poor")))</f>
        <v>Poor</v>
      </c>
    </row>
    <row r="662" customFormat="false" ht="15" hidden="false" customHeight="false" outlineLevel="0" collapsed="false">
      <c r="A662" s="41" t="s">
        <v>840</v>
      </c>
      <c r="B662" s="41" t="s">
        <v>189</v>
      </c>
      <c r="C662" s="41" t="s">
        <v>86</v>
      </c>
      <c r="D662" s="41" t="s">
        <v>105</v>
      </c>
      <c r="E662" s="41" t="s">
        <v>102</v>
      </c>
      <c r="F662" s="41" t="s">
        <v>77</v>
      </c>
      <c r="G662" s="42" t="n">
        <v>42.97</v>
      </c>
      <c r="H662" s="41" t="n">
        <v>3</v>
      </c>
      <c r="I662" s="42" t="n">
        <v>6.4455</v>
      </c>
      <c r="J662" s="42" t="n">
        <v>135.3555</v>
      </c>
      <c r="K662" s="43" t="n">
        <v>43499</v>
      </c>
      <c r="L662" s="44" t="n">
        <v>0.490277777777778</v>
      </c>
      <c r="M662" s="41" t="s">
        <v>97</v>
      </c>
      <c r="N662" s="42" t="n">
        <v>128.91</v>
      </c>
      <c r="O662" s="42" t="n">
        <v>6.4455</v>
      </c>
      <c r="P662" s="45" t="n">
        <v>9.3</v>
      </c>
      <c r="Q662" s="41" t="str">
        <f aca="false">CHOOSE(MONTH(K662),"Jan","Feb","Mar","Apr","May","Jun","Jul","Aug","Sep","Oct","Nov","Dec")</f>
        <v>Feb</v>
      </c>
      <c r="R662" s="41" t="n">
        <f aca="false">INT((K662-setMinDate)/7)+1</f>
        <v>5</v>
      </c>
      <c r="S662" s="41" t="n">
        <f aca="false">HOUR(L662)</f>
        <v>11</v>
      </c>
      <c r="T662" s="41" t="str">
        <f aca="false">IF(S662&lt;setMorningEnd,"Morning",IF(S662&lt;setAfternoonEnd,"Afternoon","Evening"))</f>
        <v>Morning</v>
      </c>
      <c r="U662" s="41" t="str">
        <f aca="false">IF(J662&gt;=setLarge,"Large",IF(J662&gt;=setMedium,"Medium","Small"))</f>
        <v>Small</v>
      </c>
      <c r="V662" s="41" t="str">
        <f aca="false">IF(P662&gt;=setExc,"Excellent",IF(P662&gt;=setGood,"Good",IF(P662&gt;=setAvg,"Average","Poor")))</f>
        <v>Excellent</v>
      </c>
    </row>
    <row r="663" customFormat="false" ht="15" hidden="false" customHeight="false" outlineLevel="0" collapsed="false">
      <c r="A663" s="41" t="s">
        <v>841</v>
      </c>
      <c r="B663" s="41" t="s">
        <v>180</v>
      </c>
      <c r="C663" s="41" t="s">
        <v>87</v>
      </c>
      <c r="D663" s="41" t="s">
        <v>104</v>
      </c>
      <c r="E663" s="41" t="s">
        <v>103</v>
      </c>
      <c r="F663" s="41" t="s">
        <v>77</v>
      </c>
      <c r="G663" s="42" t="n">
        <v>17.14</v>
      </c>
      <c r="H663" s="41" t="n">
        <v>7</v>
      </c>
      <c r="I663" s="42" t="n">
        <v>5.999</v>
      </c>
      <c r="J663" s="42" t="n">
        <v>125.979</v>
      </c>
      <c r="K663" s="43" t="n">
        <v>43481</v>
      </c>
      <c r="L663" s="44" t="n">
        <v>0.504861111111111</v>
      </c>
      <c r="M663" s="41" t="s">
        <v>99</v>
      </c>
      <c r="N663" s="42" t="n">
        <v>119.98</v>
      </c>
      <c r="O663" s="42" t="n">
        <v>5.999</v>
      </c>
      <c r="P663" s="45" t="n">
        <v>7.9</v>
      </c>
      <c r="Q663" s="41" t="str">
        <f aca="false">CHOOSE(MONTH(K663),"Jan","Feb","Mar","Apr","May","Jun","Jul","Aug","Sep","Oct","Nov","Dec")</f>
        <v>Jan</v>
      </c>
      <c r="R663" s="41" t="n">
        <f aca="false">INT((K663-setMinDate)/7)+1</f>
        <v>3</v>
      </c>
      <c r="S663" s="41" t="n">
        <f aca="false">HOUR(L663)</f>
        <v>12</v>
      </c>
      <c r="T663" s="41" t="str">
        <f aca="false">IF(S663&lt;setMorningEnd,"Morning",IF(S663&lt;setAfternoonEnd,"Afternoon","Evening"))</f>
        <v>Afternoon</v>
      </c>
      <c r="U663" s="41" t="str">
        <f aca="false">IF(J663&gt;=setLarge,"Large",IF(J663&gt;=setMedium,"Medium","Small"))</f>
        <v>Small</v>
      </c>
      <c r="V663" s="41" t="str">
        <f aca="false">IF(P663&gt;=setExc,"Excellent",IF(P663&gt;=setGood,"Good",IF(P663&gt;=setAvg,"Average","Poor")))</f>
        <v>Good</v>
      </c>
    </row>
    <row r="664" customFormat="false" ht="15" hidden="false" customHeight="false" outlineLevel="0" collapsed="false">
      <c r="A664" s="41" t="s">
        <v>842</v>
      </c>
      <c r="B664" s="41" t="s">
        <v>189</v>
      </c>
      <c r="C664" s="41" t="s">
        <v>86</v>
      </c>
      <c r="D664" s="41" t="s">
        <v>104</v>
      </c>
      <c r="E664" s="41" t="s">
        <v>102</v>
      </c>
      <c r="F664" s="41" t="s">
        <v>79</v>
      </c>
      <c r="G664" s="42" t="n">
        <v>58.75</v>
      </c>
      <c r="H664" s="41" t="n">
        <v>6</v>
      </c>
      <c r="I664" s="42" t="n">
        <v>17.625</v>
      </c>
      <c r="J664" s="42" t="n">
        <v>370.125</v>
      </c>
      <c r="K664" s="43" t="n">
        <v>43548</v>
      </c>
      <c r="L664" s="44" t="n">
        <v>0.759722222222222</v>
      </c>
      <c r="M664" s="41" t="s">
        <v>99</v>
      </c>
      <c r="N664" s="42" t="n">
        <v>352.5</v>
      </c>
      <c r="O664" s="42" t="n">
        <v>17.625</v>
      </c>
      <c r="P664" s="45" t="n">
        <v>5.9</v>
      </c>
      <c r="Q664" s="41" t="str">
        <f aca="false">CHOOSE(MONTH(K664),"Jan","Feb","Mar","Apr","May","Jun","Jul","Aug","Sep","Oct","Nov","Dec")</f>
        <v>Mar</v>
      </c>
      <c r="R664" s="41" t="n">
        <f aca="false">INT((K664-setMinDate)/7)+1</f>
        <v>12</v>
      </c>
      <c r="S664" s="41" t="n">
        <f aca="false">HOUR(L664)</f>
        <v>18</v>
      </c>
      <c r="T664" s="41" t="str">
        <f aca="false">IF(S664&lt;setMorningEnd,"Morning",IF(S664&lt;setAfternoonEnd,"Afternoon","Evening"))</f>
        <v>Evening</v>
      </c>
      <c r="U664" s="41" t="str">
        <f aca="false">IF(J664&gt;=setLarge,"Large",IF(J664&gt;=setMedium,"Medium","Small"))</f>
        <v>Medium</v>
      </c>
      <c r="V664" s="41" t="str">
        <f aca="false">IF(P664&gt;=setExc,"Excellent",IF(P664&gt;=setGood,"Good",IF(P664&gt;=setAvg,"Average","Poor")))</f>
        <v>Average</v>
      </c>
    </row>
    <row r="665" customFormat="false" ht="15" hidden="false" customHeight="false" outlineLevel="0" collapsed="false">
      <c r="A665" s="41" t="s">
        <v>843</v>
      </c>
      <c r="B665" s="41" t="s">
        <v>180</v>
      </c>
      <c r="C665" s="41" t="s">
        <v>87</v>
      </c>
      <c r="D665" s="41" t="s">
        <v>104</v>
      </c>
      <c r="E665" s="41" t="s">
        <v>102</v>
      </c>
      <c r="F665" s="41" t="s">
        <v>76</v>
      </c>
      <c r="G665" s="42" t="n">
        <v>87.1</v>
      </c>
      <c r="H665" s="41" t="n">
        <v>10</v>
      </c>
      <c r="I665" s="42" t="n">
        <v>43.55</v>
      </c>
      <c r="J665" s="42" t="n">
        <v>914.55</v>
      </c>
      <c r="K665" s="43" t="n">
        <v>43508</v>
      </c>
      <c r="L665" s="44" t="n">
        <v>0.614583333333333</v>
      </c>
      <c r="M665" s="41" t="s">
        <v>99</v>
      </c>
      <c r="N665" s="42" t="n">
        <v>871</v>
      </c>
      <c r="O665" s="42" t="n">
        <v>43.55</v>
      </c>
      <c r="P665" s="45" t="n">
        <v>9.9</v>
      </c>
      <c r="Q665" s="41" t="str">
        <f aca="false">CHOOSE(MONTH(K665),"Jan","Feb","Mar","Apr","May","Jun","Jul","Aug","Sep","Oct","Nov","Dec")</f>
        <v>Feb</v>
      </c>
      <c r="R665" s="41" t="n">
        <f aca="false">INT((K665-setMinDate)/7)+1</f>
        <v>7</v>
      </c>
      <c r="S665" s="41" t="n">
        <f aca="false">HOUR(L665)</f>
        <v>14</v>
      </c>
      <c r="T665" s="41" t="str">
        <f aca="false">IF(S665&lt;setMorningEnd,"Morning",IF(S665&lt;setAfternoonEnd,"Afternoon","Evening"))</f>
        <v>Afternoon</v>
      </c>
      <c r="U665" s="41" t="str">
        <f aca="false">IF(J665&gt;=setLarge,"Large",IF(J665&gt;=setMedium,"Medium","Small"))</f>
        <v>Large</v>
      </c>
      <c r="V665" s="41" t="str">
        <f aca="false">IF(P665&gt;=setExc,"Excellent",IF(P665&gt;=setGood,"Good",IF(P665&gt;=setAvg,"Average","Poor")))</f>
        <v>Excellent</v>
      </c>
    </row>
    <row r="666" customFormat="false" ht="15" hidden="false" customHeight="false" outlineLevel="0" collapsed="false">
      <c r="A666" s="41" t="s">
        <v>844</v>
      </c>
      <c r="B666" s="41" t="s">
        <v>180</v>
      </c>
      <c r="C666" s="41" t="s">
        <v>87</v>
      </c>
      <c r="D666" s="41" t="s">
        <v>105</v>
      </c>
      <c r="E666" s="41" t="s">
        <v>102</v>
      </c>
      <c r="F666" s="41" t="s">
        <v>77</v>
      </c>
      <c r="G666" s="42" t="n">
        <v>98.8</v>
      </c>
      <c r="H666" s="41" t="n">
        <v>2</v>
      </c>
      <c r="I666" s="42" t="n">
        <v>9.88</v>
      </c>
      <c r="J666" s="42" t="n">
        <v>207.48</v>
      </c>
      <c r="K666" s="43" t="n">
        <v>43517</v>
      </c>
      <c r="L666" s="44" t="n">
        <v>0.485416666666667</v>
      </c>
      <c r="M666" s="41" t="s">
        <v>97</v>
      </c>
      <c r="N666" s="42" t="n">
        <v>197.6</v>
      </c>
      <c r="O666" s="42" t="n">
        <v>9.88</v>
      </c>
      <c r="P666" s="45" t="n">
        <v>7.7</v>
      </c>
      <c r="Q666" s="41" t="str">
        <f aca="false">CHOOSE(MONTH(K666),"Jan","Feb","Mar","Apr","May","Jun","Jul","Aug","Sep","Oct","Nov","Dec")</f>
        <v>Feb</v>
      </c>
      <c r="R666" s="41" t="n">
        <f aca="false">INT((K666-setMinDate)/7)+1</f>
        <v>8</v>
      </c>
      <c r="S666" s="41" t="n">
        <f aca="false">HOUR(L666)</f>
        <v>11</v>
      </c>
      <c r="T666" s="41" t="str">
        <f aca="false">IF(S666&lt;setMorningEnd,"Morning",IF(S666&lt;setAfternoonEnd,"Afternoon","Evening"))</f>
        <v>Morning</v>
      </c>
      <c r="U666" s="41" t="str">
        <f aca="false">IF(J666&gt;=setLarge,"Large",IF(J666&gt;=setMedium,"Medium","Small"))</f>
        <v>Small</v>
      </c>
      <c r="V666" s="41" t="str">
        <f aca="false">IF(P666&gt;=setExc,"Excellent",IF(P666&gt;=setGood,"Good",IF(P666&gt;=setAvg,"Average","Poor")))</f>
        <v>Good</v>
      </c>
    </row>
    <row r="667" customFormat="false" ht="15" hidden="false" customHeight="false" outlineLevel="0" collapsed="false">
      <c r="A667" s="41" t="s">
        <v>845</v>
      </c>
      <c r="B667" s="41" t="s">
        <v>178</v>
      </c>
      <c r="C667" s="41" t="s">
        <v>85</v>
      </c>
      <c r="D667" s="41" t="s">
        <v>105</v>
      </c>
      <c r="E667" s="41" t="s">
        <v>102</v>
      </c>
      <c r="F667" s="41" t="s">
        <v>79</v>
      </c>
      <c r="G667" s="42" t="n">
        <v>48.63</v>
      </c>
      <c r="H667" s="41" t="n">
        <v>4</v>
      </c>
      <c r="I667" s="42" t="n">
        <v>9.726</v>
      </c>
      <c r="J667" s="42" t="n">
        <v>204.246</v>
      </c>
      <c r="K667" s="43" t="n">
        <v>43500</v>
      </c>
      <c r="L667" s="44" t="n">
        <v>0.655555555555556</v>
      </c>
      <c r="M667" s="41" t="s">
        <v>98</v>
      </c>
      <c r="N667" s="42" t="n">
        <v>194.52</v>
      </c>
      <c r="O667" s="42" t="n">
        <v>9.726</v>
      </c>
      <c r="P667" s="45" t="n">
        <v>7.6</v>
      </c>
      <c r="Q667" s="41" t="str">
        <f aca="false">CHOOSE(MONTH(K667),"Jan","Feb","Mar","Apr","May","Jun","Jul","Aug","Sep","Oct","Nov","Dec")</f>
        <v>Feb</v>
      </c>
      <c r="R667" s="41" t="n">
        <f aca="false">INT((K667-setMinDate)/7)+1</f>
        <v>5</v>
      </c>
      <c r="S667" s="41" t="n">
        <f aca="false">HOUR(L667)</f>
        <v>15</v>
      </c>
      <c r="T667" s="41" t="str">
        <f aca="false">IF(S667&lt;setMorningEnd,"Morning",IF(S667&lt;setAfternoonEnd,"Afternoon","Evening"))</f>
        <v>Afternoon</v>
      </c>
      <c r="U667" s="41" t="str">
        <f aca="false">IF(J667&gt;=setLarge,"Large",IF(J667&gt;=setMedium,"Medium","Small"))</f>
        <v>Small</v>
      </c>
      <c r="V667" s="41" t="str">
        <f aca="false">IF(P667&gt;=setExc,"Excellent",IF(P667&gt;=setGood,"Good",IF(P667&gt;=setAvg,"Average","Poor")))</f>
        <v>Good</v>
      </c>
    </row>
    <row r="668" customFormat="false" ht="15" hidden="false" customHeight="false" outlineLevel="0" collapsed="false">
      <c r="A668" s="41" t="s">
        <v>846</v>
      </c>
      <c r="B668" s="41" t="s">
        <v>189</v>
      </c>
      <c r="C668" s="41" t="s">
        <v>86</v>
      </c>
      <c r="D668" s="41" t="s">
        <v>104</v>
      </c>
      <c r="E668" s="41" t="s">
        <v>103</v>
      </c>
      <c r="F668" s="41" t="s">
        <v>76</v>
      </c>
      <c r="G668" s="42" t="n">
        <v>57.74</v>
      </c>
      <c r="H668" s="41" t="n">
        <v>3</v>
      </c>
      <c r="I668" s="42" t="n">
        <v>8.661</v>
      </c>
      <c r="J668" s="42" t="n">
        <v>181.881</v>
      </c>
      <c r="K668" s="43" t="n">
        <v>43516</v>
      </c>
      <c r="L668" s="44" t="n">
        <v>0.545833333333333</v>
      </c>
      <c r="M668" s="41" t="s">
        <v>98</v>
      </c>
      <c r="N668" s="42" t="n">
        <v>173.22</v>
      </c>
      <c r="O668" s="42" t="n">
        <v>8.661</v>
      </c>
      <c r="P668" s="45" t="n">
        <v>7.7</v>
      </c>
      <c r="Q668" s="41" t="str">
        <f aca="false">CHOOSE(MONTH(K668),"Jan","Feb","Mar","Apr","May","Jun","Jul","Aug","Sep","Oct","Nov","Dec")</f>
        <v>Feb</v>
      </c>
      <c r="R668" s="41" t="n">
        <f aca="false">INT((K668-setMinDate)/7)+1</f>
        <v>8</v>
      </c>
      <c r="S668" s="41" t="n">
        <f aca="false">HOUR(L668)</f>
        <v>13</v>
      </c>
      <c r="T668" s="41" t="str">
        <f aca="false">IF(S668&lt;setMorningEnd,"Morning",IF(S668&lt;setAfternoonEnd,"Afternoon","Evening"))</f>
        <v>Afternoon</v>
      </c>
      <c r="U668" s="41" t="str">
        <f aca="false">IF(J668&gt;=setLarge,"Large",IF(J668&gt;=setMedium,"Medium","Small"))</f>
        <v>Small</v>
      </c>
      <c r="V668" s="41" t="str">
        <f aca="false">IF(P668&gt;=setExc,"Excellent",IF(P668&gt;=setGood,"Good",IF(P668&gt;=setAvg,"Average","Poor")))</f>
        <v>Good</v>
      </c>
    </row>
    <row r="669" customFormat="false" ht="15" hidden="false" customHeight="false" outlineLevel="0" collapsed="false">
      <c r="A669" s="41" t="s">
        <v>847</v>
      </c>
      <c r="B669" s="41" t="s">
        <v>189</v>
      </c>
      <c r="C669" s="41" t="s">
        <v>86</v>
      </c>
      <c r="D669" s="41" t="s">
        <v>105</v>
      </c>
      <c r="E669" s="41" t="s">
        <v>102</v>
      </c>
      <c r="F669" s="41" t="s">
        <v>81</v>
      </c>
      <c r="G669" s="42" t="n">
        <v>17.97</v>
      </c>
      <c r="H669" s="41" t="n">
        <v>4</v>
      </c>
      <c r="I669" s="42" t="n">
        <v>3.594</v>
      </c>
      <c r="J669" s="42" t="n">
        <v>75.474</v>
      </c>
      <c r="K669" s="43" t="n">
        <v>43519</v>
      </c>
      <c r="L669" s="44" t="n">
        <v>0.863194444444445</v>
      </c>
      <c r="M669" s="41" t="s">
        <v>98</v>
      </c>
      <c r="N669" s="42" t="n">
        <v>71.88</v>
      </c>
      <c r="O669" s="42" t="n">
        <v>3.594</v>
      </c>
      <c r="P669" s="45" t="n">
        <v>6.4</v>
      </c>
      <c r="Q669" s="41" t="str">
        <f aca="false">CHOOSE(MONTH(K669),"Jan","Feb","Mar","Apr","May","Jun","Jul","Aug","Sep","Oct","Nov","Dec")</f>
        <v>Feb</v>
      </c>
      <c r="R669" s="41" t="n">
        <f aca="false">INT((K669-setMinDate)/7)+1</f>
        <v>8</v>
      </c>
      <c r="S669" s="41" t="n">
        <f aca="false">HOUR(L669)</f>
        <v>20</v>
      </c>
      <c r="T669" s="41" t="str">
        <f aca="false">IF(S669&lt;setMorningEnd,"Morning",IF(S669&lt;setAfternoonEnd,"Afternoon","Evening"))</f>
        <v>Evening</v>
      </c>
      <c r="U669" s="41" t="str">
        <f aca="false">IF(J669&gt;=setLarge,"Large",IF(J669&gt;=setMedium,"Medium","Small"))</f>
        <v>Small</v>
      </c>
      <c r="V669" s="41" t="str">
        <f aca="false">IF(P669&gt;=setExc,"Excellent",IF(P669&gt;=setGood,"Good",IF(P669&gt;=setAvg,"Average","Poor")))</f>
        <v>Average</v>
      </c>
    </row>
    <row r="670" customFormat="false" ht="15" hidden="false" customHeight="false" outlineLevel="0" collapsed="false">
      <c r="A670" s="41" t="s">
        <v>848</v>
      </c>
      <c r="B670" s="41" t="s">
        <v>180</v>
      </c>
      <c r="C670" s="41" t="s">
        <v>87</v>
      </c>
      <c r="D670" s="41" t="s">
        <v>104</v>
      </c>
      <c r="E670" s="41" t="s">
        <v>102</v>
      </c>
      <c r="F670" s="41" t="s">
        <v>81</v>
      </c>
      <c r="G670" s="42" t="n">
        <v>47.71</v>
      </c>
      <c r="H670" s="41" t="n">
        <v>6</v>
      </c>
      <c r="I670" s="42" t="n">
        <v>14.313</v>
      </c>
      <c r="J670" s="42" t="n">
        <v>300.573</v>
      </c>
      <c r="K670" s="43" t="n">
        <v>43512</v>
      </c>
      <c r="L670" s="44" t="n">
        <v>0.596527777777778</v>
      </c>
      <c r="M670" s="41" t="s">
        <v>98</v>
      </c>
      <c r="N670" s="42" t="n">
        <v>286.26</v>
      </c>
      <c r="O670" s="42" t="n">
        <v>14.313</v>
      </c>
      <c r="P670" s="45" t="n">
        <v>4.4</v>
      </c>
      <c r="Q670" s="41" t="str">
        <f aca="false">CHOOSE(MONTH(K670),"Jan","Feb","Mar","Apr","May","Jun","Jul","Aug","Sep","Oct","Nov","Dec")</f>
        <v>Feb</v>
      </c>
      <c r="R670" s="41" t="n">
        <f aca="false">INT((K670-setMinDate)/7)+1</f>
        <v>7</v>
      </c>
      <c r="S670" s="41" t="n">
        <f aca="false">HOUR(L670)</f>
        <v>14</v>
      </c>
      <c r="T670" s="41" t="str">
        <f aca="false">IF(S670&lt;setMorningEnd,"Morning",IF(S670&lt;setAfternoonEnd,"Afternoon","Evening"))</f>
        <v>Afternoon</v>
      </c>
      <c r="U670" s="41" t="str">
        <f aca="false">IF(J670&gt;=setLarge,"Large",IF(J670&gt;=setMedium,"Medium","Small"))</f>
        <v>Medium</v>
      </c>
      <c r="V670" s="41" t="str">
        <f aca="false">IF(P670&gt;=setExc,"Excellent",IF(P670&gt;=setGood,"Good",IF(P670&gt;=setAvg,"Average","Poor")))</f>
        <v>Poor</v>
      </c>
    </row>
    <row r="671" customFormat="false" ht="15" hidden="false" customHeight="false" outlineLevel="0" collapsed="false">
      <c r="A671" s="41" t="s">
        <v>849</v>
      </c>
      <c r="B671" s="41" t="s">
        <v>189</v>
      </c>
      <c r="C671" s="41" t="s">
        <v>86</v>
      </c>
      <c r="D671" s="41" t="s">
        <v>105</v>
      </c>
      <c r="E671" s="41" t="s">
        <v>102</v>
      </c>
      <c r="F671" s="41" t="s">
        <v>77</v>
      </c>
      <c r="G671" s="42" t="n">
        <v>40.62</v>
      </c>
      <c r="H671" s="41" t="n">
        <v>2</v>
      </c>
      <c r="I671" s="42" t="n">
        <v>4.062</v>
      </c>
      <c r="J671" s="42" t="n">
        <v>85.302</v>
      </c>
      <c r="K671" s="43" t="n">
        <v>43482</v>
      </c>
      <c r="L671" s="44" t="n">
        <v>0.417361111111111</v>
      </c>
      <c r="M671" s="41" t="s">
        <v>99</v>
      </c>
      <c r="N671" s="42" t="n">
        <v>81.24</v>
      </c>
      <c r="O671" s="42" t="n">
        <v>4.062</v>
      </c>
      <c r="P671" s="45" t="n">
        <v>4.1</v>
      </c>
      <c r="Q671" s="41" t="str">
        <f aca="false">CHOOSE(MONTH(K671),"Jan","Feb","Mar","Apr","May","Jun","Jul","Aug","Sep","Oct","Nov","Dec")</f>
        <v>Jan</v>
      </c>
      <c r="R671" s="41" t="n">
        <f aca="false">INT((K671-setMinDate)/7)+1</f>
        <v>3</v>
      </c>
      <c r="S671" s="41" t="n">
        <f aca="false">HOUR(L671)</f>
        <v>10</v>
      </c>
      <c r="T671" s="41" t="str">
        <f aca="false">IF(S671&lt;setMorningEnd,"Morning",IF(S671&lt;setAfternoonEnd,"Afternoon","Evening"))</f>
        <v>Morning</v>
      </c>
      <c r="U671" s="41" t="str">
        <f aca="false">IF(J671&gt;=setLarge,"Large",IF(J671&gt;=setMedium,"Medium","Small"))</f>
        <v>Small</v>
      </c>
      <c r="V671" s="41" t="str">
        <f aca="false">IF(P671&gt;=setExc,"Excellent",IF(P671&gt;=setGood,"Good",IF(P671&gt;=setAvg,"Average","Poor")))</f>
        <v>Poor</v>
      </c>
    </row>
    <row r="672" customFormat="false" ht="15" hidden="false" customHeight="false" outlineLevel="0" collapsed="false">
      <c r="A672" s="41" t="s">
        <v>850</v>
      </c>
      <c r="B672" s="41" t="s">
        <v>178</v>
      </c>
      <c r="C672" s="41" t="s">
        <v>85</v>
      </c>
      <c r="D672" s="41" t="s">
        <v>104</v>
      </c>
      <c r="E672" s="41" t="s">
        <v>103</v>
      </c>
      <c r="F672" s="41" t="s">
        <v>79</v>
      </c>
      <c r="G672" s="42" t="n">
        <v>56.04</v>
      </c>
      <c r="H672" s="41" t="n">
        <v>10</v>
      </c>
      <c r="I672" s="42" t="n">
        <v>28.02</v>
      </c>
      <c r="J672" s="42" t="n">
        <v>588.42</v>
      </c>
      <c r="K672" s="43" t="n">
        <v>43479</v>
      </c>
      <c r="L672" s="44" t="n">
        <v>0.8125</v>
      </c>
      <c r="M672" s="41" t="s">
        <v>98</v>
      </c>
      <c r="N672" s="42" t="n">
        <v>560.4</v>
      </c>
      <c r="O672" s="42" t="n">
        <v>28.02</v>
      </c>
      <c r="P672" s="45" t="n">
        <v>4.4</v>
      </c>
      <c r="Q672" s="41" t="str">
        <f aca="false">CHOOSE(MONTH(K672),"Jan","Feb","Mar","Apr","May","Jun","Jul","Aug","Sep","Oct","Nov","Dec")</f>
        <v>Jan</v>
      </c>
      <c r="R672" s="41" t="n">
        <f aca="false">INT((K672-setMinDate)/7)+1</f>
        <v>2</v>
      </c>
      <c r="S672" s="41" t="n">
        <f aca="false">HOUR(L672)</f>
        <v>19</v>
      </c>
      <c r="T672" s="41" t="str">
        <f aca="false">IF(S672&lt;setMorningEnd,"Morning",IF(S672&lt;setAfternoonEnd,"Afternoon","Evening"))</f>
        <v>Evening</v>
      </c>
      <c r="U672" s="41" t="str">
        <f aca="false">IF(J672&gt;=setLarge,"Large",IF(J672&gt;=setMedium,"Medium","Small"))</f>
        <v>Medium</v>
      </c>
      <c r="V672" s="41" t="str">
        <f aca="false">IF(P672&gt;=setExc,"Excellent",IF(P672&gt;=setGood,"Good",IF(P672&gt;=setAvg,"Average","Poor")))</f>
        <v>Poor</v>
      </c>
    </row>
    <row r="673" customFormat="false" ht="15" hidden="false" customHeight="false" outlineLevel="0" collapsed="false">
      <c r="A673" s="41" t="s">
        <v>851</v>
      </c>
      <c r="B673" s="41" t="s">
        <v>189</v>
      </c>
      <c r="C673" s="41" t="s">
        <v>86</v>
      </c>
      <c r="D673" s="41" t="s">
        <v>104</v>
      </c>
      <c r="E673" s="41" t="s">
        <v>103</v>
      </c>
      <c r="F673" s="41" t="s">
        <v>76</v>
      </c>
      <c r="G673" s="42" t="n">
        <v>93.4</v>
      </c>
      <c r="H673" s="41" t="n">
        <v>2</v>
      </c>
      <c r="I673" s="42" t="n">
        <v>9.34</v>
      </c>
      <c r="J673" s="42" t="n">
        <v>196.14</v>
      </c>
      <c r="K673" s="43" t="n">
        <v>43554</v>
      </c>
      <c r="L673" s="44" t="n">
        <v>0.690277777777778</v>
      </c>
      <c r="M673" s="41" t="s">
        <v>97</v>
      </c>
      <c r="N673" s="42" t="n">
        <v>186.8</v>
      </c>
      <c r="O673" s="42" t="n">
        <v>9.34</v>
      </c>
      <c r="P673" s="45" t="n">
        <v>5.5</v>
      </c>
      <c r="Q673" s="41" t="str">
        <f aca="false">CHOOSE(MONTH(K673),"Jan","Feb","Mar","Apr","May","Jun","Jul","Aug","Sep","Oct","Nov","Dec")</f>
        <v>Mar</v>
      </c>
      <c r="R673" s="41" t="n">
        <f aca="false">INT((K673-setMinDate)/7)+1</f>
        <v>13</v>
      </c>
      <c r="S673" s="41" t="n">
        <f aca="false">HOUR(L673)</f>
        <v>16</v>
      </c>
      <c r="T673" s="41" t="str">
        <f aca="false">IF(S673&lt;setMorningEnd,"Morning",IF(S673&lt;setAfternoonEnd,"Afternoon","Evening"))</f>
        <v>Afternoon</v>
      </c>
      <c r="U673" s="41" t="str">
        <f aca="false">IF(J673&gt;=setLarge,"Large",IF(J673&gt;=setMedium,"Medium","Small"))</f>
        <v>Small</v>
      </c>
      <c r="V673" s="41" t="str">
        <f aca="false">IF(P673&gt;=setExc,"Excellent",IF(P673&gt;=setGood,"Good",IF(P673&gt;=setAvg,"Average","Poor")))</f>
        <v>Average</v>
      </c>
    </row>
    <row r="674" customFormat="false" ht="15" hidden="false" customHeight="false" outlineLevel="0" collapsed="false">
      <c r="A674" s="41" t="s">
        <v>852</v>
      </c>
      <c r="B674" s="41" t="s">
        <v>189</v>
      </c>
      <c r="C674" s="41" t="s">
        <v>86</v>
      </c>
      <c r="D674" s="41" t="s">
        <v>105</v>
      </c>
      <c r="E674" s="41" t="s">
        <v>102</v>
      </c>
      <c r="F674" s="41" t="s">
        <v>81</v>
      </c>
      <c r="G674" s="42" t="n">
        <v>73.41</v>
      </c>
      <c r="H674" s="41" t="n">
        <v>3</v>
      </c>
      <c r="I674" s="42" t="n">
        <v>11.0115</v>
      </c>
      <c r="J674" s="42" t="n">
        <v>231.2415</v>
      </c>
      <c r="K674" s="43" t="n">
        <v>43526</v>
      </c>
      <c r="L674" s="44" t="n">
        <v>0.548611111111111</v>
      </c>
      <c r="M674" s="41" t="s">
        <v>98</v>
      </c>
      <c r="N674" s="42" t="n">
        <v>220.23</v>
      </c>
      <c r="O674" s="42" t="n">
        <v>11.0115</v>
      </c>
      <c r="P674" s="45" t="n">
        <v>4</v>
      </c>
      <c r="Q674" s="41" t="str">
        <f aca="false">CHOOSE(MONTH(K674),"Jan","Feb","Mar","Apr","May","Jun","Jul","Aug","Sep","Oct","Nov","Dec")</f>
        <v>Mar</v>
      </c>
      <c r="R674" s="41" t="n">
        <f aca="false">INT((K674-setMinDate)/7)+1</f>
        <v>9</v>
      </c>
      <c r="S674" s="41" t="n">
        <f aca="false">HOUR(L674)</f>
        <v>13</v>
      </c>
      <c r="T674" s="41" t="str">
        <f aca="false">IF(S674&lt;setMorningEnd,"Morning",IF(S674&lt;setAfternoonEnd,"Afternoon","Evening"))</f>
        <v>Afternoon</v>
      </c>
      <c r="U674" s="41" t="str">
        <f aca="false">IF(J674&gt;=setLarge,"Large",IF(J674&gt;=setMedium,"Medium","Small"))</f>
        <v>Small</v>
      </c>
      <c r="V674" s="41" t="str">
        <f aca="false">IF(P674&gt;=setExc,"Excellent",IF(P674&gt;=setGood,"Good",IF(P674&gt;=setAvg,"Average","Poor")))</f>
        <v>Poor</v>
      </c>
    </row>
    <row r="675" customFormat="false" ht="15" hidden="false" customHeight="false" outlineLevel="0" collapsed="false">
      <c r="A675" s="41" t="s">
        <v>853</v>
      </c>
      <c r="B675" s="41" t="s">
        <v>180</v>
      </c>
      <c r="C675" s="41" t="s">
        <v>87</v>
      </c>
      <c r="D675" s="41" t="s">
        <v>105</v>
      </c>
      <c r="E675" s="41" t="s">
        <v>103</v>
      </c>
      <c r="F675" s="41" t="s">
        <v>81</v>
      </c>
      <c r="G675" s="42" t="n">
        <v>33.64</v>
      </c>
      <c r="H675" s="41" t="n">
        <v>8</v>
      </c>
      <c r="I675" s="42" t="n">
        <v>13.456</v>
      </c>
      <c r="J675" s="42" t="n">
        <v>282.576</v>
      </c>
      <c r="K675" s="43" t="n">
        <v>43511</v>
      </c>
      <c r="L675" s="44" t="n">
        <v>0.715277777777778</v>
      </c>
      <c r="M675" s="41" t="s">
        <v>99</v>
      </c>
      <c r="N675" s="42" t="n">
        <v>269.12</v>
      </c>
      <c r="O675" s="42" t="n">
        <v>13.456</v>
      </c>
      <c r="P675" s="45" t="n">
        <v>9.3</v>
      </c>
      <c r="Q675" s="41" t="str">
        <f aca="false">CHOOSE(MONTH(K675),"Jan","Feb","Mar","Apr","May","Jun","Jul","Aug","Sep","Oct","Nov","Dec")</f>
        <v>Feb</v>
      </c>
      <c r="R675" s="41" t="n">
        <f aca="false">INT((K675-setMinDate)/7)+1</f>
        <v>7</v>
      </c>
      <c r="S675" s="41" t="n">
        <f aca="false">HOUR(L675)</f>
        <v>17</v>
      </c>
      <c r="T675" s="41" t="str">
        <f aca="false">IF(S675&lt;setMorningEnd,"Morning",IF(S675&lt;setAfternoonEnd,"Afternoon","Evening"))</f>
        <v>Evening</v>
      </c>
      <c r="U675" s="41" t="str">
        <f aca="false">IF(J675&gt;=setLarge,"Large",IF(J675&gt;=setMedium,"Medium","Small"))</f>
        <v>Medium</v>
      </c>
      <c r="V675" s="41" t="str">
        <f aca="false">IF(P675&gt;=setExc,"Excellent",IF(P675&gt;=setGood,"Good",IF(P675&gt;=setAvg,"Average","Poor")))</f>
        <v>Excellent</v>
      </c>
    </row>
    <row r="676" customFormat="false" ht="15" hidden="false" customHeight="false" outlineLevel="0" collapsed="false">
      <c r="A676" s="41" t="s">
        <v>854</v>
      </c>
      <c r="B676" s="41" t="s">
        <v>178</v>
      </c>
      <c r="C676" s="41" t="s">
        <v>85</v>
      </c>
      <c r="D676" s="41" t="s">
        <v>105</v>
      </c>
      <c r="E676" s="41" t="s">
        <v>102</v>
      </c>
      <c r="F676" s="41" t="s">
        <v>78</v>
      </c>
      <c r="G676" s="42" t="n">
        <v>45.48</v>
      </c>
      <c r="H676" s="41" t="n">
        <v>10</v>
      </c>
      <c r="I676" s="42" t="n">
        <v>22.74</v>
      </c>
      <c r="J676" s="42" t="n">
        <v>477.54</v>
      </c>
      <c r="K676" s="43" t="n">
        <v>43525</v>
      </c>
      <c r="L676" s="44" t="n">
        <v>0.431944444444445</v>
      </c>
      <c r="M676" s="41" t="s">
        <v>99</v>
      </c>
      <c r="N676" s="42" t="n">
        <v>454.8</v>
      </c>
      <c r="O676" s="42" t="n">
        <v>22.74</v>
      </c>
      <c r="P676" s="45" t="n">
        <v>4.8</v>
      </c>
      <c r="Q676" s="41" t="str">
        <f aca="false">CHOOSE(MONTH(K676),"Jan","Feb","Mar","Apr","May","Jun","Jul","Aug","Sep","Oct","Nov","Dec")</f>
        <v>Mar</v>
      </c>
      <c r="R676" s="41" t="n">
        <f aca="false">INT((K676-setMinDate)/7)+1</f>
        <v>9</v>
      </c>
      <c r="S676" s="41" t="n">
        <f aca="false">HOUR(L676)</f>
        <v>10</v>
      </c>
      <c r="T676" s="41" t="str">
        <f aca="false">IF(S676&lt;setMorningEnd,"Morning",IF(S676&lt;setAfternoonEnd,"Afternoon","Evening"))</f>
        <v>Morning</v>
      </c>
      <c r="U676" s="41" t="str">
        <f aca="false">IF(J676&gt;=setLarge,"Large",IF(J676&gt;=setMedium,"Medium","Small"))</f>
        <v>Medium</v>
      </c>
      <c r="V676" s="41" t="str">
        <f aca="false">IF(P676&gt;=setExc,"Excellent",IF(P676&gt;=setGood,"Good",IF(P676&gt;=setAvg,"Average","Poor")))</f>
        <v>Poor</v>
      </c>
    </row>
    <row r="677" customFormat="false" ht="15" hidden="false" customHeight="false" outlineLevel="0" collapsed="false">
      <c r="A677" s="41" t="s">
        <v>855</v>
      </c>
      <c r="B677" s="41" t="s">
        <v>189</v>
      </c>
      <c r="C677" s="41" t="s">
        <v>86</v>
      </c>
      <c r="D677" s="41" t="s">
        <v>104</v>
      </c>
      <c r="E677" s="41" t="s">
        <v>103</v>
      </c>
      <c r="F677" s="41" t="s">
        <v>79</v>
      </c>
      <c r="G677" s="42" t="n">
        <v>83.77</v>
      </c>
      <c r="H677" s="41" t="n">
        <v>2</v>
      </c>
      <c r="I677" s="42" t="n">
        <v>8.377</v>
      </c>
      <c r="J677" s="42" t="n">
        <v>175.917</v>
      </c>
      <c r="K677" s="43" t="n">
        <v>43520</v>
      </c>
      <c r="L677" s="44" t="n">
        <v>0.83125</v>
      </c>
      <c r="M677" s="41" t="s">
        <v>97</v>
      </c>
      <c r="N677" s="42" t="n">
        <v>167.54</v>
      </c>
      <c r="O677" s="42" t="n">
        <v>8.377</v>
      </c>
      <c r="P677" s="45" t="n">
        <v>4.6</v>
      </c>
      <c r="Q677" s="41" t="str">
        <f aca="false">CHOOSE(MONTH(K677),"Jan","Feb","Mar","Apr","May","Jun","Jul","Aug","Sep","Oct","Nov","Dec")</f>
        <v>Feb</v>
      </c>
      <c r="R677" s="41" t="n">
        <f aca="false">INT((K677-setMinDate)/7)+1</f>
        <v>8</v>
      </c>
      <c r="S677" s="41" t="n">
        <f aca="false">HOUR(L677)</f>
        <v>19</v>
      </c>
      <c r="T677" s="41" t="str">
        <f aca="false">IF(S677&lt;setMorningEnd,"Morning",IF(S677&lt;setAfternoonEnd,"Afternoon","Evening"))</f>
        <v>Evening</v>
      </c>
      <c r="U677" s="41" t="str">
        <f aca="false">IF(J677&gt;=setLarge,"Large",IF(J677&gt;=setMedium,"Medium","Small"))</f>
        <v>Small</v>
      </c>
      <c r="V677" s="41" t="str">
        <f aca="false">IF(P677&gt;=setExc,"Excellent",IF(P677&gt;=setGood,"Good",IF(P677&gt;=setAvg,"Average","Poor")))</f>
        <v>Poor</v>
      </c>
    </row>
    <row r="678" customFormat="false" ht="15" hidden="false" customHeight="false" outlineLevel="0" collapsed="false">
      <c r="A678" s="41" t="s">
        <v>856</v>
      </c>
      <c r="B678" s="41" t="s">
        <v>189</v>
      </c>
      <c r="C678" s="41" t="s">
        <v>86</v>
      </c>
      <c r="D678" s="41" t="s">
        <v>104</v>
      </c>
      <c r="E678" s="41" t="s">
        <v>102</v>
      </c>
      <c r="F678" s="41" t="s">
        <v>77</v>
      </c>
      <c r="G678" s="42" t="n">
        <v>64.08</v>
      </c>
      <c r="H678" s="41" t="n">
        <v>7</v>
      </c>
      <c r="I678" s="42" t="n">
        <v>22.428</v>
      </c>
      <c r="J678" s="42" t="n">
        <v>470.988</v>
      </c>
      <c r="K678" s="43" t="n">
        <v>43515</v>
      </c>
      <c r="L678" s="44" t="n">
        <v>0.811805555555556</v>
      </c>
      <c r="M678" s="41" t="s">
        <v>99</v>
      </c>
      <c r="N678" s="42" t="n">
        <v>448.56</v>
      </c>
      <c r="O678" s="42" t="n">
        <v>22.428</v>
      </c>
      <c r="P678" s="45" t="n">
        <v>7.3</v>
      </c>
      <c r="Q678" s="41" t="str">
        <f aca="false">CHOOSE(MONTH(K678),"Jan","Feb","Mar","Apr","May","Jun","Jul","Aug","Sep","Oct","Nov","Dec")</f>
        <v>Feb</v>
      </c>
      <c r="R678" s="41" t="n">
        <f aca="false">INT((K678-setMinDate)/7)+1</f>
        <v>8</v>
      </c>
      <c r="S678" s="41" t="n">
        <f aca="false">HOUR(L678)</f>
        <v>19</v>
      </c>
      <c r="T678" s="41" t="str">
        <f aca="false">IF(S678&lt;setMorningEnd,"Morning",IF(S678&lt;setAfternoonEnd,"Afternoon","Evening"))</f>
        <v>Evening</v>
      </c>
      <c r="U678" s="41" t="str">
        <f aca="false">IF(J678&gt;=setLarge,"Large",IF(J678&gt;=setMedium,"Medium","Small"))</f>
        <v>Medium</v>
      </c>
      <c r="V678" s="41" t="str">
        <f aca="false">IF(P678&gt;=setExc,"Excellent",IF(P678&gt;=setGood,"Good",IF(P678&gt;=setAvg,"Average","Poor")))</f>
        <v>Good</v>
      </c>
    </row>
    <row r="679" customFormat="false" ht="15" hidden="false" customHeight="false" outlineLevel="0" collapsed="false">
      <c r="A679" s="41" t="s">
        <v>857</v>
      </c>
      <c r="B679" s="41" t="s">
        <v>178</v>
      </c>
      <c r="C679" s="41" t="s">
        <v>85</v>
      </c>
      <c r="D679" s="41" t="s">
        <v>104</v>
      </c>
      <c r="E679" s="41" t="s">
        <v>102</v>
      </c>
      <c r="F679" s="41" t="s">
        <v>76</v>
      </c>
      <c r="G679" s="42" t="n">
        <v>73.47</v>
      </c>
      <c r="H679" s="41" t="n">
        <v>4</v>
      </c>
      <c r="I679" s="42" t="n">
        <v>14.694</v>
      </c>
      <c r="J679" s="42" t="n">
        <v>308.574</v>
      </c>
      <c r="K679" s="43" t="n">
        <v>43519</v>
      </c>
      <c r="L679" s="44" t="n">
        <v>0.770833333333333</v>
      </c>
      <c r="M679" s="41" t="s">
        <v>97</v>
      </c>
      <c r="N679" s="42" t="n">
        <v>293.88</v>
      </c>
      <c r="O679" s="42" t="n">
        <v>14.694</v>
      </c>
      <c r="P679" s="45" t="n">
        <v>6</v>
      </c>
      <c r="Q679" s="41" t="str">
        <f aca="false">CHOOSE(MONTH(K679),"Jan","Feb","Mar","Apr","May","Jun","Jul","Aug","Sep","Oct","Nov","Dec")</f>
        <v>Feb</v>
      </c>
      <c r="R679" s="41" t="n">
        <f aca="false">INT((K679-setMinDate)/7)+1</f>
        <v>8</v>
      </c>
      <c r="S679" s="41" t="n">
        <f aca="false">HOUR(L679)</f>
        <v>18</v>
      </c>
      <c r="T679" s="41" t="str">
        <f aca="false">IF(S679&lt;setMorningEnd,"Morning",IF(S679&lt;setAfternoonEnd,"Afternoon","Evening"))</f>
        <v>Evening</v>
      </c>
      <c r="U679" s="41" t="str">
        <f aca="false">IF(J679&gt;=setLarge,"Large",IF(J679&gt;=setMedium,"Medium","Small"))</f>
        <v>Medium</v>
      </c>
      <c r="V679" s="41" t="str">
        <f aca="false">IF(P679&gt;=setExc,"Excellent",IF(P679&gt;=setGood,"Good",IF(P679&gt;=setAvg,"Average","Poor")))</f>
        <v>Average</v>
      </c>
    </row>
    <row r="680" customFormat="false" ht="15" hidden="false" customHeight="false" outlineLevel="0" collapsed="false">
      <c r="A680" s="41" t="s">
        <v>858</v>
      </c>
      <c r="B680" s="41" t="s">
        <v>180</v>
      </c>
      <c r="C680" s="41" t="s">
        <v>87</v>
      </c>
      <c r="D680" s="41" t="s">
        <v>105</v>
      </c>
      <c r="E680" s="41" t="s">
        <v>103</v>
      </c>
      <c r="F680" s="41" t="s">
        <v>81</v>
      </c>
      <c r="G680" s="42" t="n">
        <v>58.95</v>
      </c>
      <c r="H680" s="41" t="n">
        <v>10</v>
      </c>
      <c r="I680" s="42" t="n">
        <v>29.475</v>
      </c>
      <c r="J680" s="42" t="n">
        <v>618.975</v>
      </c>
      <c r="K680" s="43" t="n">
        <v>43503</v>
      </c>
      <c r="L680" s="44" t="n">
        <v>0.602083333333333</v>
      </c>
      <c r="M680" s="41" t="s">
        <v>98</v>
      </c>
      <c r="N680" s="42" t="n">
        <v>589.5</v>
      </c>
      <c r="O680" s="42" t="n">
        <v>29.475</v>
      </c>
      <c r="P680" s="45" t="n">
        <v>8.1</v>
      </c>
      <c r="Q680" s="41" t="str">
        <f aca="false">CHOOSE(MONTH(K680),"Jan","Feb","Mar","Apr","May","Jun","Jul","Aug","Sep","Oct","Nov","Dec")</f>
        <v>Feb</v>
      </c>
      <c r="R680" s="41" t="n">
        <f aca="false">INT((K680-setMinDate)/7)+1</f>
        <v>6</v>
      </c>
      <c r="S680" s="41" t="n">
        <f aca="false">HOUR(L680)</f>
        <v>14</v>
      </c>
      <c r="T680" s="41" t="str">
        <f aca="false">IF(S680&lt;setMorningEnd,"Morning",IF(S680&lt;setAfternoonEnd,"Afternoon","Evening"))</f>
        <v>Afternoon</v>
      </c>
      <c r="U680" s="41" t="str">
        <f aca="false">IF(J680&gt;=setLarge,"Large",IF(J680&gt;=setMedium,"Medium","Small"))</f>
        <v>Large</v>
      </c>
      <c r="V680" s="41" t="str">
        <f aca="false">IF(P680&gt;=setExc,"Excellent",IF(P680&gt;=setGood,"Good",IF(P680&gt;=setAvg,"Average","Poor")))</f>
        <v>Good</v>
      </c>
    </row>
    <row r="681" customFormat="false" ht="15" hidden="false" customHeight="false" outlineLevel="0" collapsed="false">
      <c r="A681" s="41" t="s">
        <v>859</v>
      </c>
      <c r="B681" s="41" t="s">
        <v>178</v>
      </c>
      <c r="C681" s="41" t="s">
        <v>85</v>
      </c>
      <c r="D681" s="41" t="s">
        <v>104</v>
      </c>
      <c r="E681" s="41" t="s">
        <v>103</v>
      </c>
      <c r="F681" s="41" t="s">
        <v>76</v>
      </c>
      <c r="G681" s="42" t="n">
        <v>48.5</v>
      </c>
      <c r="H681" s="41" t="n">
        <v>6</v>
      </c>
      <c r="I681" s="42" t="n">
        <v>14.55</v>
      </c>
      <c r="J681" s="42" t="n">
        <v>305.55</v>
      </c>
      <c r="K681" s="43" t="n">
        <v>43476</v>
      </c>
      <c r="L681" s="44" t="n">
        <v>0.58125</v>
      </c>
      <c r="M681" s="41" t="s">
        <v>98</v>
      </c>
      <c r="N681" s="42" t="n">
        <v>291</v>
      </c>
      <c r="O681" s="42" t="n">
        <v>14.55</v>
      </c>
      <c r="P681" s="45" t="n">
        <v>9.4</v>
      </c>
      <c r="Q681" s="41" t="str">
        <f aca="false">CHOOSE(MONTH(K681),"Jan","Feb","Mar","Apr","May","Jun","Jul","Aug","Sep","Oct","Nov","Dec")</f>
        <v>Jan</v>
      </c>
      <c r="R681" s="41" t="n">
        <f aca="false">INT((K681-setMinDate)/7)+1</f>
        <v>2</v>
      </c>
      <c r="S681" s="41" t="n">
        <f aca="false">HOUR(L681)</f>
        <v>13</v>
      </c>
      <c r="T681" s="41" t="str">
        <f aca="false">IF(S681&lt;setMorningEnd,"Morning",IF(S681&lt;setAfternoonEnd,"Afternoon","Evening"))</f>
        <v>Afternoon</v>
      </c>
      <c r="U681" s="41" t="str">
        <f aca="false">IF(J681&gt;=setLarge,"Large",IF(J681&gt;=setMedium,"Medium","Small"))</f>
        <v>Medium</v>
      </c>
      <c r="V681" s="41" t="str">
        <f aca="false">IF(P681&gt;=setExc,"Excellent",IF(P681&gt;=setGood,"Good",IF(P681&gt;=setAvg,"Average","Poor")))</f>
        <v>Excellent</v>
      </c>
    </row>
    <row r="682" customFormat="false" ht="15" hidden="false" customHeight="false" outlineLevel="0" collapsed="false">
      <c r="A682" s="41" t="s">
        <v>860</v>
      </c>
      <c r="B682" s="41" t="s">
        <v>189</v>
      </c>
      <c r="C682" s="41" t="s">
        <v>86</v>
      </c>
      <c r="D682" s="41" t="s">
        <v>104</v>
      </c>
      <c r="E682" s="41" t="s">
        <v>102</v>
      </c>
      <c r="F682" s="41" t="s">
        <v>78</v>
      </c>
      <c r="G682" s="42" t="n">
        <v>39.48</v>
      </c>
      <c r="H682" s="41" t="n">
        <v>1</v>
      </c>
      <c r="I682" s="42" t="n">
        <v>1.974</v>
      </c>
      <c r="J682" s="42" t="n">
        <v>41.454</v>
      </c>
      <c r="K682" s="43" t="n">
        <v>43508</v>
      </c>
      <c r="L682" s="44" t="n">
        <v>0.821527777777778</v>
      </c>
      <c r="M682" s="41" t="s">
        <v>97</v>
      </c>
      <c r="N682" s="42" t="n">
        <v>39.48</v>
      </c>
      <c r="O682" s="42" t="n">
        <v>1.974</v>
      </c>
      <c r="P682" s="45" t="n">
        <v>6.5</v>
      </c>
      <c r="Q682" s="41" t="str">
        <f aca="false">CHOOSE(MONTH(K682),"Jan","Feb","Mar","Apr","May","Jun","Jul","Aug","Sep","Oct","Nov","Dec")</f>
        <v>Feb</v>
      </c>
      <c r="R682" s="41" t="n">
        <f aca="false">INT((K682-setMinDate)/7)+1</f>
        <v>7</v>
      </c>
      <c r="S682" s="41" t="n">
        <f aca="false">HOUR(L682)</f>
        <v>19</v>
      </c>
      <c r="T682" s="41" t="str">
        <f aca="false">IF(S682&lt;setMorningEnd,"Morning",IF(S682&lt;setAfternoonEnd,"Afternoon","Evening"))</f>
        <v>Evening</v>
      </c>
      <c r="U682" s="41" t="str">
        <f aca="false">IF(J682&gt;=setLarge,"Large",IF(J682&gt;=setMedium,"Medium","Small"))</f>
        <v>Small</v>
      </c>
      <c r="V682" s="41" t="str">
        <f aca="false">IF(P682&gt;=setExc,"Excellent",IF(P682&gt;=setGood,"Good",IF(P682&gt;=setAvg,"Average","Poor")))</f>
        <v>Average</v>
      </c>
    </row>
    <row r="683" customFormat="false" ht="15" hidden="false" customHeight="false" outlineLevel="0" collapsed="false">
      <c r="A683" s="41" t="s">
        <v>861</v>
      </c>
      <c r="B683" s="41" t="s">
        <v>189</v>
      </c>
      <c r="C683" s="41" t="s">
        <v>86</v>
      </c>
      <c r="D683" s="41" t="s">
        <v>105</v>
      </c>
      <c r="E683" s="41" t="s">
        <v>102</v>
      </c>
      <c r="F683" s="41" t="s">
        <v>77</v>
      </c>
      <c r="G683" s="42" t="n">
        <v>34.81</v>
      </c>
      <c r="H683" s="41" t="n">
        <v>1</v>
      </c>
      <c r="I683" s="42" t="n">
        <v>1.7405</v>
      </c>
      <c r="J683" s="42" t="n">
        <v>36.5505</v>
      </c>
      <c r="K683" s="43" t="n">
        <v>43479</v>
      </c>
      <c r="L683" s="44" t="n">
        <v>0.424305555555556</v>
      </c>
      <c r="M683" s="41" t="s">
        <v>99</v>
      </c>
      <c r="N683" s="42" t="n">
        <v>34.81</v>
      </c>
      <c r="O683" s="42" t="n">
        <v>1.7405</v>
      </c>
      <c r="P683" s="45" t="n">
        <v>7</v>
      </c>
      <c r="Q683" s="41" t="str">
        <f aca="false">CHOOSE(MONTH(K683),"Jan","Feb","Mar","Apr","May","Jun","Jul","Aug","Sep","Oct","Nov","Dec")</f>
        <v>Jan</v>
      </c>
      <c r="R683" s="41" t="n">
        <f aca="false">INT((K683-setMinDate)/7)+1</f>
        <v>2</v>
      </c>
      <c r="S683" s="41" t="n">
        <f aca="false">HOUR(L683)</f>
        <v>10</v>
      </c>
      <c r="T683" s="41" t="str">
        <f aca="false">IF(S683&lt;setMorningEnd,"Morning",IF(S683&lt;setAfternoonEnd,"Afternoon","Evening"))</f>
        <v>Morning</v>
      </c>
      <c r="U683" s="41" t="str">
        <f aca="false">IF(J683&gt;=setLarge,"Large",IF(J683&gt;=setMedium,"Medium","Small"))</f>
        <v>Small</v>
      </c>
      <c r="V683" s="41" t="str">
        <f aca="false">IF(P683&gt;=setExc,"Excellent",IF(P683&gt;=setGood,"Good",IF(P683&gt;=setAvg,"Average","Poor")))</f>
        <v>Good</v>
      </c>
    </row>
    <row r="684" customFormat="false" ht="15" hidden="false" customHeight="false" outlineLevel="0" collapsed="false">
      <c r="A684" s="41" t="s">
        <v>862</v>
      </c>
      <c r="B684" s="41" t="s">
        <v>180</v>
      </c>
      <c r="C684" s="41" t="s">
        <v>87</v>
      </c>
      <c r="D684" s="41" t="s">
        <v>105</v>
      </c>
      <c r="E684" s="41" t="s">
        <v>102</v>
      </c>
      <c r="F684" s="41" t="s">
        <v>79</v>
      </c>
      <c r="G684" s="42" t="n">
        <v>49.32</v>
      </c>
      <c r="H684" s="41" t="n">
        <v>6</v>
      </c>
      <c r="I684" s="42" t="n">
        <v>14.796</v>
      </c>
      <c r="J684" s="42" t="n">
        <v>310.716</v>
      </c>
      <c r="K684" s="43" t="n">
        <v>43474</v>
      </c>
      <c r="L684" s="44" t="n">
        <v>0.573611111111111</v>
      </c>
      <c r="M684" s="41" t="s">
        <v>98</v>
      </c>
      <c r="N684" s="42" t="n">
        <v>295.92</v>
      </c>
      <c r="O684" s="42" t="n">
        <v>14.796</v>
      </c>
      <c r="P684" s="45" t="n">
        <v>7.1</v>
      </c>
      <c r="Q684" s="41" t="str">
        <f aca="false">CHOOSE(MONTH(K684),"Jan","Feb","Mar","Apr","May","Jun","Jul","Aug","Sep","Oct","Nov","Dec")</f>
        <v>Jan</v>
      </c>
      <c r="R684" s="41" t="n">
        <f aca="false">INT((K684-setMinDate)/7)+1</f>
        <v>2</v>
      </c>
      <c r="S684" s="41" t="n">
        <f aca="false">HOUR(L684)</f>
        <v>13</v>
      </c>
      <c r="T684" s="41" t="str">
        <f aca="false">IF(S684&lt;setMorningEnd,"Morning",IF(S684&lt;setAfternoonEnd,"Afternoon","Evening"))</f>
        <v>Afternoon</v>
      </c>
      <c r="U684" s="41" t="str">
        <f aca="false">IF(J684&gt;=setLarge,"Large",IF(J684&gt;=setMedium,"Medium","Small"))</f>
        <v>Medium</v>
      </c>
      <c r="V684" s="41" t="str">
        <f aca="false">IF(P684&gt;=setExc,"Excellent",IF(P684&gt;=setGood,"Good",IF(P684&gt;=setAvg,"Average","Poor")))</f>
        <v>Good</v>
      </c>
    </row>
    <row r="685" customFormat="false" ht="15" hidden="false" customHeight="false" outlineLevel="0" collapsed="false">
      <c r="A685" s="41" t="s">
        <v>863</v>
      </c>
      <c r="B685" s="41" t="s">
        <v>178</v>
      </c>
      <c r="C685" s="41" t="s">
        <v>85</v>
      </c>
      <c r="D685" s="41" t="s">
        <v>104</v>
      </c>
      <c r="E685" s="41" t="s">
        <v>103</v>
      </c>
      <c r="F685" s="41" t="s">
        <v>79</v>
      </c>
      <c r="G685" s="42" t="n">
        <v>21.48</v>
      </c>
      <c r="H685" s="41" t="n">
        <v>2</v>
      </c>
      <c r="I685" s="42" t="n">
        <v>2.148</v>
      </c>
      <c r="J685" s="42" t="n">
        <v>45.108</v>
      </c>
      <c r="K685" s="43" t="n">
        <v>43523</v>
      </c>
      <c r="L685" s="44" t="n">
        <v>0.515277777777778</v>
      </c>
      <c r="M685" s="41" t="s">
        <v>98</v>
      </c>
      <c r="N685" s="42" t="n">
        <v>42.96</v>
      </c>
      <c r="O685" s="42" t="n">
        <v>2.148</v>
      </c>
      <c r="P685" s="45" t="n">
        <v>6.6</v>
      </c>
      <c r="Q685" s="41" t="str">
        <f aca="false">CHOOSE(MONTH(K685),"Jan","Feb","Mar","Apr","May","Jun","Jul","Aug","Sep","Oct","Nov","Dec")</f>
        <v>Feb</v>
      </c>
      <c r="R685" s="41" t="n">
        <f aca="false">INT((K685-setMinDate)/7)+1</f>
        <v>9</v>
      </c>
      <c r="S685" s="41" t="n">
        <f aca="false">HOUR(L685)</f>
        <v>12</v>
      </c>
      <c r="T685" s="41" t="str">
        <f aca="false">IF(S685&lt;setMorningEnd,"Morning",IF(S685&lt;setAfternoonEnd,"Afternoon","Evening"))</f>
        <v>Afternoon</v>
      </c>
      <c r="U685" s="41" t="str">
        <f aca="false">IF(J685&gt;=setLarge,"Large",IF(J685&gt;=setMedium,"Medium","Small"))</f>
        <v>Small</v>
      </c>
      <c r="V685" s="41" t="str">
        <f aca="false">IF(P685&gt;=setExc,"Excellent",IF(P685&gt;=setGood,"Good",IF(P685&gt;=setAvg,"Average","Poor")))</f>
        <v>Average</v>
      </c>
    </row>
    <row r="686" customFormat="false" ht="15" hidden="false" customHeight="false" outlineLevel="0" collapsed="false">
      <c r="A686" s="41" t="s">
        <v>864</v>
      </c>
      <c r="B686" s="41" t="s">
        <v>189</v>
      </c>
      <c r="C686" s="41" t="s">
        <v>86</v>
      </c>
      <c r="D686" s="41" t="s">
        <v>104</v>
      </c>
      <c r="E686" s="41" t="s">
        <v>102</v>
      </c>
      <c r="F686" s="41" t="s">
        <v>77</v>
      </c>
      <c r="G686" s="42" t="n">
        <v>23.08</v>
      </c>
      <c r="H686" s="41" t="n">
        <v>6</v>
      </c>
      <c r="I686" s="42" t="n">
        <v>6.924</v>
      </c>
      <c r="J686" s="42" t="n">
        <v>145.404</v>
      </c>
      <c r="K686" s="43" t="n">
        <v>43489</v>
      </c>
      <c r="L686" s="44" t="n">
        <v>0.805555555555556</v>
      </c>
      <c r="M686" s="41" t="s">
        <v>98</v>
      </c>
      <c r="N686" s="42" t="n">
        <v>138.48</v>
      </c>
      <c r="O686" s="42" t="n">
        <v>6.924</v>
      </c>
      <c r="P686" s="45" t="n">
        <v>4.9</v>
      </c>
      <c r="Q686" s="41" t="str">
        <f aca="false">CHOOSE(MONTH(K686),"Jan","Feb","Mar","Apr","May","Jun","Jul","Aug","Sep","Oct","Nov","Dec")</f>
        <v>Jan</v>
      </c>
      <c r="R686" s="41" t="n">
        <f aca="false">INT((K686-setMinDate)/7)+1</f>
        <v>4</v>
      </c>
      <c r="S686" s="41" t="n">
        <f aca="false">HOUR(L686)</f>
        <v>19</v>
      </c>
      <c r="T686" s="41" t="str">
        <f aca="false">IF(S686&lt;setMorningEnd,"Morning",IF(S686&lt;setAfternoonEnd,"Afternoon","Evening"))</f>
        <v>Evening</v>
      </c>
      <c r="U686" s="41" t="str">
        <f aca="false">IF(J686&gt;=setLarge,"Large",IF(J686&gt;=setMedium,"Medium","Small"))</f>
        <v>Small</v>
      </c>
      <c r="V686" s="41" t="str">
        <f aca="false">IF(P686&gt;=setExc,"Excellent",IF(P686&gt;=setGood,"Good",IF(P686&gt;=setAvg,"Average","Poor")))</f>
        <v>Poor</v>
      </c>
    </row>
    <row r="687" customFormat="false" ht="15" hidden="false" customHeight="false" outlineLevel="0" collapsed="false">
      <c r="A687" s="41" t="s">
        <v>865</v>
      </c>
      <c r="B687" s="41" t="s">
        <v>189</v>
      </c>
      <c r="C687" s="41" t="s">
        <v>86</v>
      </c>
      <c r="D687" s="41" t="s">
        <v>104</v>
      </c>
      <c r="E687" s="41" t="s">
        <v>102</v>
      </c>
      <c r="F687" s="41" t="s">
        <v>80</v>
      </c>
      <c r="G687" s="42" t="n">
        <v>49.1</v>
      </c>
      <c r="H687" s="41" t="n">
        <v>2</v>
      </c>
      <c r="I687" s="42" t="n">
        <v>4.91</v>
      </c>
      <c r="J687" s="42" t="n">
        <v>103.11</v>
      </c>
      <c r="K687" s="43" t="n">
        <v>43473</v>
      </c>
      <c r="L687" s="44" t="n">
        <v>0.540277777777778</v>
      </c>
      <c r="M687" s="41" t="s">
        <v>99</v>
      </c>
      <c r="N687" s="42" t="n">
        <v>98.2</v>
      </c>
      <c r="O687" s="42" t="n">
        <v>4.91</v>
      </c>
      <c r="P687" s="45" t="n">
        <v>6.4</v>
      </c>
      <c r="Q687" s="41" t="str">
        <f aca="false">CHOOSE(MONTH(K687),"Jan","Feb","Mar","Apr","May","Jun","Jul","Aug","Sep","Oct","Nov","Dec")</f>
        <v>Jan</v>
      </c>
      <c r="R687" s="41" t="n">
        <f aca="false">INT((K687-setMinDate)/7)+1</f>
        <v>2</v>
      </c>
      <c r="S687" s="41" t="n">
        <f aca="false">HOUR(L687)</f>
        <v>12</v>
      </c>
      <c r="T687" s="41" t="str">
        <f aca="false">IF(S687&lt;setMorningEnd,"Morning",IF(S687&lt;setAfternoonEnd,"Afternoon","Evening"))</f>
        <v>Afternoon</v>
      </c>
      <c r="U687" s="41" t="str">
        <f aca="false">IF(J687&gt;=setLarge,"Large",IF(J687&gt;=setMedium,"Medium","Small"))</f>
        <v>Small</v>
      </c>
      <c r="V687" s="41" t="str">
        <f aca="false">IF(P687&gt;=setExc,"Excellent",IF(P687&gt;=setGood,"Good",IF(P687&gt;=setAvg,"Average","Poor")))</f>
        <v>Average</v>
      </c>
    </row>
    <row r="688" customFormat="false" ht="15" hidden="false" customHeight="false" outlineLevel="0" collapsed="false">
      <c r="A688" s="41" t="s">
        <v>866</v>
      </c>
      <c r="B688" s="41" t="s">
        <v>189</v>
      </c>
      <c r="C688" s="41" t="s">
        <v>86</v>
      </c>
      <c r="D688" s="41" t="s">
        <v>104</v>
      </c>
      <c r="E688" s="41" t="s">
        <v>102</v>
      </c>
      <c r="F688" s="41" t="s">
        <v>77</v>
      </c>
      <c r="G688" s="42" t="n">
        <v>64.83</v>
      </c>
      <c r="H688" s="41" t="n">
        <v>2</v>
      </c>
      <c r="I688" s="42" t="n">
        <v>6.483</v>
      </c>
      <c r="J688" s="42" t="n">
        <v>136.143</v>
      </c>
      <c r="K688" s="43" t="n">
        <v>43473</v>
      </c>
      <c r="L688" s="44" t="n">
        <v>0.499305555555556</v>
      </c>
      <c r="M688" s="41" t="s">
        <v>99</v>
      </c>
      <c r="N688" s="42" t="n">
        <v>129.66</v>
      </c>
      <c r="O688" s="42" t="n">
        <v>6.483</v>
      </c>
      <c r="P688" s="45" t="n">
        <v>8</v>
      </c>
      <c r="Q688" s="41" t="str">
        <f aca="false">CHOOSE(MONTH(K688),"Jan","Feb","Mar","Apr","May","Jun","Jul","Aug","Sep","Oct","Nov","Dec")</f>
        <v>Jan</v>
      </c>
      <c r="R688" s="41" t="n">
        <f aca="false">INT((K688-setMinDate)/7)+1</f>
        <v>2</v>
      </c>
      <c r="S688" s="41" t="n">
        <f aca="false">HOUR(L688)</f>
        <v>11</v>
      </c>
      <c r="T688" s="41" t="str">
        <f aca="false">IF(S688&lt;setMorningEnd,"Morning",IF(S688&lt;setAfternoonEnd,"Afternoon","Evening"))</f>
        <v>Morning</v>
      </c>
      <c r="U688" s="41" t="str">
        <f aca="false">IF(J688&gt;=setLarge,"Large",IF(J688&gt;=setMedium,"Medium","Small"))</f>
        <v>Small</v>
      </c>
      <c r="V688" s="41" t="str">
        <f aca="false">IF(P688&gt;=setExc,"Excellent",IF(P688&gt;=setGood,"Good",IF(P688&gt;=setAvg,"Average","Poor")))</f>
        <v>Good</v>
      </c>
    </row>
    <row r="689" customFormat="false" ht="15" hidden="false" customHeight="false" outlineLevel="0" collapsed="false">
      <c r="A689" s="41" t="s">
        <v>867</v>
      </c>
      <c r="B689" s="41" t="s">
        <v>178</v>
      </c>
      <c r="C689" s="41" t="s">
        <v>85</v>
      </c>
      <c r="D689" s="41" t="s">
        <v>104</v>
      </c>
      <c r="E689" s="41" t="s">
        <v>103</v>
      </c>
      <c r="F689" s="41" t="s">
        <v>80</v>
      </c>
      <c r="G689" s="42" t="n">
        <v>63.56</v>
      </c>
      <c r="H689" s="41" t="n">
        <v>10</v>
      </c>
      <c r="I689" s="42" t="n">
        <v>31.78</v>
      </c>
      <c r="J689" s="42" t="n">
        <v>667.38</v>
      </c>
      <c r="K689" s="43" t="n">
        <v>43481</v>
      </c>
      <c r="L689" s="44" t="n">
        <v>0.749305555555556</v>
      </c>
      <c r="M689" s="41" t="s">
        <v>97</v>
      </c>
      <c r="N689" s="42" t="n">
        <v>635.6</v>
      </c>
      <c r="O689" s="42" t="n">
        <v>31.78</v>
      </c>
      <c r="P689" s="45" t="n">
        <v>4.3</v>
      </c>
      <c r="Q689" s="41" t="str">
        <f aca="false">CHOOSE(MONTH(K689),"Jan","Feb","Mar","Apr","May","Jun","Jul","Aug","Sep","Oct","Nov","Dec")</f>
        <v>Jan</v>
      </c>
      <c r="R689" s="41" t="n">
        <f aca="false">INT((K689-setMinDate)/7)+1</f>
        <v>3</v>
      </c>
      <c r="S689" s="41" t="n">
        <f aca="false">HOUR(L689)</f>
        <v>17</v>
      </c>
      <c r="T689" s="41" t="str">
        <f aca="false">IF(S689&lt;setMorningEnd,"Morning",IF(S689&lt;setAfternoonEnd,"Afternoon","Evening"))</f>
        <v>Evening</v>
      </c>
      <c r="U689" s="41" t="str">
        <f aca="false">IF(J689&gt;=setLarge,"Large",IF(J689&gt;=setMedium,"Medium","Small"))</f>
        <v>Large</v>
      </c>
      <c r="V689" s="41" t="str">
        <f aca="false">IF(P689&gt;=setExc,"Excellent",IF(P689&gt;=setGood,"Good",IF(P689&gt;=setAvg,"Average","Poor")))</f>
        <v>Poor</v>
      </c>
    </row>
    <row r="690" customFormat="false" ht="15" hidden="false" customHeight="false" outlineLevel="0" collapsed="false">
      <c r="A690" s="41" t="s">
        <v>868</v>
      </c>
      <c r="B690" s="41" t="s">
        <v>180</v>
      </c>
      <c r="C690" s="41" t="s">
        <v>87</v>
      </c>
      <c r="D690" s="41" t="s">
        <v>104</v>
      </c>
      <c r="E690" s="41" t="s">
        <v>103</v>
      </c>
      <c r="F690" s="41" t="s">
        <v>77</v>
      </c>
      <c r="G690" s="42" t="n">
        <v>72.88</v>
      </c>
      <c r="H690" s="41" t="n">
        <v>2</v>
      </c>
      <c r="I690" s="42" t="n">
        <v>7.288</v>
      </c>
      <c r="J690" s="42" t="n">
        <v>153.048</v>
      </c>
      <c r="K690" s="43" t="n">
        <v>43537</v>
      </c>
      <c r="L690" s="44" t="n">
        <v>0.535416666666667</v>
      </c>
      <c r="M690" s="41" t="s">
        <v>97</v>
      </c>
      <c r="N690" s="42" t="n">
        <v>145.76</v>
      </c>
      <c r="O690" s="42" t="n">
        <v>7.288</v>
      </c>
      <c r="P690" s="45" t="n">
        <v>6.1</v>
      </c>
      <c r="Q690" s="41" t="str">
        <f aca="false">CHOOSE(MONTH(K690),"Jan","Feb","Mar","Apr","May","Jun","Jul","Aug","Sep","Oct","Nov","Dec")</f>
        <v>Mar</v>
      </c>
      <c r="R690" s="41" t="n">
        <f aca="false">INT((K690-setMinDate)/7)+1</f>
        <v>11</v>
      </c>
      <c r="S690" s="41" t="n">
        <f aca="false">HOUR(L690)</f>
        <v>12</v>
      </c>
      <c r="T690" s="41" t="str">
        <f aca="false">IF(S690&lt;setMorningEnd,"Morning",IF(S690&lt;setAfternoonEnd,"Afternoon","Evening"))</f>
        <v>Afternoon</v>
      </c>
      <c r="U690" s="41" t="str">
        <f aca="false">IF(J690&gt;=setLarge,"Large",IF(J690&gt;=setMedium,"Medium","Small"))</f>
        <v>Small</v>
      </c>
      <c r="V690" s="41" t="str">
        <f aca="false">IF(P690&gt;=setExc,"Excellent",IF(P690&gt;=setGood,"Good",IF(P690&gt;=setAvg,"Average","Poor")))</f>
        <v>Average</v>
      </c>
    </row>
    <row r="691" customFormat="false" ht="15" hidden="false" customHeight="false" outlineLevel="0" collapsed="false">
      <c r="A691" s="41" t="s">
        <v>869</v>
      </c>
      <c r="B691" s="41" t="s">
        <v>178</v>
      </c>
      <c r="C691" s="41" t="s">
        <v>85</v>
      </c>
      <c r="D691" s="41" t="s">
        <v>105</v>
      </c>
      <c r="E691" s="41" t="s">
        <v>102</v>
      </c>
      <c r="F691" s="41" t="s">
        <v>76</v>
      </c>
      <c r="G691" s="42" t="n">
        <v>67.1</v>
      </c>
      <c r="H691" s="41" t="n">
        <v>3</v>
      </c>
      <c r="I691" s="42" t="n">
        <v>10.065</v>
      </c>
      <c r="J691" s="42" t="n">
        <v>211.365</v>
      </c>
      <c r="K691" s="43" t="n">
        <v>43511</v>
      </c>
      <c r="L691" s="44" t="n">
        <v>0.441666666666667</v>
      </c>
      <c r="M691" s="41" t="s">
        <v>97</v>
      </c>
      <c r="N691" s="42" t="n">
        <v>201.3</v>
      </c>
      <c r="O691" s="42" t="n">
        <v>10.065</v>
      </c>
      <c r="P691" s="45" t="n">
        <v>7.5</v>
      </c>
      <c r="Q691" s="41" t="str">
        <f aca="false">CHOOSE(MONTH(K691),"Jan","Feb","Mar","Apr","May","Jun","Jul","Aug","Sep","Oct","Nov","Dec")</f>
        <v>Feb</v>
      </c>
      <c r="R691" s="41" t="n">
        <f aca="false">INT((K691-setMinDate)/7)+1</f>
        <v>7</v>
      </c>
      <c r="S691" s="41" t="n">
        <f aca="false">HOUR(L691)</f>
        <v>10</v>
      </c>
      <c r="T691" s="41" t="str">
        <f aca="false">IF(S691&lt;setMorningEnd,"Morning",IF(S691&lt;setAfternoonEnd,"Afternoon","Evening"))</f>
        <v>Morning</v>
      </c>
      <c r="U691" s="41" t="str">
        <f aca="false">IF(J691&gt;=setLarge,"Large",IF(J691&gt;=setMedium,"Medium","Small"))</f>
        <v>Small</v>
      </c>
      <c r="V691" s="41" t="str">
        <f aca="false">IF(P691&gt;=setExc,"Excellent",IF(P691&gt;=setGood,"Good",IF(P691&gt;=setAvg,"Average","Poor")))</f>
        <v>Good</v>
      </c>
    </row>
    <row r="692" customFormat="false" ht="15" hidden="false" customHeight="false" outlineLevel="0" collapsed="false">
      <c r="A692" s="41" t="s">
        <v>870</v>
      </c>
      <c r="B692" s="41" t="s">
        <v>180</v>
      </c>
      <c r="C692" s="41" t="s">
        <v>87</v>
      </c>
      <c r="D692" s="41" t="s">
        <v>104</v>
      </c>
      <c r="E692" s="41" t="s">
        <v>102</v>
      </c>
      <c r="F692" s="41" t="s">
        <v>77</v>
      </c>
      <c r="G692" s="42" t="n">
        <v>70.19</v>
      </c>
      <c r="H692" s="41" t="n">
        <v>9</v>
      </c>
      <c r="I692" s="42" t="n">
        <v>31.5855</v>
      </c>
      <c r="J692" s="42" t="n">
        <v>663.2955</v>
      </c>
      <c r="K692" s="43" t="n">
        <v>43490</v>
      </c>
      <c r="L692" s="44" t="n">
        <v>0.568055555555556</v>
      </c>
      <c r="M692" s="41" t="s">
        <v>97</v>
      </c>
      <c r="N692" s="42" t="n">
        <v>631.71</v>
      </c>
      <c r="O692" s="42" t="n">
        <v>31.5855</v>
      </c>
      <c r="P692" s="45" t="n">
        <v>6.7</v>
      </c>
      <c r="Q692" s="41" t="str">
        <f aca="false">CHOOSE(MONTH(K692),"Jan","Feb","Mar","Apr","May","Jun","Jul","Aug","Sep","Oct","Nov","Dec")</f>
        <v>Jan</v>
      </c>
      <c r="R692" s="41" t="n">
        <f aca="false">INT((K692-setMinDate)/7)+1</f>
        <v>4</v>
      </c>
      <c r="S692" s="41" t="n">
        <f aca="false">HOUR(L692)</f>
        <v>13</v>
      </c>
      <c r="T692" s="41" t="str">
        <f aca="false">IF(S692&lt;setMorningEnd,"Morning",IF(S692&lt;setAfternoonEnd,"Afternoon","Evening"))</f>
        <v>Afternoon</v>
      </c>
      <c r="U692" s="41" t="str">
        <f aca="false">IF(J692&gt;=setLarge,"Large",IF(J692&gt;=setMedium,"Medium","Small"))</f>
        <v>Large</v>
      </c>
      <c r="V692" s="41" t="str">
        <f aca="false">IF(P692&gt;=setExc,"Excellent",IF(P692&gt;=setGood,"Good",IF(P692&gt;=setAvg,"Average","Poor")))</f>
        <v>Average</v>
      </c>
    </row>
    <row r="693" customFormat="false" ht="15" hidden="false" customHeight="false" outlineLevel="0" collapsed="false">
      <c r="A693" s="41" t="s">
        <v>871</v>
      </c>
      <c r="B693" s="41" t="s">
        <v>180</v>
      </c>
      <c r="C693" s="41" t="s">
        <v>87</v>
      </c>
      <c r="D693" s="41" t="s">
        <v>104</v>
      </c>
      <c r="E693" s="41" t="s">
        <v>103</v>
      </c>
      <c r="F693" s="41" t="s">
        <v>76</v>
      </c>
      <c r="G693" s="42" t="n">
        <v>55.04</v>
      </c>
      <c r="H693" s="41" t="n">
        <v>7</v>
      </c>
      <c r="I693" s="42" t="n">
        <v>19.264</v>
      </c>
      <c r="J693" s="42" t="n">
        <v>404.544</v>
      </c>
      <c r="K693" s="43" t="n">
        <v>43536</v>
      </c>
      <c r="L693" s="44" t="n">
        <v>0.81875</v>
      </c>
      <c r="M693" s="41" t="s">
        <v>98</v>
      </c>
      <c r="N693" s="42" t="n">
        <v>385.28</v>
      </c>
      <c r="O693" s="42" t="n">
        <v>19.264</v>
      </c>
      <c r="P693" s="45" t="n">
        <v>5.2</v>
      </c>
      <c r="Q693" s="41" t="str">
        <f aca="false">CHOOSE(MONTH(K693),"Jan","Feb","Mar","Apr","May","Jun","Jul","Aug","Sep","Oct","Nov","Dec")</f>
        <v>Mar</v>
      </c>
      <c r="R693" s="41" t="n">
        <f aca="false">INT((K693-setMinDate)/7)+1</f>
        <v>11</v>
      </c>
      <c r="S693" s="41" t="n">
        <f aca="false">HOUR(L693)</f>
        <v>19</v>
      </c>
      <c r="T693" s="41" t="str">
        <f aca="false">IF(S693&lt;setMorningEnd,"Morning",IF(S693&lt;setAfternoonEnd,"Afternoon","Evening"))</f>
        <v>Evening</v>
      </c>
      <c r="U693" s="41" t="str">
        <f aca="false">IF(J693&gt;=setLarge,"Large",IF(J693&gt;=setMedium,"Medium","Small"))</f>
        <v>Medium</v>
      </c>
      <c r="V693" s="41" t="str">
        <f aca="false">IF(P693&gt;=setExc,"Excellent",IF(P693&gt;=setGood,"Good",IF(P693&gt;=setAvg,"Average","Poor")))</f>
        <v>Average</v>
      </c>
    </row>
    <row r="694" customFormat="false" ht="15" hidden="false" customHeight="false" outlineLevel="0" collapsed="false">
      <c r="A694" s="41" t="s">
        <v>872</v>
      </c>
      <c r="B694" s="41" t="s">
        <v>178</v>
      </c>
      <c r="C694" s="41" t="s">
        <v>85</v>
      </c>
      <c r="D694" s="41" t="s">
        <v>104</v>
      </c>
      <c r="E694" s="41" t="s">
        <v>103</v>
      </c>
      <c r="F694" s="41" t="s">
        <v>81</v>
      </c>
      <c r="G694" s="42" t="n">
        <v>48.63</v>
      </c>
      <c r="H694" s="41" t="n">
        <v>10</v>
      </c>
      <c r="I694" s="42" t="n">
        <v>24.315</v>
      </c>
      <c r="J694" s="42" t="n">
        <v>510.615</v>
      </c>
      <c r="K694" s="43" t="n">
        <v>43528</v>
      </c>
      <c r="L694" s="44" t="n">
        <v>0.530555555555556</v>
      </c>
      <c r="M694" s="41" t="s">
        <v>97</v>
      </c>
      <c r="N694" s="42" t="n">
        <v>486.3</v>
      </c>
      <c r="O694" s="42" t="n">
        <v>24.315</v>
      </c>
      <c r="P694" s="45" t="n">
        <v>8.8</v>
      </c>
      <c r="Q694" s="41" t="str">
        <f aca="false">CHOOSE(MONTH(K694),"Jan","Feb","Mar","Apr","May","Jun","Jul","Aug","Sep","Oct","Nov","Dec")</f>
        <v>Mar</v>
      </c>
      <c r="R694" s="41" t="n">
        <f aca="false">INT((K694-setMinDate)/7)+1</f>
        <v>9</v>
      </c>
      <c r="S694" s="41" t="n">
        <f aca="false">HOUR(L694)</f>
        <v>12</v>
      </c>
      <c r="T694" s="41" t="str">
        <f aca="false">IF(S694&lt;setMorningEnd,"Morning",IF(S694&lt;setAfternoonEnd,"Afternoon","Evening"))</f>
        <v>Afternoon</v>
      </c>
      <c r="U694" s="41" t="str">
        <f aca="false">IF(J694&gt;=setLarge,"Large",IF(J694&gt;=setMedium,"Medium","Small"))</f>
        <v>Medium</v>
      </c>
      <c r="V694" s="41" t="str">
        <f aca="false">IF(P694&gt;=setExc,"Excellent",IF(P694&gt;=setGood,"Good",IF(P694&gt;=setAvg,"Average","Poor")))</f>
        <v>Good</v>
      </c>
    </row>
    <row r="695" customFormat="false" ht="15" hidden="false" customHeight="false" outlineLevel="0" collapsed="false">
      <c r="A695" s="41" t="s">
        <v>873</v>
      </c>
      <c r="B695" s="41" t="s">
        <v>180</v>
      </c>
      <c r="C695" s="41" t="s">
        <v>87</v>
      </c>
      <c r="D695" s="41" t="s">
        <v>104</v>
      </c>
      <c r="E695" s="41" t="s">
        <v>102</v>
      </c>
      <c r="F695" s="41" t="s">
        <v>79</v>
      </c>
      <c r="G695" s="42" t="n">
        <v>73.38</v>
      </c>
      <c r="H695" s="41" t="n">
        <v>7</v>
      </c>
      <c r="I695" s="42" t="n">
        <v>25.683</v>
      </c>
      <c r="J695" s="42" t="n">
        <v>539.343</v>
      </c>
      <c r="K695" s="43" t="n">
        <v>43506</v>
      </c>
      <c r="L695" s="44" t="n">
        <v>0.580555555555556</v>
      </c>
      <c r="M695" s="41" t="s">
        <v>97</v>
      </c>
      <c r="N695" s="42" t="n">
        <v>513.66</v>
      </c>
      <c r="O695" s="42" t="n">
        <v>25.683</v>
      </c>
      <c r="P695" s="45" t="n">
        <v>9.5</v>
      </c>
      <c r="Q695" s="41" t="str">
        <f aca="false">CHOOSE(MONTH(K695),"Jan","Feb","Mar","Apr","May","Jun","Jul","Aug","Sep","Oct","Nov","Dec")</f>
        <v>Feb</v>
      </c>
      <c r="R695" s="41" t="n">
        <f aca="false">INT((K695-setMinDate)/7)+1</f>
        <v>6</v>
      </c>
      <c r="S695" s="41" t="n">
        <f aca="false">HOUR(L695)</f>
        <v>13</v>
      </c>
      <c r="T695" s="41" t="str">
        <f aca="false">IF(S695&lt;setMorningEnd,"Morning",IF(S695&lt;setAfternoonEnd,"Afternoon","Evening"))</f>
        <v>Afternoon</v>
      </c>
      <c r="U695" s="41" t="str">
        <f aca="false">IF(J695&gt;=setLarge,"Large",IF(J695&gt;=setMedium,"Medium","Small"))</f>
        <v>Medium</v>
      </c>
      <c r="V695" s="41" t="str">
        <f aca="false">IF(P695&gt;=setExc,"Excellent",IF(P695&gt;=setGood,"Good",IF(P695&gt;=setAvg,"Average","Poor")))</f>
        <v>Excellent</v>
      </c>
    </row>
    <row r="696" customFormat="false" ht="15" hidden="false" customHeight="false" outlineLevel="0" collapsed="false">
      <c r="A696" s="41" t="s">
        <v>874</v>
      </c>
      <c r="B696" s="41" t="s">
        <v>180</v>
      </c>
      <c r="C696" s="41" t="s">
        <v>87</v>
      </c>
      <c r="D696" s="41" t="s">
        <v>105</v>
      </c>
      <c r="E696" s="41" t="s">
        <v>102</v>
      </c>
      <c r="F696" s="41" t="s">
        <v>76</v>
      </c>
      <c r="G696" s="42" t="n">
        <v>52.6</v>
      </c>
      <c r="H696" s="41" t="n">
        <v>9</v>
      </c>
      <c r="I696" s="42" t="n">
        <v>23.67</v>
      </c>
      <c r="J696" s="42" t="n">
        <v>497.07</v>
      </c>
      <c r="K696" s="43" t="n">
        <v>43481</v>
      </c>
      <c r="L696" s="44" t="n">
        <v>0.6125</v>
      </c>
      <c r="M696" s="41" t="s">
        <v>97</v>
      </c>
      <c r="N696" s="42" t="n">
        <v>473.4</v>
      </c>
      <c r="O696" s="42" t="n">
        <v>23.67</v>
      </c>
      <c r="P696" s="45" t="n">
        <v>7.6</v>
      </c>
      <c r="Q696" s="41" t="str">
        <f aca="false">CHOOSE(MONTH(K696),"Jan","Feb","Mar","Apr","May","Jun","Jul","Aug","Sep","Oct","Nov","Dec")</f>
        <v>Jan</v>
      </c>
      <c r="R696" s="41" t="n">
        <f aca="false">INT((K696-setMinDate)/7)+1</f>
        <v>3</v>
      </c>
      <c r="S696" s="41" t="n">
        <f aca="false">HOUR(L696)</f>
        <v>14</v>
      </c>
      <c r="T696" s="41" t="str">
        <f aca="false">IF(S696&lt;setMorningEnd,"Morning",IF(S696&lt;setAfternoonEnd,"Afternoon","Evening"))</f>
        <v>Afternoon</v>
      </c>
      <c r="U696" s="41" t="str">
        <f aca="false">IF(J696&gt;=setLarge,"Large",IF(J696&gt;=setMedium,"Medium","Small"))</f>
        <v>Medium</v>
      </c>
      <c r="V696" s="41" t="str">
        <f aca="false">IF(P696&gt;=setExc,"Excellent",IF(P696&gt;=setGood,"Good",IF(P696&gt;=setAvg,"Average","Poor")))</f>
        <v>Good</v>
      </c>
    </row>
    <row r="697" customFormat="false" ht="15" hidden="false" customHeight="false" outlineLevel="0" collapsed="false">
      <c r="A697" s="41" t="s">
        <v>875</v>
      </c>
      <c r="B697" s="41" t="s">
        <v>178</v>
      </c>
      <c r="C697" s="41" t="s">
        <v>85</v>
      </c>
      <c r="D697" s="41" t="s">
        <v>104</v>
      </c>
      <c r="E697" s="41" t="s">
        <v>102</v>
      </c>
      <c r="F697" s="41" t="s">
        <v>80</v>
      </c>
      <c r="G697" s="42" t="n">
        <v>87.37</v>
      </c>
      <c r="H697" s="41" t="n">
        <v>5</v>
      </c>
      <c r="I697" s="42" t="n">
        <v>21.8425</v>
      </c>
      <c r="J697" s="42" t="n">
        <v>458.6925</v>
      </c>
      <c r="K697" s="43" t="n">
        <v>43494</v>
      </c>
      <c r="L697" s="44" t="n">
        <v>0.822916666666667</v>
      </c>
      <c r="M697" s="41" t="s">
        <v>97</v>
      </c>
      <c r="N697" s="42" t="n">
        <v>436.85</v>
      </c>
      <c r="O697" s="42" t="n">
        <v>21.8425</v>
      </c>
      <c r="P697" s="45" t="n">
        <v>6.6</v>
      </c>
      <c r="Q697" s="41" t="str">
        <f aca="false">CHOOSE(MONTH(K697),"Jan","Feb","Mar","Apr","May","Jun","Jul","Aug","Sep","Oct","Nov","Dec")</f>
        <v>Jan</v>
      </c>
      <c r="R697" s="41" t="n">
        <f aca="false">INT((K697-setMinDate)/7)+1</f>
        <v>5</v>
      </c>
      <c r="S697" s="41" t="n">
        <f aca="false">HOUR(L697)</f>
        <v>19</v>
      </c>
      <c r="T697" s="41" t="str">
        <f aca="false">IF(S697&lt;setMorningEnd,"Morning",IF(S697&lt;setAfternoonEnd,"Afternoon","Evening"))</f>
        <v>Evening</v>
      </c>
      <c r="U697" s="41" t="str">
        <f aca="false">IF(J697&gt;=setLarge,"Large",IF(J697&gt;=setMedium,"Medium","Small"))</f>
        <v>Medium</v>
      </c>
      <c r="V697" s="41" t="str">
        <f aca="false">IF(P697&gt;=setExc,"Excellent",IF(P697&gt;=setGood,"Good",IF(P697&gt;=setAvg,"Average","Poor")))</f>
        <v>Average</v>
      </c>
    </row>
    <row r="698" customFormat="false" ht="15" hidden="false" customHeight="false" outlineLevel="0" collapsed="false">
      <c r="A698" s="41" t="s">
        <v>876</v>
      </c>
      <c r="B698" s="41" t="s">
        <v>178</v>
      </c>
      <c r="C698" s="41" t="s">
        <v>85</v>
      </c>
      <c r="D698" s="41" t="s">
        <v>104</v>
      </c>
      <c r="E698" s="41" t="s">
        <v>102</v>
      </c>
      <c r="F698" s="41" t="s">
        <v>77</v>
      </c>
      <c r="G698" s="42" t="n">
        <v>27.04</v>
      </c>
      <c r="H698" s="41" t="n">
        <v>4</v>
      </c>
      <c r="I698" s="42" t="n">
        <v>5.408</v>
      </c>
      <c r="J698" s="42" t="n">
        <v>113.568</v>
      </c>
      <c r="K698" s="43" t="n">
        <v>43466</v>
      </c>
      <c r="L698" s="44" t="n">
        <v>0.851388888888889</v>
      </c>
      <c r="M698" s="41" t="s">
        <v>98</v>
      </c>
      <c r="N698" s="42" t="n">
        <v>108.16</v>
      </c>
      <c r="O698" s="42" t="n">
        <v>5.408</v>
      </c>
      <c r="P698" s="45" t="n">
        <v>6.9</v>
      </c>
      <c r="Q698" s="41" t="str">
        <f aca="false">CHOOSE(MONTH(K698),"Jan","Feb","Mar","Apr","May","Jun","Jul","Aug","Sep","Oct","Nov","Dec")</f>
        <v>Jan</v>
      </c>
      <c r="R698" s="41" t="n">
        <f aca="false">INT((K698-setMinDate)/7)+1</f>
        <v>1</v>
      </c>
      <c r="S698" s="41" t="n">
        <f aca="false">HOUR(L698)</f>
        <v>20</v>
      </c>
      <c r="T698" s="41" t="str">
        <f aca="false">IF(S698&lt;setMorningEnd,"Morning",IF(S698&lt;setAfternoonEnd,"Afternoon","Evening"))</f>
        <v>Evening</v>
      </c>
      <c r="U698" s="41" t="str">
        <f aca="false">IF(J698&gt;=setLarge,"Large",IF(J698&gt;=setMedium,"Medium","Small"))</f>
        <v>Small</v>
      </c>
      <c r="V698" s="41" t="str">
        <f aca="false">IF(P698&gt;=setExc,"Excellent",IF(P698&gt;=setGood,"Good",IF(P698&gt;=setAvg,"Average","Poor")))</f>
        <v>Average</v>
      </c>
    </row>
    <row r="699" customFormat="false" ht="15" hidden="false" customHeight="false" outlineLevel="0" collapsed="false">
      <c r="A699" s="41" t="s">
        <v>877</v>
      </c>
      <c r="B699" s="41" t="s">
        <v>189</v>
      </c>
      <c r="C699" s="41" t="s">
        <v>86</v>
      </c>
      <c r="D699" s="41" t="s">
        <v>105</v>
      </c>
      <c r="E699" s="41" t="s">
        <v>103</v>
      </c>
      <c r="F699" s="41" t="s">
        <v>80</v>
      </c>
      <c r="G699" s="42" t="n">
        <v>62.19</v>
      </c>
      <c r="H699" s="41" t="n">
        <v>4</v>
      </c>
      <c r="I699" s="42" t="n">
        <v>12.438</v>
      </c>
      <c r="J699" s="42" t="n">
        <v>261.198</v>
      </c>
      <c r="K699" s="43" t="n">
        <v>43471</v>
      </c>
      <c r="L699" s="44" t="n">
        <v>0.823611111111111</v>
      </c>
      <c r="M699" s="41" t="s">
        <v>98</v>
      </c>
      <c r="N699" s="42" t="n">
        <v>248.76</v>
      </c>
      <c r="O699" s="42" t="n">
        <v>12.438</v>
      </c>
      <c r="P699" s="45" t="n">
        <v>4.3</v>
      </c>
      <c r="Q699" s="41" t="str">
        <f aca="false">CHOOSE(MONTH(K699),"Jan","Feb","Mar","Apr","May","Jun","Jul","Aug","Sep","Oct","Nov","Dec")</f>
        <v>Jan</v>
      </c>
      <c r="R699" s="41" t="n">
        <f aca="false">INT((K699-setMinDate)/7)+1</f>
        <v>1</v>
      </c>
      <c r="S699" s="41" t="n">
        <f aca="false">HOUR(L699)</f>
        <v>19</v>
      </c>
      <c r="T699" s="41" t="str">
        <f aca="false">IF(S699&lt;setMorningEnd,"Morning",IF(S699&lt;setAfternoonEnd,"Afternoon","Evening"))</f>
        <v>Evening</v>
      </c>
      <c r="U699" s="41" t="str">
        <f aca="false">IF(J699&gt;=setLarge,"Large",IF(J699&gt;=setMedium,"Medium","Small"))</f>
        <v>Medium</v>
      </c>
      <c r="V699" s="41" t="str">
        <f aca="false">IF(P699&gt;=setExc,"Excellent",IF(P699&gt;=setGood,"Good",IF(P699&gt;=setAvg,"Average","Poor")))</f>
        <v>Poor</v>
      </c>
    </row>
    <row r="700" customFormat="false" ht="15" hidden="false" customHeight="false" outlineLevel="0" collapsed="false">
      <c r="A700" s="41" t="s">
        <v>878</v>
      </c>
      <c r="B700" s="41" t="s">
        <v>178</v>
      </c>
      <c r="C700" s="41" t="s">
        <v>85</v>
      </c>
      <c r="D700" s="41" t="s">
        <v>104</v>
      </c>
      <c r="E700" s="41" t="s">
        <v>103</v>
      </c>
      <c r="F700" s="41" t="s">
        <v>78</v>
      </c>
      <c r="G700" s="42" t="n">
        <v>69.58</v>
      </c>
      <c r="H700" s="41" t="n">
        <v>9</v>
      </c>
      <c r="I700" s="42" t="n">
        <v>31.311</v>
      </c>
      <c r="J700" s="42" t="n">
        <v>657.531</v>
      </c>
      <c r="K700" s="43" t="n">
        <v>43515</v>
      </c>
      <c r="L700" s="44" t="n">
        <v>0.818055555555556</v>
      </c>
      <c r="M700" s="41" t="s">
        <v>99</v>
      </c>
      <c r="N700" s="42" t="n">
        <v>626.22</v>
      </c>
      <c r="O700" s="42" t="n">
        <v>31.311</v>
      </c>
      <c r="P700" s="45" t="n">
        <v>7.8</v>
      </c>
      <c r="Q700" s="41" t="str">
        <f aca="false">CHOOSE(MONTH(K700),"Jan","Feb","Mar","Apr","May","Jun","Jul","Aug","Sep","Oct","Nov","Dec")</f>
        <v>Feb</v>
      </c>
      <c r="R700" s="41" t="n">
        <f aca="false">INT((K700-setMinDate)/7)+1</f>
        <v>8</v>
      </c>
      <c r="S700" s="41" t="n">
        <f aca="false">HOUR(L700)</f>
        <v>19</v>
      </c>
      <c r="T700" s="41" t="str">
        <f aca="false">IF(S700&lt;setMorningEnd,"Morning",IF(S700&lt;setAfternoonEnd,"Afternoon","Evening"))</f>
        <v>Evening</v>
      </c>
      <c r="U700" s="41" t="str">
        <f aca="false">IF(J700&gt;=setLarge,"Large",IF(J700&gt;=setMedium,"Medium","Small"))</f>
        <v>Large</v>
      </c>
      <c r="V700" s="41" t="str">
        <f aca="false">IF(P700&gt;=setExc,"Excellent",IF(P700&gt;=setGood,"Good",IF(P700&gt;=setAvg,"Average","Poor")))</f>
        <v>Good</v>
      </c>
    </row>
    <row r="701" customFormat="false" ht="15" hidden="false" customHeight="false" outlineLevel="0" collapsed="false">
      <c r="A701" s="41" t="s">
        <v>879</v>
      </c>
      <c r="B701" s="41" t="s">
        <v>180</v>
      </c>
      <c r="C701" s="41" t="s">
        <v>87</v>
      </c>
      <c r="D701" s="41" t="s">
        <v>105</v>
      </c>
      <c r="E701" s="41" t="s">
        <v>103</v>
      </c>
      <c r="F701" s="41" t="s">
        <v>80</v>
      </c>
      <c r="G701" s="42" t="n">
        <v>97.5</v>
      </c>
      <c r="H701" s="41" t="n">
        <v>10</v>
      </c>
      <c r="I701" s="42" t="n">
        <v>48.75</v>
      </c>
      <c r="J701" s="42" t="n">
        <v>1023.75</v>
      </c>
      <c r="K701" s="43" t="n">
        <v>43477</v>
      </c>
      <c r="L701" s="44" t="n">
        <v>0.679166666666667</v>
      </c>
      <c r="M701" s="41" t="s">
        <v>98</v>
      </c>
      <c r="N701" s="42" t="n">
        <v>975</v>
      </c>
      <c r="O701" s="42" t="n">
        <v>48.75</v>
      </c>
      <c r="P701" s="45" t="n">
        <v>8</v>
      </c>
      <c r="Q701" s="41" t="str">
        <f aca="false">CHOOSE(MONTH(K701),"Jan","Feb","Mar","Apr","May","Jun","Jul","Aug","Sep","Oct","Nov","Dec")</f>
        <v>Jan</v>
      </c>
      <c r="R701" s="41" t="n">
        <f aca="false">INT((K701-setMinDate)/7)+1</f>
        <v>2</v>
      </c>
      <c r="S701" s="41" t="n">
        <f aca="false">HOUR(L701)</f>
        <v>16</v>
      </c>
      <c r="T701" s="41" t="str">
        <f aca="false">IF(S701&lt;setMorningEnd,"Morning",IF(S701&lt;setAfternoonEnd,"Afternoon","Evening"))</f>
        <v>Afternoon</v>
      </c>
      <c r="U701" s="41" t="str">
        <f aca="false">IF(J701&gt;=setLarge,"Large",IF(J701&gt;=setMedium,"Medium","Small"))</f>
        <v>Large</v>
      </c>
      <c r="V701" s="41" t="str">
        <f aca="false">IF(P701&gt;=setExc,"Excellent",IF(P701&gt;=setGood,"Good",IF(P701&gt;=setAvg,"Average","Poor")))</f>
        <v>Good</v>
      </c>
    </row>
    <row r="702" customFormat="false" ht="15" hidden="false" customHeight="false" outlineLevel="0" collapsed="false">
      <c r="A702" s="41" t="s">
        <v>880</v>
      </c>
      <c r="B702" s="41" t="s">
        <v>180</v>
      </c>
      <c r="C702" s="41" t="s">
        <v>87</v>
      </c>
      <c r="D702" s="41" t="s">
        <v>105</v>
      </c>
      <c r="E702" s="41" t="s">
        <v>102</v>
      </c>
      <c r="F702" s="41" t="s">
        <v>79</v>
      </c>
      <c r="G702" s="42" t="n">
        <v>60.41</v>
      </c>
      <c r="H702" s="41" t="n">
        <v>8</v>
      </c>
      <c r="I702" s="42" t="n">
        <v>24.164</v>
      </c>
      <c r="J702" s="42" t="n">
        <v>507.444</v>
      </c>
      <c r="K702" s="43" t="n">
        <v>43503</v>
      </c>
      <c r="L702" s="44" t="n">
        <v>0.515972222222222</v>
      </c>
      <c r="M702" s="41" t="s">
        <v>98</v>
      </c>
      <c r="N702" s="42" t="n">
        <v>483.28</v>
      </c>
      <c r="O702" s="42" t="n">
        <v>24.164</v>
      </c>
      <c r="P702" s="45" t="n">
        <v>9.6</v>
      </c>
      <c r="Q702" s="41" t="str">
        <f aca="false">CHOOSE(MONTH(K702),"Jan","Feb","Mar","Apr","May","Jun","Jul","Aug","Sep","Oct","Nov","Dec")</f>
        <v>Feb</v>
      </c>
      <c r="R702" s="41" t="n">
        <f aca="false">INT((K702-setMinDate)/7)+1</f>
        <v>6</v>
      </c>
      <c r="S702" s="41" t="n">
        <f aca="false">HOUR(L702)</f>
        <v>12</v>
      </c>
      <c r="T702" s="41" t="str">
        <f aca="false">IF(S702&lt;setMorningEnd,"Morning",IF(S702&lt;setAfternoonEnd,"Afternoon","Evening"))</f>
        <v>Afternoon</v>
      </c>
      <c r="U702" s="41" t="str">
        <f aca="false">IF(J702&gt;=setLarge,"Large",IF(J702&gt;=setMedium,"Medium","Small"))</f>
        <v>Medium</v>
      </c>
      <c r="V702" s="41" t="str">
        <f aca="false">IF(P702&gt;=setExc,"Excellent",IF(P702&gt;=setGood,"Good",IF(P702&gt;=setAvg,"Average","Poor")))</f>
        <v>Excellent</v>
      </c>
    </row>
    <row r="703" customFormat="false" ht="15" hidden="false" customHeight="false" outlineLevel="0" collapsed="false">
      <c r="A703" s="41" t="s">
        <v>881</v>
      </c>
      <c r="B703" s="41" t="s">
        <v>189</v>
      </c>
      <c r="C703" s="41" t="s">
        <v>86</v>
      </c>
      <c r="D703" s="41" t="s">
        <v>105</v>
      </c>
      <c r="E703" s="41" t="s">
        <v>103</v>
      </c>
      <c r="F703" s="41" t="s">
        <v>76</v>
      </c>
      <c r="G703" s="42" t="n">
        <v>32.32</v>
      </c>
      <c r="H703" s="41" t="n">
        <v>3</v>
      </c>
      <c r="I703" s="42" t="n">
        <v>4.848</v>
      </c>
      <c r="J703" s="42" t="n">
        <v>101.808</v>
      </c>
      <c r="K703" s="43" t="n">
        <v>43551</v>
      </c>
      <c r="L703" s="44" t="n">
        <v>0.799305555555556</v>
      </c>
      <c r="M703" s="41" t="s">
        <v>99</v>
      </c>
      <c r="N703" s="42" t="n">
        <v>96.96</v>
      </c>
      <c r="O703" s="42" t="n">
        <v>4.848</v>
      </c>
      <c r="P703" s="45" t="n">
        <v>4.3</v>
      </c>
      <c r="Q703" s="41" t="str">
        <f aca="false">CHOOSE(MONTH(K703),"Jan","Feb","Mar","Apr","May","Jun","Jul","Aug","Sep","Oct","Nov","Dec")</f>
        <v>Mar</v>
      </c>
      <c r="R703" s="41" t="n">
        <f aca="false">INT((K703-setMinDate)/7)+1</f>
        <v>13</v>
      </c>
      <c r="S703" s="41" t="n">
        <f aca="false">HOUR(L703)</f>
        <v>19</v>
      </c>
      <c r="T703" s="41" t="str">
        <f aca="false">IF(S703&lt;setMorningEnd,"Morning",IF(S703&lt;setAfternoonEnd,"Afternoon","Evening"))</f>
        <v>Evening</v>
      </c>
      <c r="U703" s="41" t="str">
        <f aca="false">IF(J703&gt;=setLarge,"Large",IF(J703&gt;=setMedium,"Medium","Small"))</f>
        <v>Small</v>
      </c>
      <c r="V703" s="41" t="str">
        <f aca="false">IF(P703&gt;=setExc,"Excellent",IF(P703&gt;=setGood,"Good",IF(P703&gt;=setAvg,"Average","Poor")))</f>
        <v>Poor</v>
      </c>
    </row>
    <row r="704" customFormat="false" ht="15" hidden="false" customHeight="false" outlineLevel="0" collapsed="false">
      <c r="A704" s="41" t="s">
        <v>882</v>
      </c>
      <c r="B704" s="41" t="s">
        <v>189</v>
      </c>
      <c r="C704" s="41" t="s">
        <v>86</v>
      </c>
      <c r="D704" s="41" t="s">
        <v>104</v>
      </c>
      <c r="E704" s="41" t="s">
        <v>102</v>
      </c>
      <c r="F704" s="41" t="s">
        <v>79</v>
      </c>
      <c r="G704" s="42" t="n">
        <v>19.77</v>
      </c>
      <c r="H704" s="41" t="n">
        <v>10</v>
      </c>
      <c r="I704" s="42" t="n">
        <v>9.885</v>
      </c>
      <c r="J704" s="42" t="n">
        <v>207.585</v>
      </c>
      <c r="K704" s="43" t="n">
        <v>43523</v>
      </c>
      <c r="L704" s="44" t="n">
        <v>0.789583333333333</v>
      </c>
      <c r="M704" s="41" t="s">
        <v>99</v>
      </c>
      <c r="N704" s="42" t="n">
        <v>197.7</v>
      </c>
      <c r="O704" s="42" t="n">
        <v>9.885</v>
      </c>
      <c r="P704" s="45" t="n">
        <v>5</v>
      </c>
      <c r="Q704" s="41" t="str">
        <f aca="false">CHOOSE(MONTH(K704),"Jan","Feb","Mar","Apr","May","Jun","Jul","Aug","Sep","Oct","Nov","Dec")</f>
        <v>Feb</v>
      </c>
      <c r="R704" s="41" t="n">
        <f aca="false">INT((K704-setMinDate)/7)+1</f>
        <v>9</v>
      </c>
      <c r="S704" s="41" t="n">
        <f aca="false">HOUR(L704)</f>
        <v>18</v>
      </c>
      <c r="T704" s="41" t="str">
        <f aca="false">IF(S704&lt;setMorningEnd,"Morning",IF(S704&lt;setAfternoonEnd,"Afternoon","Evening"))</f>
        <v>Evening</v>
      </c>
      <c r="U704" s="41" t="str">
        <f aca="false">IF(J704&gt;=setLarge,"Large",IF(J704&gt;=setMedium,"Medium","Small"))</f>
        <v>Small</v>
      </c>
      <c r="V704" s="41" t="str">
        <f aca="false">IF(P704&gt;=setExc,"Excellent",IF(P704&gt;=setGood,"Good",IF(P704&gt;=setAvg,"Average","Poor")))</f>
        <v>Average</v>
      </c>
    </row>
    <row r="705" customFormat="false" ht="15" hidden="false" customHeight="false" outlineLevel="0" collapsed="false">
      <c r="A705" s="41" t="s">
        <v>883</v>
      </c>
      <c r="B705" s="41" t="s">
        <v>189</v>
      </c>
      <c r="C705" s="41" t="s">
        <v>86</v>
      </c>
      <c r="D705" s="41" t="s">
        <v>104</v>
      </c>
      <c r="E705" s="41" t="s">
        <v>103</v>
      </c>
      <c r="F705" s="41" t="s">
        <v>81</v>
      </c>
      <c r="G705" s="42" t="n">
        <v>80.47</v>
      </c>
      <c r="H705" s="41" t="n">
        <v>9</v>
      </c>
      <c r="I705" s="42" t="n">
        <v>36.2115</v>
      </c>
      <c r="J705" s="42" t="n">
        <v>760.4415</v>
      </c>
      <c r="K705" s="43" t="n">
        <v>43471</v>
      </c>
      <c r="L705" s="44" t="n">
        <v>0.470833333333333</v>
      </c>
      <c r="M705" s="41" t="s">
        <v>97</v>
      </c>
      <c r="N705" s="42" t="n">
        <v>724.23</v>
      </c>
      <c r="O705" s="42" t="n">
        <v>36.2115</v>
      </c>
      <c r="P705" s="45" t="n">
        <v>9.2</v>
      </c>
      <c r="Q705" s="41" t="str">
        <f aca="false">CHOOSE(MONTH(K705),"Jan","Feb","Mar","Apr","May","Jun","Jul","Aug","Sep","Oct","Nov","Dec")</f>
        <v>Jan</v>
      </c>
      <c r="R705" s="41" t="n">
        <f aca="false">INT((K705-setMinDate)/7)+1</f>
        <v>1</v>
      </c>
      <c r="S705" s="41" t="n">
        <f aca="false">HOUR(L705)</f>
        <v>11</v>
      </c>
      <c r="T705" s="41" t="str">
        <f aca="false">IF(S705&lt;setMorningEnd,"Morning",IF(S705&lt;setAfternoonEnd,"Afternoon","Evening"))</f>
        <v>Morning</v>
      </c>
      <c r="U705" s="41" t="str">
        <f aca="false">IF(J705&gt;=setLarge,"Large",IF(J705&gt;=setMedium,"Medium","Small"))</f>
        <v>Large</v>
      </c>
      <c r="V705" s="41" t="str">
        <f aca="false">IF(P705&gt;=setExc,"Excellent",IF(P705&gt;=setGood,"Good",IF(P705&gt;=setAvg,"Average","Poor")))</f>
        <v>Excellent</v>
      </c>
    </row>
    <row r="706" customFormat="false" ht="15" hidden="false" customHeight="false" outlineLevel="0" collapsed="false">
      <c r="A706" s="41" t="s">
        <v>884</v>
      </c>
      <c r="B706" s="41" t="s">
        <v>189</v>
      </c>
      <c r="C706" s="41" t="s">
        <v>86</v>
      </c>
      <c r="D706" s="41" t="s">
        <v>104</v>
      </c>
      <c r="E706" s="41" t="s">
        <v>102</v>
      </c>
      <c r="F706" s="41" t="s">
        <v>80</v>
      </c>
      <c r="G706" s="42" t="n">
        <v>88.39</v>
      </c>
      <c r="H706" s="41" t="n">
        <v>9</v>
      </c>
      <c r="I706" s="42" t="n">
        <v>39.7755</v>
      </c>
      <c r="J706" s="42" t="n">
        <v>835.2855</v>
      </c>
      <c r="K706" s="43" t="n">
        <v>43526</v>
      </c>
      <c r="L706" s="44" t="n">
        <v>0.527777777777778</v>
      </c>
      <c r="M706" s="41" t="s">
        <v>97</v>
      </c>
      <c r="N706" s="42" t="n">
        <v>795.51</v>
      </c>
      <c r="O706" s="42" t="n">
        <v>39.7755</v>
      </c>
      <c r="P706" s="45" t="n">
        <v>6.3</v>
      </c>
      <c r="Q706" s="41" t="str">
        <f aca="false">CHOOSE(MONTH(K706),"Jan","Feb","Mar","Apr","May","Jun","Jul","Aug","Sep","Oct","Nov","Dec")</f>
        <v>Mar</v>
      </c>
      <c r="R706" s="41" t="n">
        <f aca="false">INT((K706-setMinDate)/7)+1</f>
        <v>9</v>
      </c>
      <c r="S706" s="41" t="n">
        <f aca="false">HOUR(L706)</f>
        <v>12</v>
      </c>
      <c r="T706" s="41" t="str">
        <f aca="false">IF(S706&lt;setMorningEnd,"Morning",IF(S706&lt;setAfternoonEnd,"Afternoon","Evening"))</f>
        <v>Afternoon</v>
      </c>
      <c r="U706" s="41" t="str">
        <f aca="false">IF(J706&gt;=setLarge,"Large",IF(J706&gt;=setMedium,"Medium","Small"))</f>
        <v>Large</v>
      </c>
      <c r="V706" s="41" t="str">
        <f aca="false">IF(P706&gt;=setExc,"Excellent",IF(P706&gt;=setGood,"Good",IF(P706&gt;=setAvg,"Average","Poor")))</f>
        <v>Average</v>
      </c>
    </row>
    <row r="707" customFormat="false" ht="15" hidden="false" customHeight="false" outlineLevel="0" collapsed="false">
      <c r="A707" s="41" t="s">
        <v>885</v>
      </c>
      <c r="B707" s="41" t="s">
        <v>189</v>
      </c>
      <c r="C707" s="41" t="s">
        <v>86</v>
      </c>
      <c r="D707" s="41" t="s">
        <v>105</v>
      </c>
      <c r="E707" s="41" t="s">
        <v>103</v>
      </c>
      <c r="F707" s="41" t="s">
        <v>81</v>
      </c>
      <c r="G707" s="42" t="n">
        <v>71.77</v>
      </c>
      <c r="H707" s="41" t="n">
        <v>7</v>
      </c>
      <c r="I707" s="42" t="n">
        <v>25.1195</v>
      </c>
      <c r="J707" s="42" t="n">
        <v>527.5095</v>
      </c>
      <c r="K707" s="43" t="n">
        <v>43553</v>
      </c>
      <c r="L707" s="44" t="n">
        <v>0.5875</v>
      </c>
      <c r="M707" s="41" t="s">
        <v>97</v>
      </c>
      <c r="N707" s="42" t="n">
        <v>502.39</v>
      </c>
      <c r="O707" s="42" t="n">
        <v>25.1195</v>
      </c>
      <c r="P707" s="45" t="n">
        <v>8.9</v>
      </c>
      <c r="Q707" s="41" t="str">
        <f aca="false">CHOOSE(MONTH(K707),"Jan","Feb","Mar","Apr","May","Jun","Jul","Aug","Sep","Oct","Nov","Dec")</f>
        <v>Mar</v>
      </c>
      <c r="R707" s="41" t="n">
        <f aca="false">INT((K707-setMinDate)/7)+1</f>
        <v>13</v>
      </c>
      <c r="S707" s="41" t="n">
        <f aca="false">HOUR(L707)</f>
        <v>14</v>
      </c>
      <c r="T707" s="41" t="str">
        <f aca="false">IF(S707&lt;setMorningEnd,"Morning",IF(S707&lt;setAfternoonEnd,"Afternoon","Evening"))</f>
        <v>Afternoon</v>
      </c>
      <c r="U707" s="41" t="str">
        <f aca="false">IF(J707&gt;=setLarge,"Large",IF(J707&gt;=setMedium,"Medium","Small"))</f>
        <v>Medium</v>
      </c>
      <c r="V707" s="41" t="str">
        <f aca="false">IF(P707&gt;=setExc,"Excellent",IF(P707&gt;=setGood,"Good",IF(P707&gt;=setAvg,"Average","Poor")))</f>
        <v>Good</v>
      </c>
    </row>
    <row r="708" customFormat="false" ht="15" hidden="false" customHeight="false" outlineLevel="0" collapsed="false">
      <c r="A708" s="41" t="s">
        <v>886</v>
      </c>
      <c r="B708" s="41" t="s">
        <v>189</v>
      </c>
      <c r="C708" s="41" t="s">
        <v>86</v>
      </c>
      <c r="D708" s="41" t="s">
        <v>105</v>
      </c>
      <c r="E708" s="41" t="s">
        <v>102</v>
      </c>
      <c r="F708" s="41" t="s">
        <v>78</v>
      </c>
      <c r="G708" s="42" t="n">
        <v>43</v>
      </c>
      <c r="H708" s="41" t="n">
        <v>4</v>
      </c>
      <c r="I708" s="42" t="n">
        <v>8.6</v>
      </c>
      <c r="J708" s="42" t="n">
        <v>180.6</v>
      </c>
      <c r="K708" s="43" t="n">
        <v>43496</v>
      </c>
      <c r="L708" s="44" t="n">
        <v>0.866666666666667</v>
      </c>
      <c r="M708" s="41" t="s">
        <v>98</v>
      </c>
      <c r="N708" s="42" t="n">
        <v>172</v>
      </c>
      <c r="O708" s="42" t="n">
        <v>8.6</v>
      </c>
      <c r="P708" s="45" t="n">
        <v>7.6</v>
      </c>
      <c r="Q708" s="41" t="str">
        <f aca="false">CHOOSE(MONTH(K708),"Jan","Feb","Mar","Apr","May","Jun","Jul","Aug","Sep","Oct","Nov","Dec")</f>
        <v>Jan</v>
      </c>
      <c r="R708" s="41" t="n">
        <f aca="false">INT((K708-setMinDate)/7)+1</f>
        <v>5</v>
      </c>
      <c r="S708" s="41" t="n">
        <f aca="false">HOUR(L708)</f>
        <v>20</v>
      </c>
      <c r="T708" s="41" t="str">
        <f aca="false">IF(S708&lt;setMorningEnd,"Morning",IF(S708&lt;setAfternoonEnd,"Afternoon","Evening"))</f>
        <v>Evening</v>
      </c>
      <c r="U708" s="41" t="str">
        <f aca="false">IF(J708&gt;=setLarge,"Large",IF(J708&gt;=setMedium,"Medium","Small"))</f>
        <v>Small</v>
      </c>
      <c r="V708" s="41" t="str">
        <f aca="false">IF(P708&gt;=setExc,"Excellent",IF(P708&gt;=setGood,"Good",IF(P708&gt;=setAvg,"Average","Poor")))</f>
        <v>Good</v>
      </c>
    </row>
    <row r="709" customFormat="false" ht="15" hidden="false" customHeight="false" outlineLevel="0" collapsed="false">
      <c r="A709" s="41" t="s">
        <v>887</v>
      </c>
      <c r="B709" s="41" t="s">
        <v>180</v>
      </c>
      <c r="C709" s="41" t="s">
        <v>87</v>
      </c>
      <c r="D709" s="41" t="s">
        <v>104</v>
      </c>
      <c r="E709" s="41" t="s">
        <v>103</v>
      </c>
      <c r="F709" s="41" t="s">
        <v>76</v>
      </c>
      <c r="G709" s="42" t="n">
        <v>68.98</v>
      </c>
      <c r="H709" s="41" t="n">
        <v>1</v>
      </c>
      <c r="I709" s="42" t="n">
        <v>3.449</v>
      </c>
      <c r="J709" s="42" t="n">
        <v>72.429</v>
      </c>
      <c r="K709" s="43" t="n">
        <v>43486</v>
      </c>
      <c r="L709" s="44" t="n">
        <v>0.842361111111111</v>
      </c>
      <c r="M709" s="41" t="s">
        <v>97</v>
      </c>
      <c r="N709" s="42" t="n">
        <v>68.98</v>
      </c>
      <c r="O709" s="42" t="n">
        <v>3.449</v>
      </c>
      <c r="P709" s="45" t="n">
        <v>4.8</v>
      </c>
      <c r="Q709" s="41" t="str">
        <f aca="false">CHOOSE(MONTH(K709),"Jan","Feb","Mar","Apr","May","Jun","Jul","Aug","Sep","Oct","Nov","Dec")</f>
        <v>Jan</v>
      </c>
      <c r="R709" s="41" t="n">
        <f aca="false">INT((K709-setMinDate)/7)+1</f>
        <v>3</v>
      </c>
      <c r="S709" s="41" t="n">
        <f aca="false">HOUR(L709)</f>
        <v>20</v>
      </c>
      <c r="T709" s="41" t="str">
        <f aca="false">IF(S709&lt;setMorningEnd,"Morning",IF(S709&lt;setAfternoonEnd,"Afternoon","Evening"))</f>
        <v>Evening</v>
      </c>
      <c r="U709" s="41" t="str">
        <f aca="false">IF(J709&gt;=setLarge,"Large",IF(J709&gt;=setMedium,"Medium","Small"))</f>
        <v>Small</v>
      </c>
      <c r="V709" s="41" t="str">
        <f aca="false">IF(P709&gt;=setExc,"Excellent",IF(P709&gt;=setGood,"Good",IF(P709&gt;=setAvg,"Average","Poor")))</f>
        <v>Poor</v>
      </c>
    </row>
    <row r="710" customFormat="false" ht="15" hidden="false" customHeight="false" outlineLevel="0" collapsed="false">
      <c r="A710" s="41" t="s">
        <v>888</v>
      </c>
      <c r="B710" s="41" t="s">
        <v>180</v>
      </c>
      <c r="C710" s="41" t="s">
        <v>87</v>
      </c>
      <c r="D710" s="41" t="s">
        <v>105</v>
      </c>
      <c r="E710" s="41" t="s">
        <v>103</v>
      </c>
      <c r="F710" s="41" t="s">
        <v>79</v>
      </c>
      <c r="G710" s="42" t="n">
        <v>15.62</v>
      </c>
      <c r="H710" s="41" t="n">
        <v>8</v>
      </c>
      <c r="I710" s="42" t="n">
        <v>6.248</v>
      </c>
      <c r="J710" s="42" t="n">
        <v>131.208</v>
      </c>
      <c r="K710" s="43" t="n">
        <v>43485</v>
      </c>
      <c r="L710" s="44" t="n">
        <v>0.859027777777778</v>
      </c>
      <c r="M710" s="41" t="s">
        <v>98</v>
      </c>
      <c r="N710" s="42" t="n">
        <v>124.96</v>
      </c>
      <c r="O710" s="42" t="n">
        <v>6.248</v>
      </c>
      <c r="P710" s="45" t="n">
        <v>9.1</v>
      </c>
      <c r="Q710" s="41" t="str">
        <f aca="false">CHOOSE(MONTH(K710),"Jan","Feb","Mar","Apr","May","Jun","Jul","Aug","Sep","Oct","Nov","Dec")</f>
        <v>Jan</v>
      </c>
      <c r="R710" s="41" t="n">
        <f aca="false">INT((K710-setMinDate)/7)+1</f>
        <v>3</v>
      </c>
      <c r="S710" s="41" t="n">
        <f aca="false">HOUR(L710)</f>
        <v>20</v>
      </c>
      <c r="T710" s="41" t="str">
        <f aca="false">IF(S710&lt;setMorningEnd,"Morning",IF(S710&lt;setAfternoonEnd,"Afternoon","Evening"))</f>
        <v>Evening</v>
      </c>
      <c r="U710" s="41" t="str">
        <f aca="false">IF(J710&gt;=setLarge,"Large",IF(J710&gt;=setMedium,"Medium","Small"))</f>
        <v>Small</v>
      </c>
      <c r="V710" s="41" t="str">
        <f aca="false">IF(P710&gt;=setExc,"Excellent",IF(P710&gt;=setGood,"Good",IF(P710&gt;=setAvg,"Average","Poor")))</f>
        <v>Excellent</v>
      </c>
    </row>
    <row r="711" customFormat="false" ht="15" hidden="false" customHeight="false" outlineLevel="0" collapsed="false">
      <c r="A711" s="41" t="s">
        <v>889</v>
      </c>
      <c r="B711" s="41" t="s">
        <v>178</v>
      </c>
      <c r="C711" s="41" t="s">
        <v>85</v>
      </c>
      <c r="D711" s="41" t="s">
        <v>105</v>
      </c>
      <c r="E711" s="41" t="s">
        <v>103</v>
      </c>
      <c r="F711" s="41" t="s">
        <v>77</v>
      </c>
      <c r="G711" s="42" t="n">
        <v>25.7</v>
      </c>
      <c r="H711" s="41" t="n">
        <v>3</v>
      </c>
      <c r="I711" s="42" t="n">
        <v>3.855</v>
      </c>
      <c r="J711" s="42" t="n">
        <v>80.955</v>
      </c>
      <c r="K711" s="43" t="n">
        <v>43482</v>
      </c>
      <c r="L711" s="44" t="n">
        <v>0.749305555555556</v>
      </c>
      <c r="M711" s="41" t="s">
        <v>98</v>
      </c>
      <c r="N711" s="42" t="n">
        <v>77.1</v>
      </c>
      <c r="O711" s="42" t="n">
        <v>3.855</v>
      </c>
      <c r="P711" s="45" t="n">
        <v>6.1</v>
      </c>
      <c r="Q711" s="41" t="str">
        <f aca="false">CHOOSE(MONTH(K711),"Jan","Feb","Mar","Apr","May","Jun","Jul","Aug","Sep","Oct","Nov","Dec")</f>
        <v>Jan</v>
      </c>
      <c r="R711" s="41" t="n">
        <f aca="false">INT((K711-setMinDate)/7)+1</f>
        <v>3</v>
      </c>
      <c r="S711" s="41" t="n">
        <f aca="false">HOUR(L711)</f>
        <v>17</v>
      </c>
      <c r="T711" s="41" t="str">
        <f aca="false">IF(S711&lt;setMorningEnd,"Morning",IF(S711&lt;setAfternoonEnd,"Afternoon","Evening"))</f>
        <v>Evening</v>
      </c>
      <c r="U711" s="41" t="str">
        <f aca="false">IF(J711&gt;=setLarge,"Large",IF(J711&gt;=setMedium,"Medium","Small"))</f>
        <v>Small</v>
      </c>
      <c r="V711" s="41" t="str">
        <f aca="false">IF(P711&gt;=setExc,"Excellent",IF(P711&gt;=setGood,"Good",IF(P711&gt;=setAvg,"Average","Poor")))</f>
        <v>Average</v>
      </c>
    </row>
    <row r="712" customFormat="false" ht="15" hidden="false" customHeight="false" outlineLevel="0" collapsed="false">
      <c r="A712" s="41" t="s">
        <v>890</v>
      </c>
      <c r="B712" s="41" t="s">
        <v>178</v>
      </c>
      <c r="C712" s="41" t="s">
        <v>85</v>
      </c>
      <c r="D712" s="41" t="s">
        <v>104</v>
      </c>
      <c r="E712" s="41" t="s">
        <v>103</v>
      </c>
      <c r="F712" s="41" t="s">
        <v>76</v>
      </c>
      <c r="G712" s="42" t="n">
        <v>80.62</v>
      </c>
      <c r="H712" s="41" t="n">
        <v>6</v>
      </c>
      <c r="I712" s="42" t="n">
        <v>24.186</v>
      </c>
      <c r="J712" s="42" t="n">
        <v>507.906</v>
      </c>
      <c r="K712" s="43" t="n">
        <v>43524</v>
      </c>
      <c r="L712" s="44" t="n">
        <v>0.845833333333333</v>
      </c>
      <c r="M712" s="41" t="s">
        <v>97</v>
      </c>
      <c r="N712" s="42" t="n">
        <v>483.72</v>
      </c>
      <c r="O712" s="42" t="n">
        <v>24.186</v>
      </c>
      <c r="P712" s="45" t="n">
        <v>9.1</v>
      </c>
      <c r="Q712" s="41" t="str">
        <f aca="false">CHOOSE(MONTH(K712),"Jan","Feb","Mar","Apr","May","Jun","Jul","Aug","Sep","Oct","Nov","Dec")</f>
        <v>Feb</v>
      </c>
      <c r="R712" s="41" t="n">
        <f aca="false">INT((K712-setMinDate)/7)+1</f>
        <v>9</v>
      </c>
      <c r="S712" s="41" t="n">
        <f aca="false">HOUR(L712)</f>
        <v>20</v>
      </c>
      <c r="T712" s="41" t="str">
        <f aca="false">IF(S712&lt;setMorningEnd,"Morning",IF(S712&lt;setAfternoonEnd,"Afternoon","Evening"))</f>
        <v>Evening</v>
      </c>
      <c r="U712" s="41" t="str">
        <f aca="false">IF(J712&gt;=setLarge,"Large",IF(J712&gt;=setMedium,"Medium","Small"))</f>
        <v>Medium</v>
      </c>
      <c r="V712" s="41" t="str">
        <f aca="false">IF(P712&gt;=setExc,"Excellent",IF(P712&gt;=setGood,"Good",IF(P712&gt;=setAvg,"Average","Poor")))</f>
        <v>Excellent</v>
      </c>
    </row>
    <row r="713" customFormat="false" ht="15" hidden="false" customHeight="false" outlineLevel="0" collapsed="false">
      <c r="A713" s="41" t="s">
        <v>891</v>
      </c>
      <c r="B713" s="41" t="s">
        <v>180</v>
      </c>
      <c r="C713" s="41" t="s">
        <v>87</v>
      </c>
      <c r="D713" s="41" t="s">
        <v>104</v>
      </c>
      <c r="E713" s="41" t="s">
        <v>102</v>
      </c>
      <c r="F713" s="41" t="s">
        <v>80</v>
      </c>
      <c r="G713" s="42" t="n">
        <v>75.53</v>
      </c>
      <c r="H713" s="41" t="n">
        <v>4</v>
      </c>
      <c r="I713" s="42" t="n">
        <v>15.106</v>
      </c>
      <c r="J713" s="42" t="n">
        <v>317.226</v>
      </c>
      <c r="K713" s="43" t="n">
        <v>43543</v>
      </c>
      <c r="L713" s="44" t="n">
        <v>0.661111111111111</v>
      </c>
      <c r="M713" s="41" t="s">
        <v>98</v>
      </c>
      <c r="N713" s="42" t="n">
        <v>302.12</v>
      </c>
      <c r="O713" s="42" t="n">
        <v>15.106</v>
      </c>
      <c r="P713" s="45" t="n">
        <v>8.3</v>
      </c>
      <c r="Q713" s="41" t="str">
        <f aca="false">CHOOSE(MONTH(K713),"Jan","Feb","Mar","Apr","May","Jun","Jul","Aug","Sep","Oct","Nov","Dec")</f>
        <v>Mar</v>
      </c>
      <c r="R713" s="41" t="n">
        <f aca="false">INT((K713-setMinDate)/7)+1</f>
        <v>12</v>
      </c>
      <c r="S713" s="41" t="n">
        <f aca="false">HOUR(L713)</f>
        <v>15</v>
      </c>
      <c r="T713" s="41" t="str">
        <f aca="false">IF(S713&lt;setMorningEnd,"Morning",IF(S713&lt;setAfternoonEnd,"Afternoon","Evening"))</f>
        <v>Afternoon</v>
      </c>
      <c r="U713" s="41" t="str">
        <f aca="false">IF(J713&gt;=setLarge,"Large",IF(J713&gt;=setMedium,"Medium","Small"))</f>
        <v>Medium</v>
      </c>
      <c r="V713" s="41" t="str">
        <f aca="false">IF(P713&gt;=setExc,"Excellent",IF(P713&gt;=setGood,"Good",IF(P713&gt;=setAvg,"Average","Poor")))</f>
        <v>Good</v>
      </c>
    </row>
    <row r="714" customFormat="false" ht="15" hidden="false" customHeight="false" outlineLevel="0" collapsed="false">
      <c r="A714" s="41" t="s">
        <v>892</v>
      </c>
      <c r="B714" s="41" t="s">
        <v>180</v>
      </c>
      <c r="C714" s="41" t="s">
        <v>87</v>
      </c>
      <c r="D714" s="41" t="s">
        <v>105</v>
      </c>
      <c r="E714" s="41" t="s">
        <v>102</v>
      </c>
      <c r="F714" s="41" t="s">
        <v>78</v>
      </c>
      <c r="G714" s="42" t="n">
        <v>77.63</v>
      </c>
      <c r="H714" s="41" t="n">
        <v>9</v>
      </c>
      <c r="I714" s="42" t="n">
        <v>34.9335</v>
      </c>
      <c r="J714" s="42" t="n">
        <v>733.6035</v>
      </c>
      <c r="K714" s="43" t="n">
        <v>43515</v>
      </c>
      <c r="L714" s="44" t="n">
        <v>0.634722222222222</v>
      </c>
      <c r="M714" s="41" t="s">
        <v>98</v>
      </c>
      <c r="N714" s="42" t="n">
        <v>698.67</v>
      </c>
      <c r="O714" s="42" t="n">
        <v>34.9335</v>
      </c>
      <c r="P714" s="45" t="n">
        <v>7.2</v>
      </c>
      <c r="Q714" s="41" t="str">
        <f aca="false">CHOOSE(MONTH(K714),"Jan","Feb","Mar","Apr","May","Jun","Jul","Aug","Sep","Oct","Nov","Dec")</f>
        <v>Feb</v>
      </c>
      <c r="R714" s="41" t="n">
        <f aca="false">INT((K714-setMinDate)/7)+1</f>
        <v>8</v>
      </c>
      <c r="S714" s="41" t="n">
        <f aca="false">HOUR(L714)</f>
        <v>15</v>
      </c>
      <c r="T714" s="41" t="str">
        <f aca="false">IF(S714&lt;setMorningEnd,"Morning",IF(S714&lt;setAfternoonEnd,"Afternoon","Evening"))</f>
        <v>Afternoon</v>
      </c>
      <c r="U714" s="41" t="str">
        <f aca="false">IF(J714&gt;=setLarge,"Large",IF(J714&gt;=setMedium,"Medium","Small"))</f>
        <v>Large</v>
      </c>
      <c r="V714" s="41" t="str">
        <f aca="false">IF(P714&gt;=setExc,"Excellent",IF(P714&gt;=setGood,"Good",IF(P714&gt;=setAvg,"Average","Poor")))</f>
        <v>Good</v>
      </c>
    </row>
    <row r="715" customFormat="false" ht="15" hidden="false" customHeight="false" outlineLevel="0" collapsed="false">
      <c r="A715" s="41" t="s">
        <v>893</v>
      </c>
      <c r="B715" s="41" t="s">
        <v>180</v>
      </c>
      <c r="C715" s="41" t="s">
        <v>87</v>
      </c>
      <c r="D715" s="41" t="s">
        <v>105</v>
      </c>
      <c r="E715" s="41" t="s">
        <v>102</v>
      </c>
      <c r="F715" s="41" t="s">
        <v>81</v>
      </c>
      <c r="G715" s="42" t="n">
        <v>13.85</v>
      </c>
      <c r="H715" s="41" t="n">
        <v>9</v>
      </c>
      <c r="I715" s="42" t="n">
        <v>6.2325</v>
      </c>
      <c r="J715" s="42" t="n">
        <v>130.8825</v>
      </c>
      <c r="K715" s="43" t="n">
        <v>43500</v>
      </c>
      <c r="L715" s="44" t="n">
        <v>0.534722222222222</v>
      </c>
      <c r="M715" s="41" t="s">
        <v>98</v>
      </c>
      <c r="N715" s="42" t="n">
        <v>124.65</v>
      </c>
      <c r="O715" s="42" t="n">
        <v>6.2325</v>
      </c>
      <c r="P715" s="45" t="n">
        <v>6</v>
      </c>
      <c r="Q715" s="41" t="str">
        <f aca="false">CHOOSE(MONTH(K715),"Jan","Feb","Mar","Apr","May","Jun","Jul","Aug","Sep","Oct","Nov","Dec")</f>
        <v>Feb</v>
      </c>
      <c r="R715" s="41" t="n">
        <f aca="false">INT((K715-setMinDate)/7)+1</f>
        <v>5</v>
      </c>
      <c r="S715" s="41" t="n">
        <f aca="false">HOUR(L715)</f>
        <v>12</v>
      </c>
      <c r="T715" s="41" t="str">
        <f aca="false">IF(S715&lt;setMorningEnd,"Morning",IF(S715&lt;setAfternoonEnd,"Afternoon","Evening"))</f>
        <v>Afternoon</v>
      </c>
      <c r="U715" s="41" t="str">
        <f aca="false">IF(J715&gt;=setLarge,"Large",IF(J715&gt;=setMedium,"Medium","Small"))</f>
        <v>Small</v>
      </c>
      <c r="V715" s="41" t="str">
        <f aca="false">IF(P715&gt;=setExc,"Excellent",IF(P715&gt;=setGood,"Good",IF(P715&gt;=setAvg,"Average","Poor")))</f>
        <v>Average</v>
      </c>
    </row>
    <row r="716" customFormat="false" ht="15" hidden="false" customHeight="false" outlineLevel="0" collapsed="false">
      <c r="A716" s="41" t="s">
        <v>894</v>
      </c>
      <c r="B716" s="41" t="s">
        <v>180</v>
      </c>
      <c r="C716" s="41" t="s">
        <v>87</v>
      </c>
      <c r="D716" s="41" t="s">
        <v>104</v>
      </c>
      <c r="E716" s="41" t="s">
        <v>103</v>
      </c>
      <c r="F716" s="41" t="s">
        <v>79</v>
      </c>
      <c r="G716" s="42" t="n">
        <v>98.7</v>
      </c>
      <c r="H716" s="41" t="n">
        <v>8</v>
      </c>
      <c r="I716" s="42" t="n">
        <v>39.48</v>
      </c>
      <c r="J716" s="42" t="n">
        <v>829.08</v>
      </c>
      <c r="K716" s="43" t="n">
        <v>43496</v>
      </c>
      <c r="L716" s="44" t="n">
        <v>0.441666666666667</v>
      </c>
      <c r="M716" s="41" t="s">
        <v>98</v>
      </c>
      <c r="N716" s="42" t="n">
        <v>789.6</v>
      </c>
      <c r="O716" s="42" t="n">
        <v>39.48</v>
      </c>
      <c r="P716" s="45" t="n">
        <v>8.5</v>
      </c>
      <c r="Q716" s="41" t="str">
        <f aca="false">CHOOSE(MONTH(K716),"Jan","Feb","Mar","Apr","May","Jun","Jul","Aug","Sep","Oct","Nov","Dec")</f>
        <v>Jan</v>
      </c>
      <c r="R716" s="41" t="n">
        <f aca="false">INT((K716-setMinDate)/7)+1</f>
        <v>5</v>
      </c>
      <c r="S716" s="41" t="n">
        <f aca="false">HOUR(L716)</f>
        <v>10</v>
      </c>
      <c r="T716" s="41" t="str">
        <f aca="false">IF(S716&lt;setMorningEnd,"Morning",IF(S716&lt;setAfternoonEnd,"Afternoon","Evening"))</f>
        <v>Morning</v>
      </c>
      <c r="U716" s="41" t="str">
        <f aca="false">IF(J716&gt;=setLarge,"Large",IF(J716&gt;=setMedium,"Medium","Small"))</f>
        <v>Large</v>
      </c>
      <c r="V716" s="41" t="str">
        <f aca="false">IF(P716&gt;=setExc,"Excellent",IF(P716&gt;=setGood,"Good",IF(P716&gt;=setAvg,"Average","Poor")))</f>
        <v>Good</v>
      </c>
    </row>
    <row r="717" customFormat="false" ht="15" hidden="false" customHeight="false" outlineLevel="0" collapsed="false">
      <c r="A717" s="41" t="s">
        <v>895</v>
      </c>
      <c r="B717" s="41" t="s">
        <v>178</v>
      </c>
      <c r="C717" s="41" t="s">
        <v>85</v>
      </c>
      <c r="D717" s="41" t="s">
        <v>105</v>
      </c>
      <c r="E717" s="41" t="s">
        <v>102</v>
      </c>
      <c r="F717" s="41" t="s">
        <v>81</v>
      </c>
      <c r="G717" s="42" t="n">
        <v>35.68</v>
      </c>
      <c r="H717" s="41" t="n">
        <v>5</v>
      </c>
      <c r="I717" s="42" t="n">
        <v>8.92</v>
      </c>
      <c r="J717" s="42" t="n">
        <v>187.32</v>
      </c>
      <c r="K717" s="43" t="n">
        <v>43502</v>
      </c>
      <c r="L717" s="44" t="n">
        <v>0.772916666666667</v>
      </c>
      <c r="M717" s="41" t="s">
        <v>99</v>
      </c>
      <c r="N717" s="42" t="n">
        <v>178.4</v>
      </c>
      <c r="O717" s="42" t="n">
        <v>8.92</v>
      </c>
      <c r="P717" s="45" t="n">
        <v>6.6</v>
      </c>
      <c r="Q717" s="41" t="str">
        <f aca="false">CHOOSE(MONTH(K717),"Jan","Feb","Mar","Apr","May","Jun","Jul","Aug","Sep","Oct","Nov","Dec")</f>
        <v>Feb</v>
      </c>
      <c r="R717" s="41" t="n">
        <f aca="false">INT((K717-setMinDate)/7)+1</f>
        <v>6</v>
      </c>
      <c r="S717" s="41" t="n">
        <f aca="false">HOUR(L717)</f>
        <v>18</v>
      </c>
      <c r="T717" s="41" t="str">
        <f aca="false">IF(S717&lt;setMorningEnd,"Morning",IF(S717&lt;setAfternoonEnd,"Afternoon","Evening"))</f>
        <v>Evening</v>
      </c>
      <c r="U717" s="41" t="str">
        <f aca="false">IF(J717&gt;=setLarge,"Large",IF(J717&gt;=setMedium,"Medium","Small"))</f>
        <v>Small</v>
      </c>
      <c r="V717" s="41" t="str">
        <f aca="false">IF(P717&gt;=setExc,"Excellent",IF(P717&gt;=setGood,"Good",IF(P717&gt;=setAvg,"Average","Poor")))</f>
        <v>Average</v>
      </c>
    </row>
    <row r="718" customFormat="false" ht="15" hidden="false" customHeight="false" outlineLevel="0" collapsed="false">
      <c r="A718" s="41" t="s">
        <v>896</v>
      </c>
      <c r="B718" s="41" t="s">
        <v>178</v>
      </c>
      <c r="C718" s="41" t="s">
        <v>85</v>
      </c>
      <c r="D718" s="41" t="s">
        <v>104</v>
      </c>
      <c r="E718" s="41" t="s">
        <v>102</v>
      </c>
      <c r="F718" s="41" t="s">
        <v>79</v>
      </c>
      <c r="G718" s="42" t="n">
        <v>71.46</v>
      </c>
      <c r="H718" s="41" t="n">
        <v>7</v>
      </c>
      <c r="I718" s="42" t="n">
        <v>25.011</v>
      </c>
      <c r="J718" s="42" t="n">
        <v>525.231</v>
      </c>
      <c r="K718" s="43" t="n">
        <v>43552</v>
      </c>
      <c r="L718" s="44" t="n">
        <v>0.670833333333333</v>
      </c>
      <c r="M718" s="41" t="s">
        <v>98</v>
      </c>
      <c r="N718" s="42" t="n">
        <v>500.22</v>
      </c>
      <c r="O718" s="42" t="n">
        <v>25.011</v>
      </c>
      <c r="P718" s="45" t="n">
        <v>4.5</v>
      </c>
      <c r="Q718" s="41" t="str">
        <f aca="false">CHOOSE(MONTH(K718),"Jan","Feb","Mar","Apr","May","Jun","Jul","Aug","Sep","Oct","Nov","Dec")</f>
        <v>Mar</v>
      </c>
      <c r="R718" s="41" t="n">
        <f aca="false">INT((K718-setMinDate)/7)+1</f>
        <v>13</v>
      </c>
      <c r="S718" s="41" t="n">
        <f aca="false">HOUR(L718)</f>
        <v>16</v>
      </c>
      <c r="T718" s="41" t="str">
        <f aca="false">IF(S718&lt;setMorningEnd,"Morning",IF(S718&lt;setAfternoonEnd,"Afternoon","Evening"))</f>
        <v>Afternoon</v>
      </c>
      <c r="U718" s="41" t="str">
        <f aca="false">IF(J718&gt;=setLarge,"Large",IF(J718&gt;=setMedium,"Medium","Small"))</f>
        <v>Medium</v>
      </c>
      <c r="V718" s="41" t="str">
        <f aca="false">IF(P718&gt;=setExc,"Excellent",IF(P718&gt;=setGood,"Good",IF(P718&gt;=setAvg,"Average","Poor")))</f>
        <v>Poor</v>
      </c>
    </row>
    <row r="719" customFormat="false" ht="15" hidden="false" customHeight="false" outlineLevel="0" collapsed="false">
      <c r="A719" s="41" t="s">
        <v>897</v>
      </c>
      <c r="B719" s="41" t="s">
        <v>178</v>
      </c>
      <c r="C719" s="41" t="s">
        <v>85</v>
      </c>
      <c r="D719" s="41" t="s">
        <v>104</v>
      </c>
      <c r="E719" s="41" t="s">
        <v>103</v>
      </c>
      <c r="F719" s="41" t="s">
        <v>78</v>
      </c>
      <c r="G719" s="42" t="n">
        <v>11.94</v>
      </c>
      <c r="H719" s="41" t="n">
        <v>3</v>
      </c>
      <c r="I719" s="42" t="n">
        <v>1.791</v>
      </c>
      <c r="J719" s="42" t="n">
        <v>37.611</v>
      </c>
      <c r="K719" s="43" t="n">
        <v>43484</v>
      </c>
      <c r="L719" s="44" t="n">
        <v>0.532638888888889</v>
      </c>
      <c r="M719" s="41" t="s">
        <v>99</v>
      </c>
      <c r="N719" s="42" t="n">
        <v>35.82</v>
      </c>
      <c r="O719" s="42" t="n">
        <v>1.791</v>
      </c>
      <c r="P719" s="45" t="n">
        <v>8.1</v>
      </c>
      <c r="Q719" s="41" t="str">
        <f aca="false">CHOOSE(MONTH(K719),"Jan","Feb","Mar","Apr","May","Jun","Jul","Aug","Sep","Oct","Nov","Dec")</f>
        <v>Jan</v>
      </c>
      <c r="R719" s="41" t="n">
        <f aca="false">INT((K719-setMinDate)/7)+1</f>
        <v>3</v>
      </c>
      <c r="S719" s="41" t="n">
        <f aca="false">HOUR(L719)</f>
        <v>12</v>
      </c>
      <c r="T719" s="41" t="str">
        <f aca="false">IF(S719&lt;setMorningEnd,"Morning",IF(S719&lt;setAfternoonEnd,"Afternoon","Evening"))</f>
        <v>Afternoon</v>
      </c>
      <c r="U719" s="41" t="str">
        <f aca="false">IF(J719&gt;=setLarge,"Large",IF(J719&gt;=setMedium,"Medium","Small"))</f>
        <v>Small</v>
      </c>
      <c r="V719" s="41" t="str">
        <f aca="false">IF(P719&gt;=setExc,"Excellent",IF(P719&gt;=setGood,"Good",IF(P719&gt;=setAvg,"Average","Poor")))</f>
        <v>Good</v>
      </c>
    </row>
    <row r="720" customFormat="false" ht="15" hidden="false" customHeight="false" outlineLevel="0" collapsed="false">
      <c r="A720" s="41" t="s">
        <v>898</v>
      </c>
      <c r="B720" s="41" t="s">
        <v>178</v>
      </c>
      <c r="C720" s="41" t="s">
        <v>85</v>
      </c>
      <c r="D720" s="41" t="s">
        <v>105</v>
      </c>
      <c r="E720" s="41" t="s">
        <v>103</v>
      </c>
      <c r="F720" s="41" t="s">
        <v>79</v>
      </c>
      <c r="G720" s="42" t="n">
        <v>45.38</v>
      </c>
      <c r="H720" s="41" t="n">
        <v>3</v>
      </c>
      <c r="I720" s="42" t="n">
        <v>6.807</v>
      </c>
      <c r="J720" s="42" t="n">
        <v>142.947</v>
      </c>
      <c r="K720" s="43" t="n">
        <v>43513</v>
      </c>
      <c r="L720" s="44" t="n">
        <v>0.565277777777778</v>
      </c>
      <c r="M720" s="41" t="s">
        <v>99</v>
      </c>
      <c r="N720" s="42" t="n">
        <v>136.14</v>
      </c>
      <c r="O720" s="42" t="n">
        <v>6.807</v>
      </c>
      <c r="P720" s="45" t="n">
        <v>7.2</v>
      </c>
      <c r="Q720" s="41" t="str">
        <f aca="false">CHOOSE(MONTH(K720),"Jan","Feb","Mar","Apr","May","Jun","Jul","Aug","Sep","Oct","Nov","Dec")</f>
        <v>Feb</v>
      </c>
      <c r="R720" s="41" t="n">
        <f aca="false">INT((K720-setMinDate)/7)+1</f>
        <v>7</v>
      </c>
      <c r="S720" s="41" t="n">
        <f aca="false">HOUR(L720)</f>
        <v>13</v>
      </c>
      <c r="T720" s="41" t="str">
        <f aca="false">IF(S720&lt;setMorningEnd,"Morning",IF(S720&lt;setAfternoonEnd,"Afternoon","Evening"))</f>
        <v>Afternoon</v>
      </c>
      <c r="U720" s="41" t="str">
        <f aca="false">IF(J720&gt;=setLarge,"Large",IF(J720&gt;=setMedium,"Medium","Small"))</f>
        <v>Small</v>
      </c>
      <c r="V720" s="41" t="str">
        <f aca="false">IF(P720&gt;=setExc,"Excellent",IF(P720&gt;=setGood,"Good",IF(P720&gt;=setAvg,"Average","Poor")))</f>
        <v>Good</v>
      </c>
    </row>
    <row r="721" customFormat="false" ht="15" hidden="false" customHeight="false" outlineLevel="0" collapsed="false">
      <c r="A721" s="41" t="s">
        <v>899</v>
      </c>
      <c r="B721" s="41" t="s">
        <v>189</v>
      </c>
      <c r="C721" s="41" t="s">
        <v>86</v>
      </c>
      <c r="D721" s="41" t="s">
        <v>104</v>
      </c>
      <c r="E721" s="41" t="s">
        <v>102</v>
      </c>
      <c r="F721" s="41" t="s">
        <v>79</v>
      </c>
      <c r="G721" s="42" t="n">
        <v>17.48</v>
      </c>
      <c r="H721" s="41" t="n">
        <v>6</v>
      </c>
      <c r="I721" s="42" t="n">
        <v>5.244</v>
      </c>
      <c r="J721" s="42" t="n">
        <v>110.124</v>
      </c>
      <c r="K721" s="43" t="n">
        <v>43483</v>
      </c>
      <c r="L721" s="44" t="n">
        <v>0.627777777777778</v>
      </c>
      <c r="M721" s="41" t="s">
        <v>99</v>
      </c>
      <c r="N721" s="42" t="n">
        <v>104.88</v>
      </c>
      <c r="O721" s="42" t="n">
        <v>5.244</v>
      </c>
      <c r="P721" s="45" t="n">
        <v>6.1</v>
      </c>
      <c r="Q721" s="41" t="str">
        <f aca="false">CHOOSE(MONTH(K721),"Jan","Feb","Mar","Apr","May","Jun","Jul","Aug","Sep","Oct","Nov","Dec")</f>
        <v>Jan</v>
      </c>
      <c r="R721" s="41" t="n">
        <f aca="false">INT((K721-setMinDate)/7)+1</f>
        <v>3</v>
      </c>
      <c r="S721" s="41" t="n">
        <f aca="false">HOUR(L721)</f>
        <v>15</v>
      </c>
      <c r="T721" s="41" t="str">
        <f aca="false">IF(S721&lt;setMorningEnd,"Morning",IF(S721&lt;setAfternoonEnd,"Afternoon","Evening"))</f>
        <v>Afternoon</v>
      </c>
      <c r="U721" s="41" t="str">
        <f aca="false">IF(J721&gt;=setLarge,"Large",IF(J721&gt;=setMedium,"Medium","Small"))</f>
        <v>Small</v>
      </c>
      <c r="V721" s="41" t="str">
        <f aca="false">IF(P721&gt;=setExc,"Excellent",IF(P721&gt;=setGood,"Good",IF(P721&gt;=setAvg,"Average","Poor")))</f>
        <v>Average</v>
      </c>
    </row>
    <row r="722" customFormat="false" ht="15" hidden="false" customHeight="false" outlineLevel="0" collapsed="false">
      <c r="A722" s="41" t="s">
        <v>900</v>
      </c>
      <c r="B722" s="41" t="s">
        <v>189</v>
      </c>
      <c r="C722" s="41" t="s">
        <v>86</v>
      </c>
      <c r="D722" s="41" t="s">
        <v>105</v>
      </c>
      <c r="E722" s="41" t="s">
        <v>102</v>
      </c>
      <c r="F722" s="41" t="s">
        <v>79</v>
      </c>
      <c r="G722" s="42" t="n">
        <v>25.56</v>
      </c>
      <c r="H722" s="41" t="n">
        <v>7</v>
      </c>
      <c r="I722" s="42" t="n">
        <v>8.946</v>
      </c>
      <c r="J722" s="42" t="n">
        <v>187.866</v>
      </c>
      <c r="K722" s="43" t="n">
        <v>43498</v>
      </c>
      <c r="L722" s="44" t="n">
        <v>0.8625</v>
      </c>
      <c r="M722" s="41" t="s">
        <v>97</v>
      </c>
      <c r="N722" s="42" t="n">
        <v>178.92</v>
      </c>
      <c r="O722" s="42" t="n">
        <v>8.946</v>
      </c>
      <c r="P722" s="45" t="n">
        <v>7.1</v>
      </c>
      <c r="Q722" s="41" t="str">
        <f aca="false">CHOOSE(MONTH(K722),"Jan","Feb","Mar","Apr","May","Jun","Jul","Aug","Sep","Oct","Nov","Dec")</f>
        <v>Feb</v>
      </c>
      <c r="R722" s="41" t="n">
        <f aca="false">INT((K722-setMinDate)/7)+1</f>
        <v>5</v>
      </c>
      <c r="S722" s="41" t="n">
        <f aca="false">HOUR(L722)</f>
        <v>20</v>
      </c>
      <c r="T722" s="41" t="str">
        <f aca="false">IF(S722&lt;setMorningEnd,"Morning",IF(S722&lt;setAfternoonEnd,"Afternoon","Evening"))</f>
        <v>Evening</v>
      </c>
      <c r="U722" s="41" t="str">
        <f aca="false">IF(J722&gt;=setLarge,"Large",IF(J722&gt;=setMedium,"Medium","Small"))</f>
        <v>Small</v>
      </c>
      <c r="V722" s="41" t="str">
        <f aca="false">IF(P722&gt;=setExc,"Excellent",IF(P722&gt;=setGood,"Good",IF(P722&gt;=setAvg,"Average","Poor")))</f>
        <v>Good</v>
      </c>
    </row>
    <row r="723" customFormat="false" ht="15" hidden="false" customHeight="false" outlineLevel="0" collapsed="false">
      <c r="A723" s="41" t="s">
        <v>901</v>
      </c>
      <c r="B723" s="41" t="s">
        <v>180</v>
      </c>
      <c r="C723" s="41" t="s">
        <v>87</v>
      </c>
      <c r="D723" s="41" t="s">
        <v>104</v>
      </c>
      <c r="E723" s="41" t="s">
        <v>102</v>
      </c>
      <c r="F723" s="41" t="s">
        <v>77</v>
      </c>
      <c r="G723" s="42" t="n">
        <v>90.63</v>
      </c>
      <c r="H723" s="41" t="n">
        <v>9</v>
      </c>
      <c r="I723" s="42" t="n">
        <v>40.7835</v>
      </c>
      <c r="J723" s="42" t="n">
        <v>856.4535</v>
      </c>
      <c r="K723" s="43" t="n">
        <v>43483</v>
      </c>
      <c r="L723" s="44" t="n">
        <v>0.644444444444445</v>
      </c>
      <c r="M723" s="41" t="s">
        <v>97</v>
      </c>
      <c r="N723" s="42" t="n">
        <v>815.67</v>
      </c>
      <c r="O723" s="42" t="n">
        <v>40.7835</v>
      </c>
      <c r="P723" s="45" t="n">
        <v>5.1</v>
      </c>
      <c r="Q723" s="41" t="str">
        <f aca="false">CHOOSE(MONTH(K723),"Jan","Feb","Mar","Apr","May","Jun","Jul","Aug","Sep","Oct","Nov","Dec")</f>
        <v>Jan</v>
      </c>
      <c r="R723" s="41" t="n">
        <f aca="false">INT((K723-setMinDate)/7)+1</f>
        <v>3</v>
      </c>
      <c r="S723" s="41" t="n">
        <f aca="false">HOUR(L723)</f>
        <v>15</v>
      </c>
      <c r="T723" s="41" t="str">
        <f aca="false">IF(S723&lt;setMorningEnd,"Morning",IF(S723&lt;setAfternoonEnd,"Afternoon","Evening"))</f>
        <v>Afternoon</v>
      </c>
      <c r="U723" s="41" t="str">
        <f aca="false">IF(J723&gt;=setLarge,"Large",IF(J723&gt;=setMedium,"Medium","Small"))</f>
        <v>Large</v>
      </c>
      <c r="V723" s="41" t="str">
        <f aca="false">IF(P723&gt;=setExc,"Excellent",IF(P723&gt;=setGood,"Good",IF(P723&gt;=setAvg,"Average","Poor")))</f>
        <v>Average</v>
      </c>
    </row>
    <row r="724" customFormat="false" ht="15" hidden="false" customHeight="false" outlineLevel="0" collapsed="false">
      <c r="A724" s="41" t="s">
        <v>902</v>
      </c>
      <c r="B724" s="41" t="s">
        <v>189</v>
      </c>
      <c r="C724" s="41" t="s">
        <v>86</v>
      </c>
      <c r="D724" s="41" t="s">
        <v>105</v>
      </c>
      <c r="E724" s="41" t="s">
        <v>103</v>
      </c>
      <c r="F724" s="41" t="s">
        <v>80</v>
      </c>
      <c r="G724" s="42" t="n">
        <v>44.12</v>
      </c>
      <c r="H724" s="41" t="n">
        <v>3</v>
      </c>
      <c r="I724" s="42" t="n">
        <v>6.618</v>
      </c>
      <c r="J724" s="42" t="n">
        <v>138.978</v>
      </c>
      <c r="K724" s="43" t="n">
        <v>43542</v>
      </c>
      <c r="L724" s="44" t="n">
        <v>0.572916666666667</v>
      </c>
      <c r="M724" s="41" t="s">
        <v>99</v>
      </c>
      <c r="N724" s="42" t="n">
        <v>132.36</v>
      </c>
      <c r="O724" s="42" t="n">
        <v>6.618</v>
      </c>
      <c r="P724" s="45" t="n">
        <v>7.9</v>
      </c>
      <c r="Q724" s="41" t="str">
        <f aca="false">CHOOSE(MONTH(K724),"Jan","Feb","Mar","Apr","May","Jun","Jul","Aug","Sep","Oct","Nov","Dec")</f>
        <v>Mar</v>
      </c>
      <c r="R724" s="41" t="n">
        <f aca="false">INT((K724-setMinDate)/7)+1</f>
        <v>11</v>
      </c>
      <c r="S724" s="41" t="n">
        <f aca="false">HOUR(L724)</f>
        <v>13</v>
      </c>
      <c r="T724" s="41" t="str">
        <f aca="false">IF(S724&lt;setMorningEnd,"Morning",IF(S724&lt;setAfternoonEnd,"Afternoon","Evening"))</f>
        <v>Afternoon</v>
      </c>
      <c r="U724" s="41" t="str">
        <f aca="false">IF(J724&gt;=setLarge,"Large",IF(J724&gt;=setMedium,"Medium","Small"))</f>
        <v>Small</v>
      </c>
      <c r="V724" s="41" t="str">
        <f aca="false">IF(P724&gt;=setExc,"Excellent",IF(P724&gt;=setGood,"Good",IF(P724&gt;=setAvg,"Average","Poor")))</f>
        <v>Good</v>
      </c>
    </row>
    <row r="725" customFormat="false" ht="15" hidden="false" customHeight="false" outlineLevel="0" collapsed="false">
      <c r="A725" s="41" t="s">
        <v>903</v>
      </c>
      <c r="B725" s="41" t="s">
        <v>180</v>
      </c>
      <c r="C725" s="41" t="s">
        <v>87</v>
      </c>
      <c r="D725" s="41" t="s">
        <v>104</v>
      </c>
      <c r="E725" s="41" t="s">
        <v>102</v>
      </c>
      <c r="F725" s="41" t="s">
        <v>76</v>
      </c>
      <c r="G725" s="42" t="n">
        <v>36.77</v>
      </c>
      <c r="H725" s="41" t="n">
        <v>7</v>
      </c>
      <c r="I725" s="42" t="n">
        <v>12.8695</v>
      </c>
      <c r="J725" s="42" t="n">
        <v>270.2595</v>
      </c>
      <c r="K725" s="43" t="n">
        <v>43476</v>
      </c>
      <c r="L725" s="44" t="n">
        <v>0.840277777777778</v>
      </c>
      <c r="M725" s="41" t="s">
        <v>97</v>
      </c>
      <c r="N725" s="42" t="n">
        <v>257.39</v>
      </c>
      <c r="O725" s="42" t="n">
        <v>12.8695</v>
      </c>
      <c r="P725" s="45" t="n">
        <v>7.4</v>
      </c>
      <c r="Q725" s="41" t="str">
        <f aca="false">CHOOSE(MONTH(K725),"Jan","Feb","Mar","Apr","May","Jun","Jul","Aug","Sep","Oct","Nov","Dec")</f>
        <v>Jan</v>
      </c>
      <c r="R725" s="41" t="n">
        <f aca="false">INT((K725-setMinDate)/7)+1</f>
        <v>2</v>
      </c>
      <c r="S725" s="41" t="n">
        <f aca="false">HOUR(L725)</f>
        <v>20</v>
      </c>
      <c r="T725" s="41" t="str">
        <f aca="false">IF(S725&lt;setMorningEnd,"Morning",IF(S725&lt;setAfternoonEnd,"Afternoon","Evening"))</f>
        <v>Evening</v>
      </c>
      <c r="U725" s="41" t="str">
        <f aca="false">IF(J725&gt;=setLarge,"Large",IF(J725&gt;=setMedium,"Medium","Small"))</f>
        <v>Medium</v>
      </c>
      <c r="V725" s="41" t="str">
        <f aca="false">IF(P725&gt;=setExc,"Excellent",IF(P725&gt;=setGood,"Good",IF(P725&gt;=setAvg,"Average","Poor")))</f>
        <v>Good</v>
      </c>
    </row>
    <row r="726" customFormat="false" ht="15" hidden="false" customHeight="false" outlineLevel="0" collapsed="false">
      <c r="A726" s="41" t="s">
        <v>904</v>
      </c>
      <c r="B726" s="41" t="s">
        <v>189</v>
      </c>
      <c r="C726" s="41" t="s">
        <v>86</v>
      </c>
      <c r="D726" s="41" t="s">
        <v>104</v>
      </c>
      <c r="E726" s="41" t="s">
        <v>103</v>
      </c>
      <c r="F726" s="41" t="s">
        <v>76</v>
      </c>
      <c r="G726" s="42" t="n">
        <v>23.34</v>
      </c>
      <c r="H726" s="41" t="n">
        <v>4</v>
      </c>
      <c r="I726" s="42" t="n">
        <v>4.668</v>
      </c>
      <c r="J726" s="42" t="n">
        <v>98.028</v>
      </c>
      <c r="K726" s="43" t="n">
        <v>43500</v>
      </c>
      <c r="L726" s="44" t="n">
        <v>0.786805555555556</v>
      </c>
      <c r="M726" s="41" t="s">
        <v>98</v>
      </c>
      <c r="N726" s="42" t="n">
        <v>93.36</v>
      </c>
      <c r="O726" s="42" t="n">
        <v>4.668</v>
      </c>
      <c r="P726" s="45" t="n">
        <v>7.4</v>
      </c>
      <c r="Q726" s="41" t="str">
        <f aca="false">CHOOSE(MONTH(K726),"Jan","Feb","Mar","Apr","May","Jun","Jul","Aug","Sep","Oct","Nov","Dec")</f>
        <v>Feb</v>
      </c>
      <c r="R726" s="41" t="n">
        <f aca="false">INT((K726-setMinDate)/7)+1</f>
        <v>5</v>
      </c>
      <c r="S726" s="41" t="n">
        <f aca="false">HOUR(L726)</f>
        <v>18</v>
      </c>
      <c r="T726" s="41" t="str">
        <f aca="false">IF(S726&lt;setMorningEnd,"Morning",IF(S726&lt;setAfternoonEnd,"Afternoon","Evening"))</f>
        <v>Evening</v>
      </c>
      <c r="U726" s="41" t="str">
        <f aca="false">IF(J726&gt;=setLarge,"Large",IF(J726&gt;=setMedium,"Medium","Small"))</f>
        <v>Small</v>
      </c>
      <c r="V726" s="41" t="str">
        <f aca="false">IF(P726&gt;=setExc,"Excellent",IF(P726&gt;=setGood,"Good",IF(P726&gt;=setAvg,"Average","Poor")))</f>
        <v>Good</v>
      </c>
    </row>
    <row r="727" customFormat="false" ht="15" hidden="false" customHeight="false" outlineLevel="0" collapsed="false">
      <c r="A727" s="41" t="s">
        <v>905</v>
      </c>
      <c r="B727" s="41" t="s">
        <v>180</v>
      </c>
      <c r="C727" s="41" t="s">
        <v>87</v>
      </c>
      <c r="D727" s="41" t="s">
        <v>104</v>
      </c>
      <c r="E727" s="41" t="s">
        <v>102</v>
      </c>
      <c r="F727" s="41" t="s">
        <v>81</v>
      </c>
      <c r="G727" s="42" t="n">
        <v>28.5</v>
      </c>
      <c r="H727" s="41" t="n">
        <v>8</v>
      </c>
      <c r="I727" s="42" t="n">
        <v>11.4</v>
      </c>
      <c r="J727" s="42" t="n">
        <v>239.4</v>
      </c>
      <c r="K727" s="43" t="n">
        <v>43502</v>
      </c>
      <c r="L727" s="44" t="n">
        <v>0.6</v>
      </c>
      <c r="M727" s="41" t="s">
        <v>97</v>
      </c>
      <c r="N727" s="42" t="n">
        <v>228</v>
      </c>
      <c r="O727" s="42" t="n">
        <v>11.4</v>
      </c>
      <c r="P727" s="45" t="n">
        <v>6.6</v>
      </c>
      <c r="Q727" s="41" t="str">
        <f aca="false">CHOOSE(MONTH(K727),"Jan","Feb","Mar","Apr","May","Jun","Jul","Aug","Sep","Oct","Nov","Dec")</f>
        <v>Feb</v>
      </c>
      <c r="R727" s="41" t="n">
        <f aca="false">INT((K727-setMinDate)/7)+1</f>
        <v>6</v>
      </c>
      <c r="S727" s="41" t="n">
        <f aca="false">HOUR(L727)</f>
        <v>14</v>
      </c>
      <c r="T727" s="41" t="str">
        <f aca="false">IF(S727&lt;setMorningEnd,"Morning",IF(S727&lt;setAfternoonEnd,"Afternoon","Evening"))</f>
        <v>Afternoon</v>
      </c>
      <c r="U727" s="41" t="str">
        <f aca="false">IF(J727&gt;=setLarge,"Large",IF(J727&gt;=setMedium,"Medium","Small"))</f>
        <v>Small</v>
      </c>
      <c r="V727" s="41" t="str">
        <f aca="false">IF(P727&gt;=setExc,"Excellent",IF(P727&gt;=setGood,"Good",IF(P727&gt;=setAvg,"Average","Poor")))</f>
        <v>Average</v>
      </c>
    </row>
    <row r="728" customFormat="false" ht="15" hidden="false" customHeight="false" outlineLevel="0" collapsed="false">
      <c r="A728" s="41" t="s">
        <v>906</v>
      </c>
      <c r="B728" s="41" t="s">
        <v>180</v>
      </c>
      <c r="C728" s="41" t="s">
        <v>87</v>
      </c>
      <c r="D728" s="41" t="s">
        <v>104</v>
      </c>
      <c r="E728" s="41" t="s">
        <v>103</v>
      </c>
      <c r="F728" s="41" t="s">
        <v>80</v>
      </c>
      <c r="G728" s="42" t="n">
        <v>55.57</v>
      </c>
      <c r="H728" s="41" t="n">
        <v>3</v>
      </c>
      <c r="I728" s="42" t="n">
        <v>8.3355</v>
      </c>
      <c r="J728" s="42" t="n">
        <v>175.0455</v>
      </c>
      <c r="K728" s="43" t="n">
        <v>43473</v>
      </c>
      <c r="L728" s="44" t="n">
        <v>0.4875</v>
      </c>
      <c r="M728" s="41" t="s">
        <v>99</v>
      </c>
      <c r="N728" s="42" t="n">
        <v>166.71</v>
      </c>
      <c r="O728" s="42" t="n">
        <v>8.3355</v>
      </c>
      <c r="P728" s="45" t="n">
        <v>5.9</v>
      </c>
      <c r="Q728" s="41" t="str">
        <f aca="false">CHOOSE(MONTH(K728),"Jan","Feb","Mar","Apr","May","Jun","Jul","Aug","Sep","Oct","Nov","Dec")</f>
        <v>Jan</v>
      </c>
      <c r="R728" s="41" t="n">
        <f aca="false">INT((K728-setMinDate)/7)+1</f>
        <v>2</v>
      </c>
      <c r="S728" s="41" t="n">
        <f aca="false">HOUR(L728)</f>
        <v>11</v>
      </c>
      <c r="T728" s="41" t="str">
        <f aca="false">IF(S728&lt;setMorningEnd,"Morning",IF(S728&lt;setAfternoonEnd,"Afternoon","Evening"))</f>
        <v>Morning</v>
      </c>
      <c r="U728" s="41" t="str">
        <f aca="false">IF(J728&gt;=setLarge,"Large",IF(J728&gt;=setMedium,"Medium","Small"))</f>
        <v>Small</v>
      </c>
      <c r="V728" s="41" t="str">
        <f aca="false">IF(P728&gt;=setExc,"Excellent",IF(P728&gt;=setGood,"Good",IF(P728&gt;=setAvg,"Average","Poor")))</f>
        <v>Average</v>
      </c>
    </row>
    <row r="729" customFormat="false" ht="15" hidden="false" customHeight="false" outlineLevel="0" collapsed="false">
      <c r="A729" s="41" t="s">
        <v>907</v>
      </c>
      <c r="B729" s="41" t="s">
        <v>189</v>
      </c>
      <c r="C729" s="41" t="s">
        <v>86</v>
      </c>
      <c r="D729" s="41" t="s">
        <v>105</v>
      </c>
      <c r="E729" s="41" t="s">
        <v>103</v>
      </c>
      <c r="F729" s="41" t="s">
        <v>77</v>
      </c>
      <c r="G729" s="42" t="n">
        <v>69.74</v>
      </c>
      <c r="H729" s="41" t="n">
        <v>10</v>
      </c>
      <c r="I729" s="42" t="n">
        <v>34.87</v>
      </c>
      <c r="J729" s="42" t="n">
        <v>732.27</v>
      </c>
      <c r="K729" s="43" t="n">
        <v>43529</v>
      </c>
      <c r="L729" s="44" t="n">
        <v>0.742361111111111</v>
      </c>
      <c r="M729" s="41" t="s">
        <v>99</v>
      </c>
      <c r="N729" s="42" t="n">
        <v>697.4</v>
      </c>
      <c r="O729" s="42" t="n">
        <v>34.87</v>
      </c>
      <c r="P729" s="45" t="n">
        <v>8.9</v>
      </c>
      <c r="Q729" s="41" t="str">
        <f aca="false">CHOOSE(MONTH(K729),"Jan","Feb","Mar","Apr","May","Jun","Jul","Aug","Sep","Oct","Nov","Dec")</f>
        <v>Mar</v>
      </c>
      <c r="R729" s="41" t="n">
        <f aca="false">INT((K729-setMinDate)/7)+1</f>
        <v>10</v>
      </c>
      <c r="S729" s="41" t="n">
        <f aca="false">HOUR(L729)</f>
        <v>17</v>
      </c>
      <c r="T729" s="41" t="str">
        <f aca="false">IF(S729&lt;setMorningEnd,"Morning",IF(S729&lt;setAfternoonEnd,"Afternoon","Evening"))</f>
        <v>Evening</v>
      </c>
      <c r="U729" s="41" t="str">
        <f aca="false">IF(J729&gt;=setLarge,"Large",IF(J729&gt;=setMedium,"Medium","Small"))</f>
        <v>Large</v>
      </c>
      <c r="V729" s="41" t="str">
        <f aca="false">IF(P729&gt;=setExc,"Excellent",IF(P729&gt;=setGood,"Good",IF(P729&gt;=setAvg,"Average","Poor")))</f>
        <v>Good</v>
      </c>
    </row>
    <row r="730" customFormat="false" ht="15" hidden="false" customHeight="false" outlineLevel="0" collapsed="false">
      <c r="A730" s="41" t="s">
        <v>908</v>
      </c>
      <c r="B730" s="41" t="s">
        <v>180</v>
      </c>
      <c r="C730" s="41" t="s">
        <v>87</v>
      </c>
      <c r="D730" s="41" t="s">
        <v>105</v>
      </c>
      <c r="E730" s="41" t="s">
        <v>103</v>
      </c>
      <c r="F730" s="41" t="s">
        <v>79</v>
      </c>
      <c r="G730" s="42" t="n">
        <v>97.26</v>
      </c>
      <c r="H730" s="41" t="n">
        <v>4</v>
      </c>
      <c r="I730" s="42" t="n">
        <v>19.452</v>
      </c>
      <c r="J730" s="42" t="n">
        <v>408.492</v>
      </c>
      <c r="K730" s="43" t="n">
        <v>43540</v>
      </c>
      <c r="L730" s="44" t="n">
        <v>0.647916666666667</v>
      </c>
      <c r="M730" s="41" t="s">
        <v>98</v>
      </c>
      <c r="N730" s="42" t="n">
        <v>389.04</v>
      </c>
      <c r="O730" s="42" t="n">
        <v>19.452</v>
      </c>
      <c r="P730" s="45" t="n">
        <v>6.8</v>
      </c>
      <c r="Q730" s="41" t="str">
        <f aca="false">CHOOSE(MONTH(K730),"Jan","Feb","Mar","Apr","May","Jun","Jul","Aug","Sep","Oct","Nov","Dec")</f>
        <v>Mar</v>
      </c>
      <c r="R730" s="41" t="n">
        <f aca="false">INT((K730-setMinDate)/7)+1</f>
        <v>11</v>
      </c>
      <c r="S730" s="41" t="n">
        <f aca="false">HOUR(L730)</f>
        <v>15</v>
      </c>
      <c r="T730" s="41" t="str">
        <f aca="false">IF(S730&lt;setMorningEnd,"Morning",IF(S730&lt;setAfternoonEnd,"Afternoon","Evening"))</f>
        <v>Afternoon</v>
      </c>
      <c r="U730" s="41" t="str">
        <f aca="false">IF(J730&gt;=setLarge,"Large",IF(J730&gt;=setMedium,"Medium","Small"))</f>
        <v>Medium</v>
      </c>
      <c r="V730" s="41" t="str">
        <f aca="false">IF(P730&gt;=setExc,"Excellent",IF(P730&gt;=setGood,"Good",IF(P730&gt;=setAvg,"Average","Poor")))</f>
        <v>Average</v>
      </c>
    </row>
    <row r="731" customFormat="false" ht="15" hidden="false" customHeight="false" outlineLevel="0" collapsed="false">
      <c r="A731" s="41" t="s">
        <v>909</v>
      </c>
      <c r="B731" s="41" t="s">
        <v>189</v>
      </c>
      <c r="C731" s="41" t="s">
        <v>86</v>
      </c>
      <c r="D731" s="41" t="s">
        <v>104</v>
      </c>
      <c r="E731" s="41" t="s">
        <v>102</v>
      </c>
      <c r="F731" s="41" t="s">
        <v>80</v>
      </c>
      <c r="G731" s="42" t="n">
        <v>52.18</v>
      </c>
      <c r="H731" s="41" t="n">
        <v>7</v>
      </c>
      <c r="I731" s="42" t="n">
        <v>18.263</v>
      </c>
      <c r="J731" s="42" t="n">
        <v>383.523</v>
      </c>
      <c r="K731" s="43" t="n">
        <v>43533</v>
      </c>
      <c r="L731" s="44" t="n">
        <v>0.454166666666667</v>
      </c>
      <c r="M731" s="41" t="s">
        <v>97</v>
      </c>
      <c r="N731" s="42" t="n">
        <v>365.26</v>
      </c>
      <c r="O731" s="42" t="n">
        <v>18.263</v>
      </c>
      <c r="P731" s="45" t="n">
        <v>9.3</v>
      </c>
      <c r="Q731" s="41" t="str">
        <f aca="false">CHOOSE(MONTH(K731),"Jan","Feb","Mar","Apr","May","Jun","Jul","Aug","Sep","Oct","Nov","Dec")</f>
        <v>Mar</v>
      </c>
      <c r="R731" s="41" t="n">
        <f aca="false">INT((K731-setMinDate)/7)+1</f>
        <v>10</v>
      </c>
      <c r="S731" s="41" t="n">
        <f aca="false">HOUR(L731)</f>
        <v>10</v>
      </c>
      <c r="T731" s="41" t="str">
        <f aca="false">IF(S731&lt;setMorningEnd,"Morning",IF(S731&lt;setAfternoonEnd,"Afternoon","Evening"))</f>
        <v>Morning</v>
      </c>
      <c r="U731" s="41" t="str">
        <f aca="false">IF(J731&gt;=setLarge,"Large",IF(J731&gt;=setMedium,"Medium","Small"))</f>
        <v>Medium</v>
      </c>
      <c r="V731" s="41" t="str">
        <f aca="false">IF(P731&gt;=setExc,"Excellent",IF(P731&gt;=setGood,"Good",IF(P731&gt;=setAvg,"Average","Poor")))</f>
        <v>Excellent</v>
      </c>
    </row>
    <row r="732" customFormat="false" ht="15" hidden="false" customHeight="false" outlineLevel="0" collapsed="false">
      <c r="A732" s="41" t="s">
        <v>910</v>
      </c>
      <c r="B732" s="41" t="s">
        <v>178</v>
      </c>
      <c r="C732" s="41" t="s">
        <v>85</v>
      </c>
      <c r="D732" s="41" t="s">
        <v>104</v>
      </c>
      <c r="E732" s="41" t="s">
        <v>102</v>
      </c>
      <c r="F732" s="41" t="s">
        <v>79</v>
      </c>
      <c r="G732" s="42" t="n">
        <v>22.32</v>
      </c>
      <c r="H732" s="41" t="n">
        <v>4</v>
      </c>
      <c r="I732" s="42" t="n">
        <v>4.464</v>
      </c>
      <c r="J732" s="42" t="n">
        <v>93.744</v>
      </c>
      <c r="K732" s="43" t="n">
        <v>43525</v>
      </c>
      <c r="L732" s="44" t="n">
        <v>0.682638888888889</v>
      </c>
      <c r="M732" s="41" t="s">
        <v>99</v>
      </c>
      <c r="N732" s="42" t="n">
        <v>89.28</v>
      </c>
      <c r="O732" s="42" t="n">
        <v>4.464</v>
      </c>
      <c r="P732" s="45" t="n">
        <v>4.4</v>
      </c>
      <c r="Q732" s="41" t="str">
        <f aca="false">CHOOSE(MONTH(K732),"Jan","Feb","Mar","Apr","May","Jun","Jul","Aug","Sep","Oct","Nov","Dec")</f>
        <v>Mar</v>
      </c>
      <c r="R732" s="41" t="n">
        <f aca="false">INT((K732-setMinDate)/7)+1</f>
        <v>9</v>
      </c>
      <c r="S732" s="41" t="n">
        <f aca="false">HOUR(L732)</f>
        <v>16</v>
      </c>
      <c r="T732" s="41" t="str">
        <f aca="false">IF(S732&lt;setMorningEnd,"Morning",IF(S732&lt;setAfternoonEnd,"Afternoon","Evening"))</f>
        <v>Afternoon</v>
      </c>
      <c r="U732" s="41" t="str">
        <f aca="false">IF(J732&gt;=setLarge,"Large",IF(J732&gt;=setMedium,"Medium","Small"))</f>
        <v>Small</v>
      </c>
      <c r="V732" s="41" t="str">
        <f aca="false">IF(P732&gt;=setExc,"Excellent",IF(P732&gt;=setGood,"Good",IF(P732&gt;=setAvg,"Average","Poor")))</f>
        <v>Poor</v>
      </c>
    </row>
    <row r="733" customFormat="false" ht="15" hidden="false" customHeight="false" outlineLevel="0" collapsed="false">
      <c r="A733" s="41" t="s">
        <v>911</v>
      </c>
      <c r="B733" s="41" t="s">
        <v>178</v>
      </c>
      <c r="C733" s="41" t="s">
        <v>85</v>
      </c>
      <c r="D733" s="41" t="s">
        <v>105</v>
      </c>
      <c r="E733" s="41" t="s">
        <v>103</v>
      </c>
      <c r="F733" s="41" t="s">
        <v>81</v>
      </c>
      <c r="G733" s="42" t="n">
        <v>56</v>
      </c>
      <c r="H733" s="41" t="n">
        <v>3</v>
      </c>
      <c r="I733" s="42" t="n">
        <v>8.4</v>
      </c>
      <c r="J733" s="42" t="n">
        <v>176.4</v>
      </c>
      <c r="K733" s="43" t="n">
        <v>43524</v>
      </c>
      <c r="L733" s="44" t="n">
        <v>0.814583333333333</v>
      </c>
      <c r="M733" s="41" t="s">
        <v>98</v>
      </c>
      <c r="N733" s="42" t="n">
        <v>168</v>
      </c>
      <c r="O733" s="42" t="n">
        <v>8.4</v>
      </c>
      <c r="P733" s="45" t="n">
        <v>4.8</v>
      </c>
      <c r="Q733" s="41" t="str">
        <f aca="false">CHOOSE(MONTH(K733),"Jan","Feb","Mar","Apr","May","Jun","Jul","Aug","Sep","Oct","Nov","Dec")</f>
        <v>Feb</v>
      </c>
      <c r="R733" s="41" t="n">
        <f aca="false">INT((K733-setMinDate)/7)+1</f>
        <v>9</v>
      </c>
      <c r="S733" s="41" t="n">
        <f aca="false">HOUR(L733)</f>
        <v>19</v>
      </c>
      <c r="T733" s="41" t="str">
        <f aca="false">IF(S733&lt;setMorningEnd,"Morning",IF(S733&lt;setAfternoonEnd,"Afternoon","Evening"))</f>
        <v>Evening</v>
      </c>
      <c r="U733" s="41" t="str">
        <f aca="false">IF(J733&gt;=setLarge,"Large",IF(J733&gt;=setMedium,"Medium","Small"))</f>
        <v>Small</v>
      </c>
      <c r="V733" s="41" t="str">
        <f aca="false">IF(P733&gt;=setExc,"Excellent",IF(P733&gt;=setGood,"Good",IF(P733&gt;=setAvg,"Average","Poor")))</f>
        <v>Poor</v>
      </c>
    </row>
    <row r="734" customFormat="false" ht="15" hidden="false" customHeight="false" outlineLevel="0" collapsed="false">
      <c r="A734" s="41" t="s">
        <v>912</v>
      </c>
      <c r="B734" s="41" t="s">
        <v>178</v>
      </c>
      <c r="C734" s="41" t="s">
        <v>85</v>
      </c>
      <c r="D734" s="41" t="s">
        <v>104</v>
      </c>
      <c r="E734" s="41" t="s">
        <v>103</v>
      </c>
      <c r="F734" s="41" t="s">
        <v>79</v>
      </c>
      <c r="G734" s="42" t="n">
        <v>19.7</v>
      </c>
      <c r="H734" s="41" t="n">
        <v>1</v>
      </c>
      <c r="I734" s="42" t="n">
        <v>0.985</v>
      </c>
      <c r="J734" s="42" t="n">
        <v>20.685</v>
      </c>
      <c r="K734" s="43" t="n">
        <v>43504</v>
      </c>
      <c r="L734" s="44" t="n">
        <v>0.485416666666667</v>
      </c>
      <c r="M734" s="41" t="s">
        <v>98</v>
      </c>
      <c r="N734" s="42" t="n">
        <v>19.7</v>
      </c>
      <c r="O734" s="42" t="n">
        <v>0.985</v>
      </c>
      <c r="P734" s="45" t="n">
        <v>9.5</v>
      </c>
      <c r="Q734" s="41" t="str">
        <f aca="false">CHOOSE(MONTH(K734),"Jan","Feb","Mar","Apr","May","Jun","Jul","Aug","Sep","Oct","Nov","Dec")</f>
        <v>Feb</v>
      </c>
      <c r="R734" s="41" t="n">
        <f aca="false">INT((K734-setMinDate)/7)+1</f>
        <v>6</v>
      </c>
      <c r="S734" s="41" t="n">
        <f aca="false">HOUR(L734)</f>
        <v>11</v>
      </c>
      <c r="T734" s="41" t="str">
        <f aca="false">IF(S734&lt;setMorningEnd,"Morning",IF(S734&lt;setAfternoonEnd,"Afternoon","Evening"))</f>
        <v>Morning</v>
      </c>
      <c r="U734" s="41" t="str">
        <f aca="false">IF(J734&gt;=setLarge,"Large",IF(J734&gt;=setMedium,"Medium","Small"))</f>
        <v>Small</v>
      </c>
      <c r="V734" s="41" t="str">
        <f aca="false">IF(P734&gt;=setExc,"Excellent",IF(P734&gt;=setGood,"Good",IF(P734&gt;=setAvg,"Average","Poor")))</f>
        <v>Excellent</v>
      </c>
    </row>
    <row r="735" customFormat="false" ht="15" hidden="false" customHeight="false" outlineLevel="0" collapsed="false">
      <c r="A735" s="41" t="s">
        <v>913</v>
      </c>
      <c r="B735" s="41" t="s">
        <v>189</v>
      </c>
      <c r="C735" s="41" t="s">
        <v>86</v>
      </c>
      <c r="D735" s="41" t="s">
        <v>105</v>
      </c>
      <c r="E735" s="41" t="s">
        <v>103</v>
      </c>
      <c r="F735" s="41" t="s">
        <v>78</v>
      </c>
      <c r="G735" s="42" t="n">
        <v>75.88</v>
      </c>
      <c r="H735" s="41" t="n">
        <v>7</v>
      </c>
      <c r="I735" s="42" t="n">
        <v>26.558</v>
      </c>
      <c r="J735" s="42" t="n">
        <v>557.718</v>
      </c>
      <c r="K735" s="43" t="n">
        <v>43489</v>
      </c>
      <c r="L735" s="44" t="n">
        <v>0.443055555555556</v>
      </c>
      <c r="M735" s="41" t="s">
        <v>98</v>
      </c>
      <c r="N735" s="42" t="n">
        <v>531.16</v>
      </c>
      <c r="O735" s="42" t="n">
        <v>26.558</v>
      </c>
      <c r="P735" s="45" t="n">
        <v>8.9</v>
      </c>
      <c r="Q735" s="41" t="str">
        <f aca="false">CHOOSE(MONTH(K735),"Jan","Feb","Mar","Apr","May","Jun","Jul","Aug","Sep","Oct","Nov","Dec")</f>
        <v>Jan</v>
      </c>
      <c r="R735" s="41" t="n">
        <f aca="false">INT((K735-setMinDate)/7)+1</f>
        <v>4</v>
      </c>
      <c r="S735" s="41" t="n">
        <f aca="false">HOUR(L735)</f>
        <v>10</v>
      </c>
      <c r="T735" s="41" t="str">
        <f aca="false">IF(S735&lt;setMorningEnd,"Morning",IF(S735&lt;setAfternoonEnd,"Afternoon","Evening"))</f>
        <v>Morning</v>
      </c>
      <c r="U735" s="41" t="str">
        <f aca="false">IF(J735&gt;=setLarge,"Large",IF(J735&gt;=setMedium,"Medium","Small"))</f>
        <v>Medium</v>
      </c>
      <c r="V735" s="41" t="str">
        <f aca="false">IF(P735&gt;=setExc,"Excellent",IF(P735&gt;=setGood,"Good",IF(P735&gt;=setAvg,"Average","Poor")))</f>
        <v>Good</v>
      </c>
    </row>
    <row r="736" customFormat="false" ht="15" hidden="false" customHeight="false" outlineLevel="0" collapsed="false">
      <c r="A736" s="41" t="s">
        <v>914</v>
      </c>
      <c r="B736" s="41" t="s">
        <v>189</v>
      </c>
      <c r="C736" s="41" t="s">
        <v>86</v>
      </c>
      <c r="D736" s="41" t="s">
        <v>104</v>
      </c>
      <c r="E736" s="41" t="s">
        <v>103</v>
      </c>
      <c r="F736" s="41" t="s">
        <v>76</v>
      </c>
      <c r="G736" s="42" t="n">
        <v>53.72</v>
      </c>
      <c r="H736" s="41" t="n">
        <v>1</v>
      </c>
      <c r="I736" s="42" t="n">
        <v>2.686</v>
      </c>
      <c r="J736" s="42" t="n">
        <v>56.406</v>
      </c>
      <c r="K736" s="43" t="n">
        <v>43525</v>
      </c>
      <c r="L736" s="44" t="n">
        <v>0.835416666666667</v>
      </c>
      <c r="M736" s="41" t="s">
        <v>98</v>
      </c>
      <c r="N736" s="42" t="n">
        <v>53.72</v>
      </c>
      <c r="O736" s="42" t="n">
        <v>2.686</v>
      </c>
      <c r="P736" s="45" t="n">
        <v>6.4</v>
      </c>
      <c r="Q736" s="41" t="str">
        <f aca="false">CHOOSE(MONTH(K736),"Jan","Feb","Mar","Apr","May","Jun","Jul","Aug","Sep","Oct","Nov","Dec")</f>
        <v>Mar</v>
      </c>
      <c r="R736" s="41" t="n">
        <f aca="false">INT((K736-setMinDate)/7)+1</f>
        <v>9</v>
      </c>
      <c r="S736" s="41" t="n">
        <f aca="false">HOUR(L736)</f>
        <v>20</v>
      </c>
      <c r="T736" s="41" t="str">
        <f aca="false">IF(S736&lt;setMorningEnd,"Morning",IF(S736&lt;setAfternoonEnd,"Afternoon","Evening"))</f>
        <v>Evening</v>
      </c>
      <c r="U736" s="41" t="str">
        <f aca="false">IF(J736&gt;=setLarge,"Large",IF(J736&gt;=setMedium,"Medium","Small"))</f>
        <v>Small</v>
      </c>
      <c r="V736" s="41" t="str">
        <f aca="false">IF(P736&gt;=setExc,"Excellent",IF(P736&gt;=setGood,"Good",IF(P736&gt;=setAvg,"Average","Poor")))</f>
        <v>Average</v>
      </c>
    </row>
    <row r="737" customFormat="false" ht="15" hidden="false" customHeight="false" outlineLevel="0" collapsed="false">
      <c r="A737" s="41" t="s">
        <v>915</v>
      </c>
      <c r="B737" s="41" t="s">
        <v>180</v>
      </c>
      <c r="C737" s="41" t="s">
        <v>87</v>
      </c>
      <c r="D737" s="41" t="s">
        <v>104</v>
      </c>
      <c r="E737" s="41" t="s">
        <v>103</v>
      </c>
      <c r="F737" s="41" t="s">
        <v>81</v>
      </c>
      <c r="G737" s="42" t="n">
        <v>81.95</v>
      </c>
      <c r="H737" s="41" t="n">
        <v>10</v>
      </c>
      <c r="I737" s="42" t="n">
        <v>40.975</v>
      </c>
      <c r="J737" s="42" t="n">
        <v>860.475</v>
      </c>
      <c r="K737" s="43" t="n">
        <v>43534</v>
      </c>
      <c r="L737" s="44" t="n">
        <v>0.527083333333333</v>
      </c>
      <c r="M737" s="41" t="s">
        <v>99</v>
      </c>
      <c r="N737" s="42" t="n">
        <v>819.5</v>
      </c>
      <c r="O737" s="42" t="n">
        <v>40.975</v>
      </c>
      <c r="P737" s="45" t="n">
        <v>6</v>
      </c>
      <c r="Q737" s="41" t="str">
        <f aca="false">CHOOSE(MONTH(K737),"Jan","Feb","Mar","Apr","May","Jun","Jul","Aug","Sep","Oct","Nov","Dec")</f>
        <v>Mar</v>
      </c>
      <c r="R737" s="41" t="n">
        <f aca="false">INT((K737-setMinDate)/7)+1</f>
        <v>10</v>
      </c>
      <c r="S737" s="41" t="n">
        <f aca="false">HOUR(L737)</f>
        <v>12</v>
      </c>
      <c r="T737" s="41" t="str">
        <f aca="false">IF(S737&lt;setMorningEnd,"Morning",IF(S737&lt;setAfternoonEnd,"Afternoon","Evening"))</f>
        <v>Afternoon</v>
      </c>
      <c r="U737" s="41" t="str">
        <f aca="false">IF(J737&gt;=setLarge,"Large",IF(J737&gt;=setMedium,"Medium","Small"))</f>
        <v>Large</v>
      </c>
      <c r="V737" s="41" t="str">
        <f aca="false">IF(P737&gt;=setExc,"Excellent",IF(P737&gt;=setGood,"Good",IF(P737&gt;=setAvg,"Average","Poor")))</f>
        <v>Average</v>
      </c>
    </row>
    <row r="738" customFormat="false" ht="15" hidden="false" customHeight="false" outlineLevel="0" collapsed="false">
      <c r="A738" s="41" t="s">
        <v>916</v>
      </c>
      <c r="B738" s="41" t="s">
        <v>180</v>
      </c>
      <c r="C738" s="41" t="s">
        <v>87</v>
      </c>
      <c r="D738" s="41" t="s">
        <v>104</v>
      </c>
      <c r="E738" s="41" t="s">
        <v>102</v>
      </c>
      <c r="F738" s="41" t="s">
        <v>80</v>
      </c>
      <c r="G738" s="42" t="n">
        <v>81.2</v>
      </c>
      <c r="H738" s="41" t="n">
        <v>7</v>
      </c>
      <c r="I738" s="42" t="n">
        <v>28.42</v>
      </c>
      <c r="J738" s="42" t="n">
        <v>596.82</v>
      </c>
      <c r="K738" s="43" t="n">
        <v>43547</v>
      </c>
      <c r="L738" s="44" t="n">
        <v>0.665972222222222</v>
      </c>
      <c r="M738" s="41" t="s">
        <v>99</v>
      </c>
      <c r="N738" s="42" t="n">
        <v>568.4</v>
      </c>
      <c r="O738" s="42" t="n">
        <v>28.42</v>
      </c>
      <c r="P738" s="45" t="n">
        <v>8.1</v>
      </c>
      <c r="Q738" s="41" t="str">
        <f aca="false">CHOOSE(MONTH(K738),"Jan","Feb","Mar","Apr","May","Jun","Jul","Aug","Sep","Oct","Nov","Dec")</f>
        <v>Mar</v>
      </c>
      <c r="R738" s="41" t="n">
        <f aca="false">INT((K738-setMinDate)/7)+1</f>
        <v>12</v>
      </c>
      <c r="S738" s="41" t="n">
        <f aca="false">HOUR(L738)</f>
        <v>15</v>
      </c>
      <c r="T738" s="41" t="str">
        <f aca="false">IF(S738&lt;setMorningEnd,"Morning",IF(S738&lt;setAfternoonEnd,"Afternoon","Evening"))</f>
        <v>Afternoon</v>
      </c>
      <c r="U738" s="41" t="str">
        <f aca="false">IF(J738&gt;=setLarge,"Large",IF(J738&gt;=setMedium,"Medium","Small"))</f>
        <v>Medium</v>
      </c>
      <c r="V738" s="41" t="str">
        <f aca="false">IF(P738&gt;=setExc,"Excellent",IF(P738&gt;=setGood,"Good",IF(P738&gt;=setAvg,"Average","Poor")))</f>
        <v>Good</v>
      </c>
    </row>
    <row r="739" customFormat="false" ht="15" hidden="false" customHeight="false" outlineLevel="0" collapsed="false">
      <c r="A739" s="41" t="s">
        <v>917</v>
      </c>
      <c r="B739" s="41" t="s">
        <v>180</v>
      </c>
      <c r="C739" s="41" t="s">
        <v>87</v>
      </c>
      <c r="D739" s="41" t="s">
        <v>105</v>
      </c>
      <c r="E739" s="41" t="s">
        <v>103</v>
      </c>
      <c r="F739" s="41" t="s">
        <v>78</v>
      </c>
      <c r="G739" s="42" t="n">
        <v>58.76</v>
      </c>
      <c r="H739" s="41" t="n">
        <v>10</v>
      </c>
      <c r="I739" s="42" t="n">
        <v>29.38</v>
      </c>
      <c r="J739" s="42" t="n">
        <v>616.98</v>
      </c>
      <c r="K739" s="43" t="n">
        <v>43494</v>
      </c>
      <c r="L739" s="44" t="n">
        <v>0.601388888888889</v>
      </c>
      <c r="M739" s="41" t="s">
        <v>98</v>
      </c>
      <c r="N739" s="42" t="n">
        <v>587.6</v>
      </c>
      <c r="O739" s="42" t="n">
        <v>29.38</v>
      </c>
      <c r="P739" s="45" t="n">
        <v>9</v>
      </c>
      <c r="Q739" s="41" t="str">
        <f aca="false">CHOOSE(MONTH(K739),"Jan","Feb","Mar","Apr","May","Jun","Jul","Aug","Sep","Oct","Nov","Dec")</f>
        <v>Jan</v>
      </c>
      <c r="R739" s="41" t="n">
        <f aca="false">INT((K739-setMinDate)/7)+1</f>
        <v>5</v>
      </c>
      <c r="S739" s="41" t="n">
        <f aca="false">HOUR(L739)</f>
        <v>14</v>
      </c>
      <c r="T739" s="41" t="str">
        <f aca="false">IF(S739&lt;setMorningEnd,"Morning",IF(S739&lt;setAfternoonEnd,"Afternoon","Evening"))</f>
        <v>Afternoon</v>
      </c>
      <c r="U739" s="41" t="str">
        <f aca="false">IF(J739&gt;=setLarge,"Large",IF(J739&gt;=setMedium,"Medium","Small"))</f>
        <v>Large</v>
      </c>
      <c r="V739" s="41" t="str">
        <f aca="false">IF(P739&gt;=setExc,"Excellent",IF(P739&gt;=setGood,"Good",IF(P739&gt;=setAvg,"Average","Poor")))</f>
        <v>Excellent</v>
      </c>
    </row>
    <row r="740" customFormat="false" ht="15" hidden="false" customHeight="false" outlineLevel="0" collapsed="false">
      <c r="A740" s="41" t="s">
        <v>918</v>
      </c>
      <c r="B740" s="41" t="s">
        <v>189</v>
      </c>
      <c r="C740" s="41" t="s">
        <v>86</v>
      </c>
      <c r="D740" s="41" t="s">
        <v>104</v>
      </c>
      <c r="E740" s="41" t="s">
        <v>103</v>
      </c>
      <c r="F740" s="41" t="s">
        <v>78</v>
      </c>
      <c r="G740" s="42" t="n">
        <v>91.56</v>
      </c>
      <c r="H740" s="41" t="n">
        <v>8</v>
      </c>
      <c r="I740" s="42" t="n">
        <v>36.624</v>
      </c>
      <c r="J740" s="42" t="n">
        <v>769.104</v>
      </c>
      <c r="K740" s="43" t="n">
        <v>43477</v>
      </c>
      <c r="L740" s="44" t="n">
        <v>0.765277777777778</v>
      </c>
      <c r="M740" s="41" t="s">
        <v>98</v>
      </c>
      <c r="N740" s="42" t="n">
        <v>732.48</v>
      </c>
      <c r="O740" s="42" t="n">
        <v>36.624</v>
      </c>
      <c r="P740" s="45" t="n">
        <v>6</v>
      </c>
      <c r="Q740" s="41" t="str">
        <f aca="false">CHOOSE(MONTH(K740),"Jan","Feb","Mar","Apr","May","Jun","Jul","Aug","Sep","Oct","Nov","Dec")</f>
        <v>Jan</v>
      </c>
      <c r="R740" s="41" t="n">
        <f aca="false">INT((K740-setMinDate)/7)+1</f>
        <v>2</v>
      </c>
      <c r="S740" s="41" t="n">
        <f aca="false">HOUR(L740)</f>
        <v>18</v>
      </c>
      <c r="T740" s="41" t="str">
        <f aca="false">IF(S740&lt;setMorningEnd,"Morning",IF(S740&lt;setAfternoonEnd,"Afternoon","Evening"))</f>
        <v>Evening</v>
      </c>
      <c r="U740" s="41" t="str">
        <f aca="false">IF(J740&gt;=setLarge,"Large",IF(J740&gt;=setMedium,"Medium","Small"))</f>
        <v>Large</v>
      </c>
      <c r="V740" s="41" t="str">
        <f aca="false">IF(P740&gt;=setExc,"Excellent",IF(P740&gt;=setGood,"Good",IF(P740&gt;=setAvg,"Average","Poor")))</f>
        <v>Average</v>
      </c>
    </row>
    <row r="741" customFormat="false" ht="15" hidden="false" customHeight="false" outlineLevel="0" collapsed="false">
      <c r="A741" s="41" t="s">
        <v>919</v>
      </c>
      <c r="B741" s="41" t="s">
        <v>178</v>
      </c>
      <c r="C741" s="41" t="s">
        <v>85</v>
      </c>
      <c r="D741" s="41" t="s">
        <v>105</v>
      </c>
      <c r="E741" s="41" t="s">
        <v>103</v>
      </c>
      <c r="F741" s="41" t="s">
        <v>80</v>
      </c>
      <c r="G741" s="42" t="n">
        <v>93.96</v>
      </c>
      <c r="H741" s="41" t="n">
        <v>9</v>
      </c>
      <c r="I741" s="42" t="n">
        <v>42.282</v>
      </c>
      <c r="J741" s="42" t="n">
        <v>887.922</v>
      </c>
      <c r="K741" s="43" t="n">
        <v>43544</v>
      </c>
      <c r="L741" s="44" t="n">
        <v>0.480555555555556</v>
      </c>
      <c r="M741" s="41" t="s">
        <v>97</v>
      </c>
      <c r="N741" s="42" t="n">
        <v>845.64</v>
      </c>
      <c r="O741" s="42" t="n">
        <v>42.282</v>
      </c>
      <c r="P741" s="45" t="n">
        <v>9.8</v>
      </c>
      <c r="Q741" s="41" t="str">
        <f aca="false">CHOOSE(MONTH(K741),"Jan","Feb","Mar","Apr","May","Jun","Jul","Aug","Sep","Oct","Nov","Dec")</f>
        <v>Mar</v>
      </c>
      <c r="R741" s="41" t="n">
        <f aca="false">INT((K741-setMinDate)/7)+1</f>
        <v>12</v>
      </c>
      <c r="S741" s="41" t="n">
        <f aca="false">HOUR(L741)</f>
        <v>11</v>
      </c>
      <c r="T741" s="41" t="str">
        <f aca="false">IF(S741&lt;setMorningEnd,"Morning",IF(S741&lt;setAfternoonEnd,"Afternoon","Evening"))</f>
        <v>Morning</v>
      </c>
      <c r="U741" s="41" t="str">
        <f aca="false">IF(J741&gt;=setLarge,"Large",IF(J741&gt;=setMedium,"Medium","Small"))</f>
        <v>Large</v>
      </c>
      <c r="V741" s="41" t="str">
        <f aca="false">IF(P741&gt;=setExc,"Excellent",IF(P741&gt;=setGood,"Good",IF(P741&gt;=setAvg,"Average","Poor")))</f>
        <v>Excellent</v>
      </c>
    </row>
    <row r="742" customFormat="false" ht="15" hidden="false" customHeight="false" outlineLevel="0" collapsed="false">
      <c r="A742" s="41" t="s">
        <v>920</v>
      </c>
      <c r="B742" s="41" t="s">
        <v>180</v>
      </c>
      <c r="C742" s="41" t="s">
        <v>87</v>
      </c>
      <c r="D742" s="41" t="s">
        <v>105</v>
      </c>
      <c r="E742" s="41" t="s">
        <v>103</v>
      </c>
      <c r="F742" s="41" t="s">
        <v>80</v>
      </c>
      <c r="G742" s="42" t="n">
        <v>55.61</v>
      </c>
      <c r="H742" s="41" t="n">
        <v>7</v>
      </c>
      <c r="I742" s="42" t="n">
        <v>19.4635</v>
      </c>
      <c r="J742" s="42" t="n">
        <v>408.7335</v>
      </c>
      <c r="K742" s="43" t="n">
        <v>43547</v>
      </c>
      <c r="L742" s="44" t="n">
        <v>0.528472222222222</v>
      </c>
      <c r="M742" s="41" t="s">
        <v>97</v>
      </c>
      <c r="N742" s="42" t="n">
        <v>389.27</v>
      </c>
      <c r="O742" s="42" t="n">
        <v>19.4635</v>
      </c>
      <c r="P742" s="45" t="n">
        <v>8.5</v>
      </c>
      <c r="Q742" s="41" t="str">
        <f aca="false">CHOOSE(MONTH(K742),"Jan","Feb","Mar","Apr","May","Jun","Jul","Aug","Sep","Oct","Nov","Dec")</f>
        <v>Mar</v>
      </c>
      <c r="R742" s="41" t="n">
        <f aca="false">INT((K742-setMinDate)/7)+1</f>
        <v>12</v>
      </c>
      <c r="S742" s="41" t="n">
        <f aca="false">HOUR(L742)</f>
        <v>12</v>
      </c>
      <c r="T742" s="41" t="str">
        <f aca="false">IF(S742&lt;setMorningEnd,"Morning",IF(S742&lt;setAfternoonEnd,"Afternoon","Evening"))</f>
        <v>Afternoon</v>
      </c>
      <c r="U742" s="41" t="str">
        <f aca="false">IF(J742&gt;=setLarge,"Large",IF(J742&gt;=setMedium,"Medium","Small"))</f>
        <v>Medium</v>
      </c>
      <c r="V742" s="41" t="str">
        <f aca="false">IF(P742&gt;=setExc,"Excellent",IF(P742&gt;=setGood,"Good",IF(P742&gt;=setAvg,"Average","Poor")))</f>
        <v>Good</v>
      </c>
    </row>
    <row r="743" customFormat="false" ht="15" hidden="false" customHeight="false" outlineLevel="0" collapsed="false">
      <c r="A743" s="41" t="s">
        <v>921</v>
      </c>
      <c r="B743" s="41" t="s">
        <v>180</v>
      </c>
      <c r="C743" s="41" t="s">
        <v>87</v>
      </c>
      <c r="D743" s="41" t="s">
        <v>105</v>
      </c>
      <c r="E743" s="41" t="s">
        <v>103</v>
      </c>
      <c r="F743" s="41" t="s">
        <v>76</v>
      </c>
      <c r="G743" s="42" t="n">
        <v>84.83</v>
      </c>
      <c r="H743" s="41" t="n">
        <v>1</v>
      </c>
      <c r="I743" s="42" t="n">
        <v>4.2415</v>
      </c>
      <c r="J743" s="42" t="n">
        <v>89.0715</v>
      </c>
      <c r="K743" s="43" t="n">
        <v>43479</v>
      </c>
      <c r="L743" s="44" t="n">
        <v>0.638888888888889</v>
      </c>
      <c r="M743" s="41" t="s">
        <v>98</v>
      </c>
      <c r="N743" s="42" t="n">
        <v>84.83</v>
      </c>
      <c r="O743" s="42" t="n">
        <v>4.2415</v>
      </c>
      <c r="P743" s="45" t="n">
        <v>8.8</v>
      </c>
      <c r="Q743" s="41" t="str">
        <f aca="false">CHOOSE(MONTH(K743),"Jan","Feb","Mar","Apr","May","Jun","Jul","Aug","Sep","Oct","Nov","Dec")</f>
        <v>Jan</v>
      </c>
      <c r="R743" s="41" t="n">
        <f aca="false">INT((K743-setMinDate)/7)+1</f>
        <v>2</v>
      </c>
      <c r="S743" s="41" t="n">
        <f aca="false">HOUR(L743)</f>
        <v>15</v>
      </c>
      <c r="T743" s="41" t="str">
        <f aca="false">IF(S743&lt;setMorningEnd,"Morning",IF(S743&lt;setAfternoonEnd,"Afternoon","Evening"))</f>
        <v>Afternoon</v>
      </c>
      <c r="U743" s="41" t="str">
        <f aca="false">IF(J743&gt;=setLarge,"Large",IF(J743&gt;=setMedium,"Medium","Small"))</f>
        <v>Small</v>
      </c>
      <c r="V743" s="41" t="str">
        <f aca="false">IF(P743&gt;=setExc,"Excellent",IF(P743&gt;=setGood,"Good",IF(P743&gt;=setAvg,"Average","Poor")))</f>
        <v>Good</v>
      </c>
    </row>
    <row r="744" customFormat="false" ht="15" hidden="false" customHeight="false" outlineLevel="0" collapsed="false">
      <c r="A744" s="41" t="s">
        <v>922</v>
      </c>
      <c r="B744" s="41" t="s">
        <v>178</v>
      </c>
      <c r="C744" s="41" t="s">
        <v>85</v>
      </c>
      <c r="D744" s="41" t="s">
        <v>104</v>
      </c>
      <c r="E744" s="41" t="s">
        <v>102</v>
      </c>
      <c r="F744" s="41" t="s">
        <v>77</v>
      </c>
      <c r="G744" s="42" t="n">
        <v>71.63</v>
      </c>
      <c r="H744" s="41" t="n">
        <v>2</v>
      </c>
      <c r="I744" s="42" t="n">
        <v>7.163</v>
      </c>
      <c r="J744" s="42" t="n">
        <v>150.423</v>
      </c>
      <c r="K744" s="43" t="n">
        <v>43508</v>
      </c>
      <c r="L744" s="44" t="n">
        <v>0.60625</v>
      </c>
      <c r="M744" s="41" t="s">
        <v>98</v>
      </c>
      <c r="N744" s="42" t="n">
        <v>143.26</v>
      </c>
      <c r="O744" s="42" t="n">
        <v>7.163</v>
      </c>
      <c r="P744" s="45" t="n">
        <v>8.8</v>
      </c>
      <c r="Q744" s="41" t="str">
        <f aca="false">CHOOSE(MONTH(K744),"Jan","Feb","Mar","Apr","May","Jun","Jul","Aug","Sep","Oct","Nov","Dec")</f>
        <v>Feb</v>
      </c>
      <c r="R744" s="41" t="n">
        <f aca="false">INT((K744-setMinDate)/7)+1</f>
        <v>7</v>
      </c>
      <c r="S744" s="41" t="n">
        <f aca="false">HOUR(L744)</f>
        <v>14</v>
      </c>
      <c r="T744" s="41" t="str">
        <f aca="false">IF(S744&lt;setMorningEnd,"Morning",IF(S744&lt;setAfternoonEnd,"Afternoon","Evening"))</f>
        <v>Afternoon</v>
      </c>
      <c r="U744" s="41" t="str">
        <f aca="false">IF(J744&gt;=setLarge,"Large",IF(J744&gt;=setMedium,"Medium","Small"))</f>
        <v>Small</v>
      </c>
      <c r="V744" s="41" t="str">
        <f aca="false">IF(P744&gt;=setExc,"Excellent",IF(P744&gt;=setGood,"Good",IF(P744&gt;=setAvg,"Average","Poor")))</f>
        <v>Good</v>
      </c>
    </row>
    <row r="745" customFormat="false" ht="15" hidden="false" customHeight="false" outlineLevel="0" collapsed="false">
      <c r="A745" s="41" t="s">
        <v>923</v>
      </c>
      <c r="B745" s="41" t="s">
        <v>178</v>
      </c>
      <c r="C745" s="41" t="s">
        <v>85</v>
      </c>
      <c r="D745" s="41" t="s">
        <v>104</v>
      </c>
      <c r="E745" s="41" t="s">
        <v>103</v>
      </c>
      <c r="F745" s="41" t="s">
        <v>80</v>
      </c>
      <c r="G745" s="42" t="n">
        <v>37.69</v>
      </c>
      <c r="H745" s="41" t="n">
        <v>2</v>
      </c>
      <c r="I745" s="42" t="n">
        <v>3.769</v>
      </c>
      <c r="J745" s="42" t="n">
        <v>79.149</v>
      </c>
      <c r="K745" s="43" t="n">
        <v>43516</v>
      </c>
      <c r="L745" s="44" t="n">
        <v>0.645138888888889</v>
      </c>
      <c r="M745" s="41" t="s">
        <v>98</v>
      </c>
      <c r="N745" s="42" t="n">
        <v>75.38</v>
      </c>
      <c r="O745" s="42" t="n">
        <v>3.769</v>
      </c>
      <c r="P745" s="45" t="n">
        <v>9.5</v>
      </c>
      <c r="Q745" s="41" t="str">
        <f aca="false">CHOOSE(MONTH(K745),"Jan","Feb","Mar","Apr","May","Jun","Jul","Aug","Sep","Oct","Nov","Dec")</f>
        <v>Feb</v>
      </c>
      <c r="R745" s="41" t="n">
        <f aca="false">INT((K745-setMinDate)/7)+1</f>
        <v>8</v>
      </c>
      <c r="S745" s="41" t="n">
        <f aca="false">HOUR(L745)</f>
        <v>15</v>
      </c>
      <c r="T745" s="41" t="str">
        <f aca="false">IF(S745&lt;setMorningEnd,"Morning",IF(S745&lt;setAfternoonEnd,"Afternoon","Evening"))</f>
        <v>Afternoon</v>
      </c>
      <c r="U745" s="41" t="str">
        <f aca="false">IF(J745&gt;=setLarge,"Large",IF(J745&gt;=setMedium,"Medium","Small"))</f>
        <v>Small</v>
      </c>
      <c r="V745" s="41" t="str">
        <f aca="false">IF(P745&gt;=setExc,"Excellent",IF(P745&gt;=setGood,"Good",IF(P745&gt;=setAvg,"Average","Poor")))</f>
        <v>Excellent</v>
      </c>
    </row>
    <row r="746" customFormat="false" ht="15" hidden="false" customHeight="false" outlineLevel="0" collapsed="false">
      <c r="A746" s="41" t="s">
        <v>924</v>
      </c>
      <c r="B746" s="41" t="s">
        <v>180</v>
      </c>
      <c r="C746" s="41" t="s">
        <v>87</v>
      </c>
      <c r="D746" s="41" t="s">
        <v>104</v>
      </c>
      <c r="E746" s="41" t="s">
        <v>102</v>
      </c>
      <c r="F746" s="41" t="s">
        <v>77</v>
      </c>
      <c r="G746" s="42" t="n">
        <v>31.67</v>
      </c>
      <c r="H746" s="41" t="n">
        <v>8</v>
      </c>
      <c r="I746" s="42" t="n">
        <v>12.668</v>
      </c>
      <c r="J746" s="42" t="n">
        <v>266.028</v>
      </c>
      <c r="K746" s="43" t="n">
        <v>43467</v>
      </c>
      <c r="L746" s="44" t="n">
        <v>0.679861111111111</v>
      </c>
      <c r="M746" s="41" t="s">
        <v>99</v>
      </c>
      <c r="N746" s="42" t="n">
        <v>253.36</v>
      </c>
      <c r="O746" s="42" t="n">
        <v>12.668</v>
      </c>
      <c r="P746" s="45" t="n">
        <v>5.6</v>
      </c>
      <c r="Q746" s="41" t="str">
        <f aca="false">CHOOSE(MONTH(K746),"Jan","Feb","Mar","Apr","May","Jun","Jul","Aug","Sep","Oct","Nov","Dec")</f>
        <v>Jan</v>
      </c>
      <c r="R746" s="41" t="n">
        <f aca="false">INT((K746-setMinDate)/7)+1</f>
        <v>1</v>
      </c>
      <c r="S746" s="41" t="n">
        <f aca="false">HOUR(L746)</f>
        <v>16</v>
      </c>
      <c r="T746" s="41" t="str">
        <f aca="false">IF(S746&lt;setMorningEnd,"Morning",IF(S746&lt;setAfternoonEnd,"Afternoon","Evening"))</f>
        <v>Afternoon</v>
      </c>
      <c r="U746" s="41" t="str">
        <f aca="false">IF(J746&gt;=setLarge,"Large",IF(J746&gt;=setMedium,"Medium","Small"))</f>
        <v>Medium</v>
      </c>
      <c r="V746" s="41" t="str">
        <f aca="false">IF(P746&gt;=setExc,"Excellent",IF(P746&gt;=setGood,"Good",IF(P746&gt;=setAvg,"Average","Poor")))</f>
        <v>Average</v>
      </c>
    </row>
    <row r="747" customFormat="false" ht="15" hidden="false" customHeight="false" outlineLevel="0" collapsed="false">
      <c r="A747" s="41" t="s">
        <v>925</v>
      </c>
      <c r="B747" s="41" t="s">
        <v>180</v>
      </c>
      <c r="C747" s="41" t="s">
        <v>87</v>
      </c>
      <c r="D747" s="41" t="s">
        <v>104</v>
      </c>
      <c r="E747" s="41" t="s">
        <v>102</v>
      </c>
      <c r="F747" s="41" t="s">
        <v>76</v>
      </c>
      <c r="G747" s="42" t="n">
        <v>38.42</v>
      </c>
      <c r="H747" s="41" t="n">
        <v>1</v>
      </c>
      <c r="I747" s="42" t="n">
        <v>1.921</v>
      </c>
      <c r="J747" s="42" t="n">
        <v>40.341</v>
      </c>
      <c r="K747" s="43" t="n">
        <v>43498</v>
      </c>
      <c r="L747" s="44" t="n">
        <v>0.689583333333333</v>
      </c>
      <c r="M747" s="41" t="s">
        <v>97</v>
      </c>
      <c r="N747" s="42" t="n">
        <v>38.42</v>
      </c>
      <c r="O747" s="42" t="n">
        <v>1.921</v>
      </c>
      <c r="P747" s="45" t="n">
        <v>8.6</v>
      </c>
      <c r="Q747" s="41" t="str">
        <f aca="false">CHOOSE(MONTH(K747),"Jan","Feb","Mar","Apr","May","Jun","Jul","Aug","Sep","Oct","Nov","Dec")</f>
        <v>Feb</v>
      </c>
      <c r="R747" s="41" t="n">
        <f aca="false">INT((K747-setMinDate)/7)+1</f>
        <v>5</v>
      </c>
      <c r="S747" s="41" t="n">
        <f aca="false">HOUR(L747)</f>
        <v>16</v>
      </c>
      <c r="T747" s="41" t="str">
        <f aca="false">IF(S747&lt;setMorningEnd,"Morning",IF(S747&lt;setAfternoonEnd,"Afternoon","Evening"))</f>
        <v>Afternoon</v>
      </c>
      <c r="U747" s="41" t="str">
        <f aca="false">IF(J747&gt;=setLarge,"Large",IF(J747&gt;=setMedium,"Medium","Small"))</f>
        <v>Small</v>
      </c>
      <c r="V747" s="41" t="str">
        <f aca="false">IF(P747&gt;=setExc,"Excellent",IF(P747&gt;=setGood,"Good",IF(P747&gt;=setAvg,"Average","Poor")))</f>
        <v>Good</v>
      </c>
    </row>
    <row r="748" customFormat="false" ht="15" hidden="false" customHeight="false" outlineLevel="0" collapsed="false">
      <c r="A748" s="41" t="s">
        <v>926</v>
      </c>
      <c r="B748" s="41" t="s">
        <v>189</v>
      </c>
      <c r="C748" s="41" t="s">
        <v>86</v>
      </c>
      <c r="D748" s="41" t="s">
        <v>104</v>
      </c>
      <c r="E748" s="41" t="s">
        <v>103</v>
      </c>
      <c r="F748" s="41" t="s">
        <v>79</v>
      </c>
      <c r="G748" s="42" t="n">
        <v>65.23</v>
      </c>
      <c r="H748" s="41" t="n">
        <v>10</v>
      </c>
      <c r="I748" s="42" t="n">
        <v>32.615</v>
      </c>
      <c r="J748" s="42" t="n">
        <v>684.915</v>
      </c>
      <c r="K748" s="43" t="n">
        <v>43473</v>
      </c>
      <c r="L748" s="44" t="n">
        <v>0.796527777777778</v>
      </c>
      <c r="M748" s="41" t="s">
        <v>99</v>
      </c>
      <c r="N748" s="42" t="n">
        <v>652.3</v>
      </c>
      <c r="O748" s="42" t="n">
        <v>32.615</v>
      </c>
      <c r="P748" s="45" t="n">
        <v>5.2</v>
      </c>
      <c r="Q748" s="41" t="str">
        <f aca="false">CHOOSE(MONTH(K748),"Jan","Feb","Mar","Apr","May","Jun","Jul","Aug","Sep","Oct","Nov","Dec")</f>
        <v>Jan</v>
      </c>
      <c r="R748" s="41" t="n">
        <f aca="false">INT((K748-setMinDate)/7)+1</f>
        <v>2</v>
      </c>
      <c r="S748" s="41" t="n">
        <f aca="false">HOUR(L748)</f>
        <v>19</v>
      </c>
      <c r="T748" s="41" t="str">
        <f aca="false">IF(S748&lt;setMorningEnd,"Morning",IF(S748&lt;setAfternoonEnd,"Afternoon","Evening"))</f>
        <v>Evening</v>
      </c>
      <c r="U748" s="41" t="str">
        <f aca="false">IF(J748&gt;=setLarge,"Large",IF(J748&gt;=setMedium,"Medium","Small"))</f>
        <v>Large</v>
      </c>
      <c r="V748" s="41" t="str">
        <f aca="false">IF(P748&gt;=setExc,"Excellent",IF(P748&gt;=setGood,"Good",IF(P748&gt;=setAvg,"Average","Poor")))</f>
        <v>Average</v>
      </c>
    </row>
    <row r="749" customFormat="false" ht="15" hidden="false" customHeight="false" outlineLevel="0" collapsed="false">
      <c r="A749" s="41" t="s">
        <v>927</v>
      </c>
      <c r="B749" s="41" t="s">
        <v>180</v>
      </c>
      <c r="C749" s="41" t="s">
        <v>87</v>
      </c>
      <c r="D749" s="41" t="s">
        <v>104</v>
      </c>
      <c r="E749" s="41" t="s">
        <v>102</v>
      </c>
      <c r="F749" s="41" t="s">
        <v>80</v>
      </c>
      <c r="G749" s="42" t="n">
        <v>10.53</v>
      </c>
      <c r="H749" s="41" t="n">
        <v>5</v>
      </c>
      <c r="I749" s="42" t="n">
        <v>2.6325</v>
      </c>
      <c r="J749" s="42" t="n">
        <v>55.2825</v>
      </c>
      <c r="K749" s="43" t="n">
        <v>43495</v>
      </c>
      <c r="L749" s="44" t="n">
        <v>0.613194444444445</v>
      </c>
      <c r="M749" s="41" t="s">
        <v>99</v>
      </c>
      <c r="N749" s="42" t="n">
        <v>52.65</v>
      </c>
      <c r="O749" s="42" t="n">
        <v>2.6325</v>
      </c>
      <c r="P749" s="45" t="n">
        <v>5.8</v>
      </c>
      <c r="Q749" s="41" t="str">
        <f aca="false">CHOOSE(MONTH(K749),"Jan","Feb","Mar","Apr","May","Jun","Jul","Aug","Sep","Oct","Nov","Dec")</f>
        <v>Jan</v>
      </c>
      <c r="R749" s="41" t="n">
        <f aca="false">INT((K749-setMinDate)/7)+1</f>
        <v>5</v>
      </c>
      <c r="S749" s="41" t="n">
        <f aca="false">HOUR(L749)</f>
        <v>14</v>
      </c>
      <c r="T749" s="41" t="str">
        <f aca="false">IF(S749&lt;setMorningEnd,"Morning",IF(S749&lt;setAfternoonEnd,"Afternoon","Evening"))</f>
        <v>Afternoon</v>
      </c>
      <c r="U749" s="41" t="str">
        <f aca="false">IF(J749&gt;=setLarge,"Large",IF(J749&gt;=setMedium,"Medium","Small"))</f>
        <v>Small</v>
      </c>
      <c r="V749" s="41" t="str">
        <f aca="false">IF(P749&gt;=setExc,"Excellent",IF(P749&gt;=setGood,"Good",IF(P749&gt;=setAvg,"Average","Poor")))</f>
        <v>Average</v>
      </c>
    </row>
    <row r="750" customFormat="false" ht="15" hidden="false" customHeight="false" outlineLevel="0" collapsed="false">
      <c r="A750" s="41" t="s">
        <v>928</v>
      </c>
      <c r="B750" s="41" t="s">
        <v>189</v>
      </c>
      <c r="C750" s="41" t="s">
        <v>86</v>
      </c>
      <c r="D750" s="41" t="s">
        <v>104</v>
      </c>
      <c r="E750" s="41" t="s">
        <v>102</v>
      </c>
      <c r="F750" s="41" t="s">
        <v>80</v>
      </c>
      <c r="G750" s="42" t="n">
        <v>12.29</v>
      </c>
      <c r="H750" s="41" t="n">
        <v>9</v>
      </c>
      <c r="I750" s="42" t="n">
        <v>5.5305</v>
      </c>
      <c r="J750" s="42" t="n">
        <v>116.1405</v>
      </c>
      <c r="K750" s="43" t="n">
        <v>43550</v>
      </c>
      <c r="L750" s="44" t="n">
        <v>0.811111111111111</v>
      </c>
      <c r="M750" s="41" t="s">
        <v>99</v>
      </c>
      <c r="N750" s="42" t="n">
        <v>110.61</v>
      </c>
      <c r="O750" s="42" t="n">
        <v>5.5305</v>
      </c>
      <c r="P750" s="45" t="n">
        <v>8</v>
      </c>
      <c r="Q750" s="41" t="str">
        <f aca="false">CHOOSE(MONTH(K750),"Jan","Feb","Mar","Apr","May","Jun","Jul","Aug","Sep","Oct","Nov","Dec")</f>
        <v>Mar</v>
      </c>
      <c r="R750" s="41" t="n">
        <f aca="false">INT((K750-setMinDate)/7)+1</f>
        <v>13</v>
      </c>
      <c r="S750" s="41" t="n">
        <f aca="false">HOUR(L750)</f>
        <v>19</v>
      </c>
      <c r="T750" s="41" t="str">
        <f aca="false">IF(S750&lt;setMorningEnd,"Morning",IF(S750&lt;setAfternoonEnd,"Afternoon","Evening"))</f>
        <v>Evening</v>
      </c>
      <c r="U750" s="41" t="str">
        <f aca="false">IF(J750&gt;=setLarge,"Large",IF(J750&gt;=setMedium,"Medium","Small"))</f>
        <v>Small</v>
      </c>
      <c r="V750" s="41" t="str">
        <f aca="false">IF(P750&gt;=setExc,"Excellent",IF(P750&gt;=setGood,"Good",IF(P750&gt;=setAvg,"Average","Poor")))</f>
        <v>Good</v>
      </c>
    </row>
    <row r="751" customFormat="false" ht="15" hidden="false" customHeight="false" outlineLevel="0" collapsed="false">
      <c r="A751" s="41" t="s">
        <v>929</v>
      </c>
      <c r="B751" s="41" t="s">
        <v>180</v>
      </c>
      <c r="C751" s="41" t="s">
        <v>87</v>
      </c>
      <c r="D751" s="41" t="s">
        <v>104</v>
      </c>
      <c r="E751" s="41" t="s">
        <v>103</v>
      </c>
      <c r="F751" s="41" t="s">
        <v>81</v>
      </c>
      <c r="G751" s="42" t="n">
        <v>81.23</v>
      </c>
      <c r="H751" s="41" t="n">
        <v>7</v>
      </c>
      <c r="I751" s="42" t="n">
        <v>28.4305</v>
      </c>
      <c r="J751" s="42" t="n">
        <v>597.0405</v>
      </c>
      <c r="K751" s="43" t="n">
        <v>43480</v>
      </c>
      <c r="L751" s="44" t="n">
        <v>0.863888888888889</v>
      </c>
      <c r="M751" s="41" t="s">
        <v>97</v>
      </c>
      <c r="N751" s="42" t="n">
        <v>568.61</v>
      </c>
      <c r="O751" s="42" t="n">
        <v>28.4305</v>
      </c>
      <c r="P751" s="45" t="n">
        <v>9</v>
      </c>
      <c r="Q751" s="41" t="str">
        <f aca="false">CHOOSE(MONTH(K751),"Jan","Feb","Mar","Apr","May","Jun","Jul","Aug","Sep","Oct","Nov","Dec")</f>
        <v>Jan</v>
      </c>
      <c r="R751" s="41" t="n">
        <f aca="false">INT((K751-setMinDate)/7)+1</f>
        <v>3</v>
      </c>
      <c r="S751" s="41" t="n">
        <f aca="false">HOUR(L751)</f>
        <v>20</v>
      </c>
      <c r="T751" s="41" t="str">
        <f aca="false">IF(S751&lt;setMorningEnd,"Morning",IF(S751&lt;setAfternoonEnd,"Afternoon","Evening"))</f>
        <v>Evening</v>
      </c>
      <c r="U751" s="41" t="str">
        <f aca="false">IF(J751&gt;=setLarge,"Large",IF(J751&gt;=setMedium,"Medium","Small"))</f>
        <v>Medium</v>
      </c>
      <c r="V751" s="41" t="str">
        <f aca="false">IF(P751&gt;=setExc,"Excellent",IF(P751&gt;=setGood,"Good",IF(P751&gt;=setAvg,"Average","Poor")))</f>
        <v>Excellent</v>
      </c>
    </row>
    <row r="752" customFormat="false" ht="15" hidden="false" customHeight="false" outlineLevel="0" collapsed="false">
      <c r="A752" s="41" t="s">
        <v>930</v>
      </c>
      <c r="B752" s="41" t="s">
        <v>189</v>
      </c>
      <c r="C752" s="41" t="s">
        <v>86</v>
      </c>
      <c r="D752" s="41" t="s">
        <v>104</v>
      </c>
      <c r="E752" s="41" t="s">
        <v>102</v>
      </c>
      <c r="F752" s="41" t="s">
        <v>79</v>
      </c>
      <c r="G752" s="42" t="n">
        <v>22.32</v>
      </c>
      <c r="H752" s="41" t="n">
        <v>4</v>
      </c>
      <c r="I752" s="42" t="n">
        <v>4.464</v>
      </c>
      <c r="J752" s="42" t="n">
        <v>93.744</v>
      </c>
      <c r="K752" s="43" t="n">
        <v>43538</v>
      </c>
      <c r="L752" s="44" t="n">
        <v>0.469444444444444</v>
      </c>
      <c r="M752" s="41" t="s">
        <v>98</v>
      </c>
      <c r="N752" s="42" t="n">
        <v>89.28</v>
      </c>
      <c r="O752" s="42" t="n">
        <v>4.464</v>
      </c>
      <c r="P752" s="45" t="n">
        <v>4.1</v>
      </c>
      <c r="Q752" s="41" t="str">
        <f aca="false">CHOOSE(MONTH(K752),"Jan","Feb","Mar","Apr","May","Jun","Jul","Aug","Sep","Oct","Nov","Dec")</f>
        <v>Mar</v>
      </c>
      <c r="R752" s="41" t="n">
        <f aca="false">INT((K752-setMinDate)/7)+1</f>
        <v>11</v>
      </c>
      <c r="S752" s="41" t="n">
        <f aca="false">HOUR(L752)</f>
        <v>11</v>
      </c>
      <c r="T752" s="41" t="str">
        <f aca="false">IF(S752&lt;setMorningEnd,"Morning",IF(S752&lt;setAfternoonEnd,"Afternoon","Evening"))</f>
        <v>Morning</v>
      </c>
      <c r="U752" s="41" t="str">
        <f aca="false">IF(J752&gt;=setLarge,"Large",IF(J752&gt;=setMedium,"Medium","Small"))</f>
        <v>Small</v>
      </c>
      <c r="V752" s="41" t="str">
        <f aca="false">IF(P752&gt;=setExc,"Excellent",IF(P752&gt;=setGood,"Good",IF(P752&gt;=setAvg,"Average","Poor")))</f>
        <v>Poor</v>
      </c>
    </row>
    <row r="753" customFormat="false" ht="15" hidden="false" customHeight="false" outlineLevel="0" collapsed="false">
      <c r="A753" s="41" t="s">
        <v>931</v>
      </c>
      <c r="B753" s="41" t="s">
        <v>178</v>
      </c>
      <c r="C753" s="41" t="s">
        <v>85</v>
      </c>
      <c r="D753" s="41" t="s">
        <v>105</v>
      </c>
      <c r="E753" s="41" t="s">
        <v>102</v>
      </c>
      <c r="F753" s="41" t="s">
        <v>76</v>
      </c>
      <c r="G753" s="42" t="n">
        <v>27.28</v>
      </c>
      <c r="H753" s="41" t="n">
        <v>5</v>
      </c>
      <c r="I753" s="42" t="n">
        <v>6.82</v>
      </c>
      <c r="J753" s="42" t="n">
        <v>143.22</v>
      </c>
      <c r="K753" s="43" t="n">
        <v>43499</v>
      </c>
      <c r="L753" s="44" t="n">
        <v>0.438194444444444</v>
      </c>
      <c r="M753" s="41" t="s">
        <v>99</v>
      </c>
      <c r="N753" s="42" t="n">
        <v>136.4</v>
      </c>
      <c r="O753" s="42" t="n">
        <v>6.82</v>
      </c>
      <c r="P753" s="45" t="n">
        <v>8.6</v>
      </c>
      <c r="Q753" s="41" t="str">
        <f aca="false">CHOOSE(MONTH(K753),"Jan","Feb","Mar","Apr","May","Jun","Jul","Aug","Sep","Oct","Nov","Dec")</f>
        <v>Feb</v>
      </c>
      <c r="R753" s="41" t="n">
        <f aca="false">INT((K753-setMinDate)/7)+1</f>
        <v>5</v>
      </c>
      <c r="S753" s="41" t="n">
        <f aca="false">HOUR(L753)</f>
        <v>10</v>
      </c>
      <c r="T753" s="41" t="str">
        <f aca="false">IF(S753&lt;setMorningEnd,"Morning",IF(S753&lt;setAfternoonEnd,"Afternoon","Evening"))</f>
        <v>Morning</v>
      </c>
      <c r="U753" s="41" t="str">
        <f aca="false">IF(J753&gt;=setLarge,"Large",IF(J753&gt;=setMedium,"Medium","Small"))</f>
        <v>Small</v>
      </c>
      <c r="V753" s="41" t="str">
        <f aca="false">IF(P753&gt;=setExc,"Excellent",IF(P753&gt;=setGood,"Good",IF(P753&gt;=setAvg,"Average","Poor")))</f>
        <v>Good</v>
      </c>
    </row>
    <row r="754" customFormat="false" ht="15" hidden="false" customHeight="false" outlineLevel="0" collapsed="false">
      <c r="A754" s="41" t="s">
        <v>932</v>
      </c>
      <c r="B754" s="41" t="s">
        <v>178</v>
      </c>
      <c r="C754" s="41" t="s">
        <v>85</v>
      </c>
      <c r="D754" s="41" t="s">
        <v>104</v>
      </c>
      <c r="E754" s="41" t="s">
        <v>102</v>
      </c>
      <c r="F754" s="41" t="s">
        <v>78</v>
      </c>
      <c r="G754" s="42" t="n">
        <v>17.42</v>
      </c>
      <c r="H754" s="41" t="n">
        <v>10</v>
      </c>
      <c r="I754" s="42" t="n">
        <v>8.71</v>
      </c>
      <c r="J754" s="42" t="n">
        <v>182.91</v>
      </c>
      <c r="K754" s="43" t="n">
        <v>43518</v>
      </c>
      <c r="L754" s="44" t="n">
        <v>0.520833333333333</v>
      </c>
      <c r="M754" s="41" t="s">
        <v>98</v>
      </c>
      <c r="N754" s="42" t="n">
        <v>174.2</v>
      </c>
      <c r="O754" s="42" t="n">
        <v>8.71</v>
      </c>
      <c r="P754" s="45" t="n">
        <v>7</v>
      </c>
      <c r="Q754" s="41" t="str">
        <f aca="false">CHOOSE(MONTH(K754),"Jan","Feb","Mar","Apr","May","Jun","Jul","Aug","Sep","Oct","Nov","Dec")</f>
        <v>Feb</v>
      </c>
      <c r="R754" s="41" t="n">
        <f aca="false">INT((K754-setMinDate)/7)+1</f>
        <v>8</v>
      </c>
      <c r="S754" s="41" t="n">
        <f aca="false">HOUR(L754)</f>
        <v>12</v>
      </c>
      <c r="T754" s="41" t="str">
        <f aca="false">IF(S754&lt;setMorningEnd,"Morning",IF(S754&lt;setAfternoonEnd,"Afternoon","Evening"))</f>
        <v>Afternoon</v>
      </c>
      <c r="U754" s="41" t="str">
        <f aca="false">IF(J754&gt;=setLarge,"Large",IF(J754&gt;=setMedium,"Medium","Small"))</f>
        <v>Small</v>
      </c>
      <c r="V754" s="41" t="str">
        <f aca="false">IF(P754&gt;=setExc,"Excellent",IF(P754&gt;=setGood,"Good",IF(P754&gt;=setAvg,"Average","Poor")))</f>
        <v>Good</v>
      </c>
    </row>
    <row r="755" customFormat="false" ht="15" hidden="false" customHeight="false" outlineLevel="0" collapsed="false">
      <c r="A755" s="41" t="s">
        <v>933</v>
      </c>
      <c r="B755" s="41" t="s">
        <v>189</v>
      </c>
      <c r="C755" s="41" t="s">
        <v>86</v>
      </c>
      <c r="D755" s="41" t="s">
        <v>105</v>
      </c>
      <c r="E755" s="41" t="s">
        <v>103</v>
      </c>
      <c r="F755" s="41" t="s">
        <v>80</v>
      </c>
      <c r="G755" s="42" t="n">
        <v>73.28</v>
      </c>
      <c r="H755" s="41" t="n">
        <v>5</v>
      </c>
      <c r="I755" s="42" t="n">
        <v>18.32</v>
      </c>
      <c r="J755" s="42" t="n">
        <v>384.72</v>
      </c>
      <c r="K755" s="43" t="n">
        <v>43489</v>
      </c>
      <c r="L755" s="44" t="n">
        <v>0.628472222222222</v>
      </c>
      <c r="M755" s="41" t="s">
        <v>98</v>
      </c>
      <c r="N755" s="42" t="n">
        <v>366.4</v>
      </c>
      <c r="O755" s="42" t="n">
        <v>18.32</v>
      </c>
      <c r="P755" s="45" t="n">
        <v>8.4</v>
      </c>
      <c r="Q755" s="41" t="str">
        <f aca="false">CHOOSE(MONTH(K755),"Jan","Feb","Mar","Apr","May","Jun","Jul","Aug","Sep","Oct","Nov","Dec")</f>
        <v>Jan</v>
      </c>
      <c r="R755" s="41" t="n">
        <f aca="false">INT((K755-setMinDate)/7)+1</f>
        <v>4</v>
      </c>
      <c r="S755" s="41" t="n">
        <f aca="false">HOUR(L755)</f>
        <v>15</v>
      </c>
      <c r="T755" s="41" t="str">
        <f aca="false">IF(S755&lt;setMorningEnd,"Morning",IF(S755&lt;setAfternoonEnd,"Afternoon","Evening"))</f>
        <v>Afternoon</v>
      </c>
      <c r="U755" s="41" t="str">
        <f aca="false">IF(J755&gt;=setLarge,"Large",IF(J755&gt;=setMedium,"Medium","Small"))</f>
        <v>Medium</v>
      </c>
      <c r="V755" s="41" t="str">
        <f aca="false">IF(P755&gt;=setExc,"Excellent",IF(P755&gt;=setGood,"Good",IF(P755&gt;=setAvg,"Average","Poor")))</f>
        <v>Good</v>
      </c>
    </row>
    <row r="756" customFormat="false" ht="15" hidden="false" customHeight="false" outlineLevel="0" collapsed="false">
      <c r="A756" s="41" t="s">
        <v>934</v>
      </c>
      <c r="B756" s="41" t="s">
        <v>180</v>
      </c>
      <c r="C756" s="41" t="s">
        <v>87</v>
      </c>
      <c r="D756" s="41" t="s">
        <v>104</v>
      </c>
      <c r="E756" s="41" t="s">
        <v>102</v>
      </c>
      <c r="F756" s="41" t="s">
        <v>79</v>
      </c>
      <c r="G756" s="42" t="n">
        <v>84.87</v>
      </c>
      <c r="H756" s="41" t="n">
        <v>3</v>
      </c>
      <c r="I756" s="42" t="n">
        <v>12.7305</v>
      </c>
      <c r="J756" s="42" t="n">
        <v>267.3405</v>
      </c>
      <c r="K756" s="43" t="n">
        <v>43490</v>
      </c>
      <c r="L756" s="44" t="n">
        <v>0.770833333333333</v>
      </c>
      <c r="M756" s="41" t="s">
        <v>98</v>
      </c>
      <c r="N756" s="42" t="n">
        <v>254.61</v>
      </c>
      <c r="O756" s="42" t="n">
        <v>12.7305</v>
      </c>
      <c r="P756" s="45" t="n">
        <v>7.4</v>
      </c>
      <c r="Q756" s="41" t="str">
        <f aca="false">CHOOSE(MONTH(K756),"Jan","Feb","Mar","Apr","May","Jun","Jul","Aug","Sep","Oct","Nov","Dec")</f>
        <v>Jan</v>
      </c>
      <c r="R756" s="41" t="n">
        <f aca="false">INT((K756-setMinDate)/7)+1</f>
        <v>4</v>
      </c>
      <c r="S756" s="41" t="n">
        <f aca="false">HOUR(L756)</f>
        <v>18</v>
      </c>
      <c r="T756" s="41" t="str">
        <f aca="false">IF(S756&lt;setMorningEnd,"Morning",IF(S756&lt;setAfternoonEnd,"Afternoon","Evening"))</f>
        <v>Evening</v>
      </c>
      <c r="U756" s="41" t="str">
        <f aca="false">IF(J756&gt;=setLarge,"Large",IF(J756&gt;=setMedium,"Medium","Small"))</f>
        <v>Medium</v>
      </c>
      <c r="V756" s="41" t="str">
        <f aca="false">IF(P756&gt;=setExc,"Excellent",IF(P756&gt;=setGood,"Good",IF(P756&gt;=setAvg,"Average","Poor")))</f>
        <v>Good</v>
      </c>
    </row>
    <row r="757" customFormat="false" ht="15" hidden="false" customHeight="false" outlineLevel="0" collapsed="false">
      <c r="A757" s="41" t="s">
        <v>935</v>
      </c>
      <c r="B757" s="41" t="s">
        <v>178</v>
      </c>
      <c r="C757" s="41" t="s">
        <v>85</v>
      </c>
      <c r="D757" s="41" t="s">
        <v>105</v>
      </c>
      <c r="E757" s="41" t="s">
        <v>102</v>
      </c>
      <c r="F757" s="41" t="s">
        <v>79</v>
      </c>
      <c r="G757" s="42" t="n">
        <v>97.29</v>
      </c>
      <c r="H757" s="41" t="n">
        <v>8</v>
      </c>
      <c r="I757" s="42" t="n">
        <v>38.916</v>
      </c>
      <c r="J757" s="42" t="n">
        <v>817.236</v>
      </c>
      <c r="K757" s="43" t="n">
        <v>43533</v>
      </c>
      <c r="L757" s="44" t="n">
        <v>0.554166666666667</v>
      </c>
      <c r="M757" s="41" t="s">
        <v>99</v>
      </c>
      <c r="N757" s="42" t="n">
        <v>778.32</v>
      </c>
      <c r="O757" s="42" t="n">
        <v>38.916</v>
      </c>
      <c r="P757" s="45" t="n">
        <v>6.2</v>
      </c>
      <c r="Q757" s="41" t="str">
        <f aca="false">CHOOSE(MONTH(K757),"Jan","Feb","Mar","Apr","May","Jun","Jul","Aug","Sep","Oct","Nov","Dec")</f>
        <v>Mar</v>
      </c>
      <c r="R757" s="41" t="n">
        <f aca="false">INT((K757-setMinDate)/7)+1</f>
        <v>10</v>
      </c>
      <c r="S757" s="41" t="n">
        <f aca="false">HOUR(L757)</f>
        <v>13</v>
      </c>
      <c r="T757" s="41" t="str">
        <f aca="false">IF(S757&lt;setMorningEnd,"Morning",IF(S757&lt;setAfternoonEnd,"Afternoon","Evening"))</f>
        <v>Afternoon</v>
      </c>
      <c r="U757" s="41" t="str">
        <f aca="false">IF(J757&gt;=setLarge,"Large",IF(J757&gt;=setMedium,"Medium","Small"))</f>
        <v>Large</v>
      </c>
      <c r="V757" s="41" t="str">
        <f aca="false">IF(P757&gt;=setExc,"Excellent",IF(P757&gt;=setGood,"Good",IF(P757&gt;=setAvg,"Average","Poor")))</f>
        <v>Average</v>
      </c>
    </row>
    <row r="758" customFormat="false" ht="15" hidden="false" customHeight="false" outlineLevel="0" collapsed="false">
      <c r="A758" s="41" t="s">
        <v>936</v>
      </c>
      <c r="B758" s="41" t="s">
        <v>189</v>
      </c>
      <c r="C758" s="41" t="s">
        <v>86</v>
      </c>
      <c r="D758" s="41" t="s">
        <v>104</v>
      </c>
      <c r="E758" s="41" t="s">
        <v>102</v>
      </c>
      <c r="F758" s="41" t="s">
        <v>78</v>
      </c>
      <c r="G758" s="42" t="n">
        <v>35.74</v>
      </c>
      <c r="H758" s="41" t="n">
        <v>8</v>
      </c>
      <c r="I758" s="42" t="n">
        <v>14.296</v>
      </c>
      <c r="J758" s="42" t="n">
        <v>300.216</v>
      </c>
      <c r="K758" s="43" t="n">
        <v>43513</v>
      </c>
      <c r="L758" s="44" t="n">
        <v>0.644444444444445</v>
      </c>
      <c r="M758" s="41" t="s">
        <v>98</v>
      </c>
      <c r="N758" s="42" t="n">
        <v>285.92</v>
      </c>
      <c r="O758" s="42" t="n">
        <v>14.296</v>
      </c>
      <c r="P758" s="45" t="n">
        <v>4.9</v>
      </c>
      <c r="Q758" s="41" t="str">
        <f aca="false">CHOOSE(MONTH(K758),"Jan","Feb","Mar","Apr","May","Jun","Jul","Aug","Sep","Oct","Nov","Dec")</f>
        <v>Feb</v>
      </c>
      <c r="R758" s="41" t="n">
        <f aca="false">INT((K758-setMinDate)/7)+1</f>
        <v>7</v>
      </c>
      <c r="S758" s="41" t="n">
        <f aca="false">HOUR(L758)</f>
        <v>15</v>
      </c>
      <c r="T758" s="41" t="str">
        <f aca="false">IF(S758&lt;setMorningEnd,"Morning",IF(S758&lt;setAfternoonEnd,"Afternoon","Evening"))</f>
        <v>Afternoon</v>
      </c>
      <c r="U758" s="41" t="str">
        <f aca="false">IF(J758&gt;=setLarge,"Large",IF(J758&gt;=setMedium,"Medium","Small"))</f>
        <v>Medium</v>
      </c>
      <c r="V758" s="41" t="str">
        <f aca="false">IF(P758&gt;=setExc,"Excellent",IF(P758&gt;=setGood,"Good",IF(P758&gt;=setAvg,"Average","Poor")))</f>
        <v>Poor</v>
      </c>
    </row>
    <row r="759" customFormat="false" ht="15" hidden="false" customHeight="false" outlineLevel="0" collapsed="false">
      <c r="A759" s="41" t="s">
        <v>937</v>
      </c>
      <c r="B759" s="41" t="s">
        <v>178</v>
      </c>
      <c r="C759" s="41" t="s">
        <v>85</v>
      </c>
      <c r="D759" s="41" t="s">
        <v>105</v>
      </c>
      <c r="E759" s="41" t="s">
        <v>102</v>
      </c>
      <c r="F759" s="41" t="s">
        <v>80</v>
      </c>
      <c r="G759" s="42" t="n">
        <v>96.52</v>
      </c>
      <c r="H759" s="41" t="n">
        <v>6</v>
      </c>
      <c r="I759" s="42" t="n">
        <v>28.956</v>
      </c>
      <c r="J759" s="42" t="n">
        <v>608.076</v>
      </c>
      <c r="K759" s="43" t="n">
        <v>43476</v>
      </c>
      <c r="L759" s="44" t="n">
        <v>0.494444444444445</v>
      </c>
      <c r="M759" s="41" t="s">
        <v>97</v>
      </c>
      <c r="N759" s="42" t="n">
        <v>579.12</v>
      </c>
      <c r="O759" s="42" t="n">
        <v>28.956</v>
      </c>
      <c r="P759" s="45" t="n">
        <v>4.5</v>
      </c>
      <c r="Q759" s="41" t="str">
        <f aca="false">CHOOSE(MONTH(K759),"Jan","Feb","Mar","Apr","May","Jun","Jul","Aug","Sep","Oct","Nov","Dec")</f>
        <v>Jan</v>
      </c>
      <c r="R759" s="41" t="n">
        <f aca="false">INT((K759-setMinDate)/7)+1</f>
        <v>2</v>
      </c>
      <c r="S759" s="41" t="n">
        <f aca="false">HOUR(L759)</f>
        <v>11</v>
      </c>
      <c r="T759" s="41" t="str">
        <f aca="false">IF(S759&lt;setMorningEnd,"Morning",IF(S759&lt;setAfternoonEnd,"Afternoon","Evening"))</f>
        <v>Morning</v>
      </c>
      <c r="U759" s="41" t="str">
        <f aca="false">IF(J759&gt;=setLarge,"Large",IF(J759&gt;=setMedium,"Medium","Small"))</f>
        <v>Large</v>
      </c>
      <c r="V759" s="41" t="str">
        <f aca="false">IF(P759&gt;=setExc,"Excellent",IF(P759&gt;=setGood,"Good",IF(P759&gt;=setAvg,"Average","Poor")))</f>
        <v>Poor</v>
      </c>
    </row>
    <row r="760" customFormat="false" ht="15" hidden="false" customHeight="false" outlineLevel="0" collapsed="false">
      <c r="A760" s="41" t="s">
        <v>938</v>
      </c>
      <c r="B760" s="41" t="s">
        <v>178</v>
      </c>
      <c r="C760" s="41" t="s">
        <v>85</v>
      </c>
      <c r="D760" s="41" t="s">
        <v>104</v>
      </c>
      <c r="E760" s="41" t="s">
        <v>103</v>
      </c>
      <c r="F760" s="41" t="s">
        <v>76</v>
      </c>
      <c r="G760" s="42" t="n">
        <v>18.85</v>
      </c>
      <c r="H760" s="41" t="n">
        <v>10</v>
      </c>
      <c r="I760" s="42" t="n">
        <v>9.425</v>
      </c>
      <c r="J760" s="42" t="n">
        <v>197.925</v>
      </c>
      <c r="K760" s="43" t="n">
        <v>43523</v>
      </c>
      <c r="L760" s="44" t="n">
        <v>0.766666666666667</v>
      </c>
      <c r="M760" s="41" t="s">
        <v>98</v>
      </c>
      <c r="N760" s="42" t="n">
        <v>188.5</v>
      </c>
      <c r="O760" s="42" t="n">
        <v>9.425</v>
      </c>
      <c r="P760" s="45" t="n">
        <v>5.6</v>
      </c>
      <c r="Q760" s="41" t="str">
        <f aca="false">CHOOSE(MONTH(K760),"Jan","Feb","Mar","Apr","May","Jun","Jul","Aug","Sep","Oct","Nov","Dec")</f>
        <v>Feb</v>
      </c>
      <c r="R760" s="41" t="n">
        <f aca="false">INT((K760-setMinDate)/7)+1</f>
        <v>9</v>
      </c>
      <c r="S760" s="41" t="n">
        <f aca="false">HOUR(L760)</f>
        <v>18</v>
      </c>
      <c r="T760" s="41" t="str">
        <f aca="false">IF(S760&lt;setMorningEnd,"Morning",IF(S760&lt;setAfternoonEnd,"Afternoon","Evening"))</f>
        <v>Evening</v>
      </c>
      <c r="U760" s="41" t="str">
        <f aca="false">IF(J760&gt;=setLarge,"Large",IF(J760&gt;=setMedium,"Medium","Small"))</f>
        <v>Small</v>
      </c>
      <c r="V760" s="41" t="str">
        <f aca="false">IF(P760&gt;=setExc,"Excellent",IF(P760&gt;=setGood,"Good",IF(P760&gt;=setAvg,"Average","Poor")))</f>
        <v>Average</v>
      </c>
    </row>
    <row r="761" customFormat="false" ht="15" hidden="false" customHeight="false" outlineLevel="0" collapsed="false">
      <c r="A761" s="41" t="s">
        <v>939</v>
      </c>
      <c r="B761" s="41" t="s">
        <v>178</v>
      </c>
      <c r="C761" s="41" t="s">
        <v>85</v>
      </c>
      <c r="D761" s="41" t="s">
        <v>105</v>
      </c>
      <c r="E761" s="41" t="s">
        <v>102</v>
      </c>
      <c r="F761" s="41" t="s">
        <v>76</v>
      </c>
      <c r="G761" s="42" t="n">
        <v>55.39</v>
      </c>
      <c r="H761" s="41" t="n">
        <v>4</v>
      </c>
      <c r="I761" s="42" t="n">
        <v>11.078</v>
      </c>
      <c r="J761" s="42" t="n">
        <v>232.638</v>
      </c>
      <c r="K761" s="43" t="n">
        <v>43549</v>
      </c>
      <c r="L761" s="44" t="n">
        <v>0.638194444444444</v>
      </c>
      <c r="M761" s="41" t="s">
        <v>98</v>
      </c>
      <c r="N761" s="42" t="n">
        <v>221.56</v>
      </c>
      <c r="O761" s="42" t="n">
        <v>11.078</v>
      </c>
      <c r="P761" s="45" t="n">
        <v>8</v>
      </c>
      <c r="Q761" s="41" t="str">
        <f aca="false">CHOOSE(MONTH(K761),"Jan","Feb","Mar","Apr","May","Jun","Jul","Aug","Sep","Oct","Nov","Dec")</f>
        <v>Mar</v>
      </c>
      <c r="R761" s="41" t="n">
        <f aca="false">INT((K761-setMinDate)/7)+1</f>
        <v>12</v>
      </c>
      <c r="S761" s="41" t="n">
        <f aca="false">HOUR(L761)</f>
        <v>15</v>
      </c>
      <c r="T761" s="41" t="str">
        <f aca="false">IF(S761&lt;setMorningEnd,"Morning",IF(S761&lt;setAfternoonEnd,"Afternoon","Evening"))</f>
        <v>Afternoon</v>
      </c>
      <c r="U761" s="41" t="str">
        <f aca="false">IF(J761&gt;=setLarge,"Large",IF(J761&gt;=setMedium,"Medium","Small"))</f>
        <v>Small</v>
      </c>
      <c r="V761" s="41" t="str">
        <f aca="false">IF(P761&gt;=setExc,"Excellent",IF(P761&gt;=setGood,"Good",IF(P761&gt;=setAvg,"Average","Poor")))</f>
        <v>Good</v>
      </c>
    </row>
    <row r="762" customFormat="false" ht="15" hidden="false" customHeight="false" outlineLevel="0" collapsed="false">
      <c r="A762" s="41" t="s">
        <v>940</v>
      </c>
      <c r="B762" s="41" t="s">
        <v>189</v>
      </c>
      <c r="C762" s="41" t="s">
        <v>86</v>
      </c>
      <c r="D762" s="41" t="s">
        <v>104</v>
      </c>
      <c r="E762" s="41" t="s">
        <v>102</v>
      </c>
      <c r="F762" s="41" t="s">
        <v>76</v>
      </c>
      <c r="G762" s="42" t="n">
        <v>77.2</v>
      </c>
      <c r="H762" s="41" t="n">
        <v>10</v>
      </c>
      <c r="I762" s="42" t="n">
        <v>38.6</v>
      </c>
      <c r="J762" s="42" t="n">
        <v>810.6</v>
      </c>
      <c r="K762" s="43" t="n">
        <v>43507</v>
      </c>
      <c r="L762" s="44" t="n">
        <v>0.443055555555556</v>
      </c>
      <c r="M762" s="41" t="s">
        <v>99</v>
      </c>
      <c r="N762" s="42" t="n">
        <v>772</v>
      </c>
      <c r="O762" s="42" t="n">
        <v>38.6</v>
      </c>
      <c r="P762" s="45" t="n">
        <v>5.6</v>
      </c>
      <c r="Q762" s="41" t="str">
        <f aca="false">CHOOSE(MONTH(K762),"Jan","Feb","Mar","Apr","May","Jun","Jul","Aug","Sep","Oct","Nov","Dec")</f>
        <v>Feb</v>
      </c>
      <c r="R762" s="41" t="n">
        <f aca="false">INT((K762-setMinDate)/7)+1</f>
        <v>6</v>
      </c>
      <c r="S762" s="41" t="n">
        <f aca="false">HOUR(L762)</f>
        <v>10</v>
      </c>
      <c r="T762" s="41" t="str">
        <f aca="false">IF(S762&lt;setMorningEnd,"Morning",IF(S762&lt;setAfternoonEnd,"Afternoon","Evening"))</f>
        <v>Morning</v>
      </c>
      <c r="U762" s="41" t="str">
        <f aca="false">IF(J762&gt;=setLarge,"Large",IF(J762&gt;=setMedium,"Medium","Small"))</f>
        <v>Large</v>
      </c>
      <c r="V762" s="41" t="str">
        <f aca="false">IF(P762&gt;=setExc,"Excellent",IF(P762&gt;=setGood,"Good",IF(P762&gt;=setAvg,"Average","Poor")))</f>
        <v>Average</v>
      </c>
    </row>
    <row r="763" customFormat="false" ht="15" hidden="false" customHeight="false" outlineLevel="0" collapsed="false">
      <c r="A763" s="41" t="s">
        <v>941</v>
      </c>
      <c r="B763" s="41" t="s">
        <v>189</v>
      </c>
      <c r="C763" s="41" t="s">
        <v>86</v>
      </c>
      <c r="D763" s="41" t="s">
        <v>105</v>
      </c>
      <c r="E763" s="41" t="s">
        <v>103</v>
      </c>
      <c r="F763" s="41" t="s">
        <v>78</v>
      </c>
      <c r="G763" s="42" t="n">
        <v>72.13</v>
      </c>
      <c r="H763" s="41" t="n">
        <v>10</v>
      </c>
      <c r="I763" s="42" t="n">
        <v>36.065</v>
      </c>
      <c r="J763" s="42" t="n">
        <v>757.365</v>
      </c>
      <c r="K763" s="43" t="n">
        <v>43496</v>
      </c>
      <c r="L763" s="44" t="n">
        <v>0.633333333333333</v>
      </c>
      <c r="M763" s="41" t="s">
        <v>99</v>
      </c>
      <c r="N763" s="42" t="n">
        <v>721.3</v>
      </c>
      <c r="O763" s="42" t="n">
        <v>36.065</v>
      </c>
      <c r="P763" s="45" t="n">
        <v>4.2</v>
      </c>
      <c r="Q763" s="41" t="str">
        <f aca="false">CHOOSE(MONTH(K763),"Jan","Feb","Mar","Apr","May","Jun","Jul","Aug","Sep","Oct","Nov","Dec")</f>
        <v>Jan</v>
      </c>
      <c r="R763" s="41" t="n">
        <f aca="false">INT((K763-setMinDate)/7)+1</f>
        <v>5</v>
      </c>
      <c r="S763" s="41" t="n">
        <f aca="false">HOUR(L763)</f>
        <v>15</v>
      </c>
      <c r="T763" s="41" t="str">
        <f aca="false">IF(S763&lt;setMorningEnd,"Morning",IF(S763&lt;setAfternoonEnd,"Afternoon","Evening"))</f>
        <v>Afternoon</v>
      </c>
      <c r="U763" s="41" t="str">
        <f aca="false">IF(J763&gt;=setLarge,"Large",IF(J763&gt;=setMedium,"Medium","Small"))</f>
        <v>Large</v>
      </c>
      <c r="V763" s="41" t="str">
        <f aca="false">IF(P763&gt;=setExc,"Excellent",IF(P763&gt;=setGood,"Good",IF(P763&gt;=setAvg,"Average","Poor")))</f>
        <v>Poor</v>
      </c>
    </row>
    <row r="764" customFormat="false" ht="15" hidden="false" customHeight="false" outlineLevel="0" collapsed="false">
      <c r="A764" s="41" t="s">
        <v>942</v>
      </c>
      <c r="B764" s="41" t="s">
        <v>178</v>
      </c>
      <c r="C764" s="41" t="s">
        <v>85</v>
      </c>
      <c r="D764" s="41" t="s">
        <v>104</v>
      </c>
      <c r="E764" s="41" t="s">
        <v>102</v>
      </c>
      <c r="F764" s="41" t="s">
        <v>79</v>
      </c>
      <c r="G764" s="42" t="n">
        <v>63.88</v>
      </c>
      <c r="H764" s="41" t="n">
        <v>8</v>
      </c>
      <c r="I764" s="42" t="n">
        <v>25.552</v>
      </c>
      <c r="J764" s="42" t="n">
        <v>536.592</v>
      </c>
      <c r="K764" s="43" t="n">
        <v>43485</v>
      </c>
      <c r="L764" s="44" t="n">
        <v>0.741666666666667</v>
      </c>
      <c r="M764" s="41" t="s">
        <v>98</v>
      </c>
      <c r="N764" s="42" t="n">
        <v>511.04</v>
      </c>
      <c r="O764" s="42" t="n">
        <v>25.552</v>
      </c>
      <c r="P764" s="45" t="n">
        <v>9.9</v>
      </c>
      <c r="Q764" s="41" t="str">
        <f aca="false">CHOOSE(MONTH(K764),"Jan","Feb","Mar","Apr","May","Jun","Jul","Aug","Sep","Oct","Nov","Dec")</f>
        <v>Jan</v>
      </c>
      <c r="R764" s="41" t="n">
        <f aca="false">INT((K764-setMinDate)/7)+1</f>
        <v>3</v>
      </c>
      <c r="S764" s="41" t="n">
        <f aca="false">HOUR(L764)</f>
        <v>17</v>
      </c>
      <c r="T764" s="41" t="str">
        <f aca="false">IF(S764&lt;setMorningEnd,"Morning",IF(S764&lt;setAfternoonEnd,"Afternoon","Evening"))</f>
        <v>Evening</v>
      </c>
      <c r="U764" s="41" t="str">
        <f aca="false">IF(J764&gt;=setLarge,"Large",IF(J764&gt;=setMedium,"Medium","Small"))</f>
        <v>Medium</v>
      </c>
      <c r="V764" s="41" t="str">
        <f aca="false">IF(P764&gt;=setExc,"Excellent",IF(P764&gt;=setGood,"Good",IF(P764&gt;=setAvg,"Average","Poor")))</f>
        <v>Excellent</v>
      </c>
    </row>
    <row r="765" customFormat="false" ht="15" hidden="false" customHeight="false" outlineLevel="0" collapsed="false">
      <c r="A765" s="41" t="s">
        <v>943</v>
      </c>
      <c r="B765" s="41" t="s">
        <v>178</v>
      </c>
      <c r="C765" s="41" t="s">
        <v>85</v>
      </c>
      <c r="D765" s="41" t="s">
        <v>104</v>
      </c>
      <c r="E765" s="41" t="s">
        <v>102</v>
      </c>
      <c r="F765" s="41" t="s">
        <v>81</v>
      </c>
      <c r="G765" s="42" t="n">
        <v>10.69</v>
      </c>
      <c r="H765" s="41" t="n">
        <v>5</v>
      </c>
      <c r="I765" s="42" t="n">
        <v>2.6725</v>
      </c>
      <c r="J765" s="42" t="n">
        <v>56.1225</v>
      </c>
      <c r="K765" s="43" t="n">
        <v>43550</v>
      </c>
      <c r="L765" s="44" t="n">
        <v>0.463194444444445</v>
      </c>
      <c r="M765" s="41" t="s">
        <v>98</v>
      </c>
      <c r="N765" s="42" t="n">
        <v>53.45</v>
      </c>
      <c r="O765" s="42" t="n">
        <v>2.6725</v>
      </c>
      <c r="P765" s="45" t="n">
        <v>7.6</v>
      </c>
      <c r="Q765" s="41" t="str">
        <f aca="false">CHOOSE(MONTH(K765),"Jan","Feb","Mar","Apr","May","Jun","Jul","Aug","Sep","Oct","Nov","Dec")</f>
        <v>Mar</v>
      </c>
      <c r="R765" s="41" t="n">
        <f aca="false">INT((K765-setMinDate)/7)+1</f>
        <v>13</v>
      </c>
      <c r="S765" s="41" t="n">
        <f aca="false">HOUR(L765)</f>
        <v>11</v>
      </c>
      <c r="T765" s="41" t="str">
        <f aca="false">IF(S765&lt;setMorningEnd,"Morning",IF(S765&lt;setAfternoonEnd,"Afternoon","Evening"))</f>
        <v>Morning</v>
      </c>
      <c r="U765" s="41" t="str">
        <f aca="false">IF(J765&gt;=setLarge,"Large",IF(J765&gt;=setMedium,"Medium","Small"))</f>
        <v>Small</v>
      </c>
      <c r="V765" s="41" t="str">
        <f aca="false">IF(P765&gt;=setExc,"Excellent",IF(P765&gt;=setGood,"Good",IF(P765&gt;=setAvg,"Average","Poor")))</f>
        <v>Good</v>
      </c>
    </row>
    <row r="766" customFormat="false" ht="15" hidden="false" customHeight="false" outlineLevel="0" collapsed="false">
      <c r="A766" s="41" t="s">
        <v>944</v>
      </c>
      <c r="B766" s="41" t="s">
        <v>178</v>
      </c>
      <c r="C766" s="41" t="s">
        <v>85</v>
      </c>
      <c r="D766" s="41" t="s">
        <v>104</v>
      </c>
      <c r="E766" s="41" t="s">
        <v>103</v>
      </c>
      <c r="F766" s="41" t="s">
        <v>81</v>
      </c>
      <c r="G766" s="42" t="n">
        <v>55.5</v>
      </c>
      <c r="H766" s="41" t="n">
        <v>4</v>
      </c>
      <c r="I766" s="42" t="n">
        <v>11.1</v>
      </c>
      <c r="J766" s="42" t="n">
        <v>233.1</v>
      </c>
      <c r="K766" s="43" t="n">
        <v>43485</v>
      </c>
      <c r="L766" s="44" t="n">
        <v>0.658333333333333</v>
      </c>
      <c r="M766" s="41" t="s">
        <v>99</v>
      </c>
      <c r="N766" s="42" t="n">
        <v>222</v>
      </c>
      <c r="O766" s="42" t="n">
        <v>11.1</v>
      </c>
      <c r="P766" s="45" t="n">
        <v>6.6</v>
      </c>
      <c r="Q766" s="41" t="str">
        <f aca="false">CHOOSE(MONTH(K766),"Jan","Feb","Mar","Apr","May","Jun","Jul","Aug","Sep","Oct","Nov","Dec")</f>
        <v>Jan</v>
      </c>
      <c r="R766" s="41" t="n">
        <f aca="false">INT((K766-setMinDate)/7)+1</f>
        <v>3</v>
      </c>
      <c r="S766" s="41" t="n">
        <f aca="false">HOUR(L766)</f>
        <v>15</v>
      </c>
      <c r="T766" s="41" t="str">
        <f aca="false">IF(S766&lt;setMorningEnd,"Morning",IF(S766&lt;setAfternoonEnd,"Afternoon","Evening"))</f>
        <v>Afternoon</v>
      </c>
      <c r="U766" s="41" t="str">
        <f aca="false">IF(J766&gt;=setLarge,"Large",IF(J766&gt;=setMedium,"Medium","Small"))</f>
        <v>Small</v>
      </c>
      <c r="V766" s="41" t="str">
        <f aca="false">IF(P766&gt;=setExc,"Excellent",IF(P766&gt;=setGood,"Good",IF(P766&gt;=setAvg,"Average","Poor")))</f>
        <v>Average</v>
      </c>
    </row>
    <row r="767" customFormat="false" ht="15" hidden="false" customHeight="false" outlineLevel="0" collapsed="false">
      <c r="A767" s="41" t="s">
        <v>945</v>
      </c>
      <c r="B767" s="41" t="s">
        <v>189</v>
      </c>
      <c r="C767" s="41" t="s">
        <v>86</v>
      </c>
      <c r="D767" s="41" t="s">
        <v>105</v>
      </c>
      <c r="E767" s="41" t="s">
        <v>102</v>
      </c>
      <c r="F767" s="41" t="s">
        <v>80</v>
      </c>
      <c r="G767" s="42" t="n">
        <v>95.46</v>
      </c>
      <c r="H767" s="41" t="n">
        <v>8</v>
      </c>
      <c r="I767" s="42" t="n">
        <v>38.184</v>
      </c>
      <c r="J767" s="42" t="n">
        <v>801.864</v>
      </c>
      <c r="K767" s="43" t="n">
        <v>43529</v>
      </c>
      <c r="L767" s="44" t="n">
        <v>0.819444444444444</v>
      </c>
      <c r="M767" s="41" t="s">
        <v>98</v>
      </c>
      <c r="N767" s="42" t="n">
        <v>763.68</v>
      </c>
      <c r="O767" s="42" t="n">
        <v>38.184</v>
      </c>
      <c r="P767" s="45" t="n">
        <v>4.7</v>
      </c>
      <c r="Q767" s="41" t="str">
        <f aca="false">CHOOSE(MONTH(K767),"Jan","Feb","Mar","Apr","May","Jun","Jul","Aug","Sep","Oct","Nov","Dec")</f>
        <v>Mar</v>
      </c>
      <c r="R767" s="41" t="n">
        <f aca="false">INT((K767-setMinDate)/7)+1</f>
        <v>10</v>
      </c>
      <c r="S767" s="41" t="n">
        <f aca="false">HOUR(L767)</f>
        <v>19</v>
      </c>
      <c r="T767" s="41" t="str">
        <f aca="false">IF(S767&lt;setMorningEnd,"Morning",IF(S767&lt;setAfternoonEnd,"Afternoon","Evening"))</f>
        <v>Evening</v>
      </c>
      <c r="U767" s="41" t="str">
        <f aca="false">IF(J767&gt;=setLarge,"Large",IF(J767&gt;=setMedium,"Medium","Small"))</f>
        <v>Large</v>
      </c>
      <c r="V767" s="41" t="str">
        <f aca="false">IF(P767&gt;=setExc,"Excellent",IF(P767&gt;=setGood,"Good",IF(P767&gt;=setAvg,"Average","Poor")))</f>
        <v>Poor</v>
      </c>
    </row>
    <row r="768" customFormat="false" ht="15" hidden="false" customHeight="false" outlineLevel="0" collapsed="false">
      <c r="A768" s="41" t="s">
        <v>946</v>
      </c>
      <c r="B768" s="41" t="s">
        <v>180</v>
      </c>
      <c r="C768" s="41" t="s">
        <v>87</v>
      </c>
      <c r="D768" s="41" t="s">
        <v>105</v>
      </c>
      <c r="E768" s="41" t="s">
        <v>102</v>
      </c>
      <c r="F768" s="41" t="s">
        <v>79</v>
      </c>
      <c r="G768" s="42" t="n">
        <v>76.06</v>
      </c>
      <c r="H768" s="41" t="n">
        <v>3</v>
      </c>
      <c r="I768" s="42" t="n">
        <v>11.409</v>
      </c>
      <c r="J768" s="42" t="n">
        <v>239.589</v>
      </c>
      <c r="K768" s="43" t="n">
        <v>43470</v>
      </c>
      <c r="L768" s="44" t="n">
        <v>0.854166666666667</v>
      </c>
      <c r="M768" s="41" t="s">
        <v>99</v>
      </c>
      <c r="N768" s="42" t="n">
        <v>228.18</v>
      </c>
      <c r="O768" s="42" t="n">
        <v>11.409</v>
      </c>
      <c r="P768" s="45" t="n">
        <v>9.8</v>
      </c>
      <c r="Q768" s="41" t="str">
        <f aca="false">CHOOSE(MONTH(K768),"Jan","Feb","Mar","Apr","May","Jun","Jul","Aug","Sep","Oct","Nov","Dec")</f>
        <v>Jan</v>
      </c>
      <c r="R768" s="41" t="n">
        <f aca="false">INT((K768-setMinDate)/7)+1</f>
        <v>1</v>
      </c>
      <c r="S768" s="41" t="n">
        <f aca="false">HOUR(L768)</f>
        <v>20</v>
      </c>
      <c r="T768" s="41" t="str">
        <f aca="false">IF(S768&lt;setMorningEnd,"Morning",IF(S768&lt;setAfternoonEnd,"Afternoon","Evening"))</f>
        <v>Evening</v>
      </c>
      <c r="U768" s="41" t="str">
        <f aca="false">IF(J768&gt;=setLarge,"Large",IF(J768&gt;=setMedium,"Medium","Small"))</f>
        <v>Small</v>
      </c>
      <c r="V768" s="41" t="str">
        <f aca="false">IF(P768&gt;=setExc,"Excellent",IF(P768&gt;=setGood,"Good",IF(P768&gt;=setAvg,"Average","Poor")))</f>
        <v>Excellent</v>
      </c>
    </row>
    <row r="769" customFormat="false" ht="15" hidden="false" customHeight="false" outlineLevel="0" collapsed="false">
      <c r="A769" s="41" t="s">
        <v>947</v>
      </c>
      <c r="B769" s="41" t="s">
        <v>189</v>
      </c>
      <c r="C769" s="41" t="s">
        <v>86</v>
      </c>
      <c r="D769" s="41" t="s">
        <v>105</v>
      </c>
      <c r="E769" s="41" t="s">
        <v>103</v>
      </c>
      <c r="F769" s="41" t="s">
        <v>77</v>
      </c>
      <c r="G769" s="42" t="n">
        <v>13.69</v>
      </c>
      <c r="H769" s="41" t="n">
        <v>6</v>
      </c>
      <c r="I769" s="42" t="n">
        <v>4.107</v>
      </c>
      <c r="J769" s="42" t="n">
        <v>86.247</v>
      </c>
      <c r="K769" s="43" t="n">
        <v>43509</v>
      </c>
      <c r="L769" s="44" t="n">
        <v>0.582638888888889</v>
      </c>
      <c r="M769" s="41" t="s">
        <v>97</v>
      </c>
      <c r="N769" s="42" t="n">
        <v>82.14</v>
      </c>
      <c r="O769" s="42" t="n">
        <v>4.107</v>
      </c>
      <c r="P769" s="45" t="n">
        <v>6.3</v>
      </c>
      <c r="Q769" s="41" t="str">
        <f aca="false">CHOOSE(MONTH(K769),"Jan","Feb","Mar","Apr","May","Jun","Jul","Aug","Sep","Oct","Nov","Dec")</f>
        <v>Feb</v>
      </c>
      <c r="R769" s="41" t="n">
        <f aca="false">INT((K769-setMinDate)/7)+1</f>
        <v>7</v>
      </c>
      <c r="S769" s="41" t="n">
        <f aca="false">HOUR(L769)</f>
        <v>13</v>
      </c>
      <c r="T769" s="41" t="str">
        <f aca="false">IF(S769&lt;setMorningEnd,"Morning",IF(S769&lt;setAfternoonEnd,"Afternoon","Evening"))</f>
        <v>Afternoon</v>
      </c>
      <c r="U769" s="41" t="str">
        <f aca="false">IF(J769&gt;=setLarge,"Large",IF(J769&gt;=setMedium,"Medium","Small"))</f>
        <v>Small</v>
      </c>
      <c r="V769" s="41" t="str">
        <f aca="false">IF(P769&gt;=setExc,"Excellent",IF(P769&gt;=setGood,"Good",IF(P769&gt;=setAvg,"Average","Poor")))</f>
        <v>Average</v>
      </c>
    </row>
    <row r="770" customFormat="false" ht="15" hidden="false" customHeight="false" outlineLevel="0" collapsed="false">
      <c r="A770" s="41" t="s">
        <v>948</v>
      </c>
      <c r="B770" s="41" t="s">
        <v>189</v>
      </c>
      <c r="C770" s="41" t="s">
        <v>86</v>
      </c>
      <c r="D770" s="41" t="s">
        <v>105</v>
      </c>
      <c r="E770" s="41" t="s">
        <v>102</v>
      </c>
      <c r="F770" s="41" t="s">
        <v>78</v>
      </c>
      <c r="G770" s="42" t="n">
        <v>95.64</v>
      </c>
      <c r="H770" s="41" t="n">
        <v>4</v>
      </c>
      <c r="I770" s="42" t="n">
        <v>19.128</v>
      </c>
      <c r="J770" s="42" t="n">
        <v>401.688</v>
      </c>
      <c r="K770" s="43" t="n">
        <v>43540</v>
      </c>
      <c r="L770" s="44" t="n">
        <v>0.785416666666667</v>
      </c>
      <c r="M770" s="41" t="s">
        <v>97</v>
      </c>
      <c r="N770" s="42" t="n">
        <v>382.56</v>
      </c>
      <c r="O770" s="42" t="n">
        <v>19.128</v>
      </c>
      <c r="P770" s="45" t="n">
        <v>7.9</v>
      </c>
      <c r="Q770" s="41" t="str">
        <f aca="false">CHOOSE(MONTH(K770),"Jan","Feb","Mar","Apr","May","Jun","Jul","Aug","Sep","Oct","Nov","Dec")</f>
        <v>Mar</v>
      </c>
      <c r="R770" s="41" t="n">
        <f aca="false">INT((K770-setMinDate)/7)+1</f>
        <v>11</v>
      </c>
      <c r="S770" s="41" t="n">
        <f aca="false">HOUR(L770)</f>
        <v>18</v>
      </c>
      <c r="T770" s="41" t="str">
        <f aca="false">IF(S770&lt;setMorningEnd,"Morning",IF(S770&lt;setAfternoonEnd,"Afternoon","Evening"))</f>
        <v>Evening</v>
      </c>
      <c r="U770" s="41" t="str">
        <f aca="false">IF(J770&gt;=setLarge,"Large",IF(J770&gt;=setMedium,"Medium","Small"))</f>
        <v>Medium</v>
      </c>
      <c r="V770" s="41" t="str">
        <f aca="false">IF(P770&gt;=setExc,"Excellent",IF(P770&gt;=setGood,"Good",IF(P770&gt;=setAvg,"Average","Poor")))</f>
        <v>Good</v>
      </c>
    </row>
    <row r="771" customFormat="false" ht="15" hidden="false" customHeight="false" outlineLevel="0" collapsed="false">
      <c r="A771" s="41" t="s">
        <v>949</v>
      </c>
      <c r="B771" s="41" t="s">
        <v>178</v>
      </c>
      <c r="C771" s="41" t="s">
        <v>85</v>
      </c>
      <c r="D771" s="41" t="s">
        <v>105</v>
      </c>
      <c r="E771" s="41" t="s">
        <v>102</v>
      </c>
      <c r="F771" s="41" t="s">
        <v>80</v>
      </c>
      <c r="G771" s="42" t="n">
        <v>11.43</v>
      </c>
      <c r="H771" s="41" t="n">
        <v>6</v>
      </c>
      <c r="I771" s="42" t="n">
        <v>3.429</v>
      </c>
      <c r="J771" s="42" t="n">
        <v>72.009</v>
      </c>
      <c r="K771" s="43" t="n">
        <v>43480</v>
      </c>
      <c r="L771" s="44" t="n">
        <v>0.725</v>
      </c>
      <c r="M771" s="41" t="s">
        <v>97</v>
      </c>
      <c r="N771" s="42" t="n">
        <v>68.58</v>
      </c>
      <c r="O771" s="42" t="n">
        <v>3.429</v>
      </c>
      <c r="P771" s="45" t="n">
        <v>7.7</v>
      </c>
      <c r="Q771" s="41" t="str">
        <f aca="false">CHOOSE(MONTH(K771),"Jan","Feb","Mar","Apr","May","Jun","Jul","Aug","Sep","Oct","Nov","Dec")</f>
        <v>Jan</v>
      </c>
      <c r="R771" s="41" t="n">
        <f aca="false">INT((K771-setMinDate)/7)+1</f>
        <v>3</v>
      </c>
      <c r="S771" s="41" t="n">
        <f aca="false">HOUR(L771)</f>
        <v>17</v>
      </c>
      <c r="T771" s="41" t="str">
        <f aca="false">IF(S771&lt;setMorningEnd,"Morning",IF(S771&lt;setAfternoonEnd,"Afternoon","Evening"))</f>
        <v>Evening</v>
      </c>
      <c r="U771" s="41" t="str">
        <f aca="false">IF(J771&gt;=setLarge,"Large",IF(J771&gt;=setMedium,"Medium","Small"))</f>
        <v>Small</v>
      </c>
      <c r="V771" s="41" t="str">
        <f aca="false">IF(P771&gt;=setExc,"Excellent",IF(P771&gt;=setGood,"Good",IF(P771&gt;=setAvg,"Average","Poor")))</f>
        <v>Good</v>
      </c>
    </row>
    <row r="772" customFormat="false" ht="15" hidden="false" customHeight="false" outlineLevel="0" collapsed="false">
      <c r="A772" s="41" t="s">
        <v>950</v>
      </c>
      <c r="B772" s="41" t="s">
        <v>189</v>
      </c>
      <c r="C772" s="41" t="s">
        <v>86</v>
      </c>
      <c r="D772" s="41" t="s">
        <v>104</v>
      </c>
      <c r="E772" s="41" t="s">
        <v>102</v>
      </c>
      <c r="F772" s="41" t="s">
        <v>77</v>
      </c>
      <c r="G772" s="42" t="n">
        <v>95.54</v>
      </c>
      <c r="H772" s="41" t="n">
        <v>4</v>
      </c>
      <c r="I772" s="42" t="n">
        <v>19.108</v>
      </c>
      <c r="J772" s="42" t="n">
        <v>401.268</v>
      </c>
      <c r="K772" s="43" t="n">
        <v>43522</v>
      </c>
      <c r="L772" s="44" t="n">
        <v>0.498611111111111</v>
      </c>
      <c r="M772" s="41" t="s">
        <v>98</v>
      </c>
      <c r="N772" s="42" t="n">
        <v>382.16</v>
      </c>
      <c r="O772" s="42" t="n">
        <v>19.108</v>
      </c>
      <c r="P772" s="45" t="n">
        <v>4.5</v>
      </c>
      <c r="Q772" s="41" t="str">
        <f aca="false">CHOOSE(MONTH(K772),"Jan","Feb","Mar","Apr","May","Jun","Jul","Aug","Sep","Oct","Nov","Dec")</f>
        <v>Feb</v>
      </c>
      <c r="R772" s="41" t="n">
        <f aca="false">INT((K772-setMinDate)/7)+1</f>
        <v>9</v>
      </c>
      <c r="S772" s="41" t="n">
        <f aca="false">HOUR(L772)</f>
        <v>11</v>
      </c>
      <c r="T772" s="41" t="str">
        <f aca="false">IF(S772&lt;setMorningEnd,"Morning",IF(S772&lt;setAfternoonEnd,"Afternoon","Evening"))</f>
        <v>Morning</v>
      </c>
      <c r="U772" s="41" t="str">
        <f aca="false">IF(J772&gt;=setLarge,"Large",IF(J772&gt;=setMedium,"Medium","Small"))</f>
        <v>Medium</v>
      </c>
      <c r="V772" s="41" t="str">
        <f aca="false">IF(P772&gt;=setExc,"Excellent",IF(P772&gt;=setGood,"Good",IF(P772&gt;=setAvg,"Average","Poor")))</f>
        <v>Poor</v>
      </c>
    </row>
    <row r="773" customFormat="false" ht="15" hidden="false" customHeight="false" outlineLevel="0" collapsed="false">
      <c r="A773" s="41" t="s">
        <v>951</v>
      </c>
      <c r="B773" s="41" t="s">
        <v>180</v>
      </c>
      <c r="C773" s="41" t="s">
        <v>87</v>
      </c>
      <c r="D773" s="41" t="s">
        <v>104</v>
      </c>
      <c r="E773" s="41" t="s">
        <v>102</v>
      </c>
      <c r="F773" s="41" t="s">
        <v>81</v>
      </c>
      <c r="G773" s="42" t="n">
        <v>85.87</v>
      </c>
      <c r="H773" s="41" t="n">
        <v>7</v>
      </c>
      <c r="I773" s="42" t="n">
        <v>30.0545</v>
      </c>
      <c r="J773" s="42" t="n">
        <v>631.1445</v>
      </c>
      <c r="K773" s="43" t="n">
        <v>43523</v>
      </c>
      <c r="L773" s="44" t="n">
        <v>0.792361111111111</v>
      </c>
      <c r="M773" s="41" t="s">
        <v>99</v>
      </c>
      <c r="N773" s="42" t="n">
        <v>601.09</v>
      </c>
      <c r="O773" s="42" t="n">
        <v>30.0545</v>
      </c>
      <c r="P773" s="45" t="n">
        <v>8</v>
      </c>
      <c r="Q773" s="41" t="str">
        <f aca="false">CHOOSE(MONTH(K773),"Jan","Feb","Mar","Apr","May","Jun","Jul","Aug","Sep","Oct","Nov","Dec")</f>
        <v>Feb</v>
      </c>
      <c r="R773" s="41" t="n">
        <f aca="false">INT((K773-setMinDate)/7)+1</f>
        <v>9</v>
      </c>
      <c r="S773" s="41" t="n">
        <f aca="false">HOUR(L773)</f>
        <v>19</v>
      </c>
      <c r="T773" s="41" t="str">
        <f aca="false">IF(S773&lt;setMorningEnd,"Morning",IF(S773&lt;setAfternoonEnd,"Afternoon","Evening"))</f>
        <v>Evening</v>
      </c>
      <c r="U773" s="41" t="str">
        <f aca="false">IF(J773&gt;=setLarge,"Large",IF(J773&gt;=setMedium,"Medium","Small"))</f>
        <v>Large</v>
      </c>
      <c r="V773" s="41" t="str">
        <f aca="false">IF(P773&gt;=setExc,"Excellent",IF(P773&gt;=setGood,"Good",IF(P773&gt;=setAvg,"Average","Poor")))</f>
        <v>Good</v>
      </c>
    </row>
    <row r="774" customFormat="false" ht="15" hidden="false" customHeight="false" outlineLevel="0" collapsed="false">
      <c r="A774" s="41" t="s">
        <v>952</v>
      </c>
      <c r="B774" s="41" t="s">
        <v>180</v>
      </c>
      <c r="C774" s="41" t="s">
        <v>87</v>
      </c>
      <c r="D774" s="41" t="s">
        <v>104</v>
      </c>
      <c r="E774" s="41" t="s">
        <v>102</v>
      </c>
      <c r="F774" s="41" t="s">
        <v>77</v>
      </c>
      <c r="G774" s="42" t="n">
        <v>67.99</v>
      </c>
      <c r="H774" s="41" t="n">
        <v>7</v>
      </c>
      <c r="I774" s="42" t="n">
        <v>23.7965</v>
      </c>
      <c r="J774" s="42" t="n">
        <v>499.7265</v>
      </c>
      <c r="K774" s="43" t="n">
        <v>43513</v>
      </c>
      <c r="L774" s="44" t="n">
        <v>0.701388888888889</v>
      </c>
      <c r="M774" s="41" t="s">
        <v>98</v>
      </c>
      <c r="N774" s="42" t="n">
        <v>475.93</v>
      </c>
      <c r="O774" s="42" t="n">
        <v>23.7965</v>
      </c>
      <c r="P774" s="45" t="n">
        <v>5.7</v>
      </c>
      <c r="Q774" s="41" t="str">
        <f aca="false">CHOOSE(MONTH(K774),"Jan","Feb","Mar","Apr","May","Jun","Jul","Aug","Sep","Oct","Nov","Dec")</f>
        <v>Feb</v>
      </c>
      <c r="R774" s="41" t="n">
        <f aca="false">INT((K774-setMinDate)/7)+1</f>
        <v>7</v>
      </c>
      <c r="S774" s="41" t="n">
        <f aca="false">HOUR(L774)</f>
        <v>16</v>
      </c>
      <c r="T774" s="41" t="str">
        <f aca="false">IF(S774&lt;setMorningEnd,"Morning",IF(S774&lt;setAfternoonEnd,"Afternoon","Evening"))</f>
        <v>Afternoon</v>
      </c>
      <c r="U774" s="41" t="str">
        <f aca="false">IF(J774&gt;=setLarge,"Large",IF(J774&gt;=setMedium,"Medium","Small"))</f>
        <v>Medium</v>
      </c>
      <c r="V774" s="41" t="str">
        <f aca="false">IF(P774&gt;=setExc,"Excellent",IF(P774&gt;=setGood,"Good",IF(P774&gt;=setAvg,"Average","Poor")))</f>
        <v>Average</v>
      </c>
    </row>
    <row r="775" customFormat="false" ht="15" hidden="false" customHeight="false" outlineLevel="0" collapsed="false">
      <c r="A775" s="41" t="s">
        <v>953</v>
      </c>
      <c r="B775" s="41" t="s">
        <v>180</v>
      </c>
      <c r="C775" s="41" t="s">
        <v>87</v>
      </c>
      <c r="D775" s="41" t="s">
        <v>105</v>
      </c>
      <c r="E775" s="41" t="s">
        <v>102</v>
      </c>
      <c r="F775" s="41" t="s">
        <v>76</v>
      </c>
      <c r="G775" s="42" t="n">
        <v>52.42</v>
      </c>
      <c r="H775" s="41" t="n">
        <v>1</v>
      </c>
      <c r="I775" s="42" t="n">
        <v>2.621</v>
      </c>
      <c r="J775" s="42" t="n">
        <v>55.041</v>
      </c>
      <c r="K775" s="43" t="n">
        <v>43502</v>
      </c>
      <c r="L775" s="44" t="n">
        <v>0.431944444444445</v>
      </c>
      <c r="M775" s="41" t="s">
        <v>99</v>
      </c>
      <c r="N775" s="42" t="n">
        <v>52.42</v>
      </c>
      <c r="O775" s="42" t="n">
        <v>2.621</v>
      </c>
      <c r="P775" s="45" t="n">
        <v>6.3</v>
      </c>
      <c r="Q775" s="41" t="str">
        <f aca="false">CHOOSE(MONTH(K775),"Jan","Feb","Mar","Apr","May","Jun","Jul","Aug","Sep","Oct","Nov","Dec")</f>
        <v>Feb</v>
      </c>
      <c r="R775" s="41" t="n">
        <f aca="false">INT((K775-setMinDate)/7)+1</f>
        <v>6</v>
      </c>
      <c r="S775" s="41" t="n">
        <f aca="false">HOUR(L775)</f>
        <v>10</v>
      </c>
      <c r="T775" s="41" t="str">
        <f aca="false">IF(S775&lt;setMorningEnd,"Morning",IF(S775&lt;setAfternoonEnd,"Afternoon","Evening"))</f>
        <v>Morning</v>
      </c>
      <c r="U775" s="41" t="str">
        <f aca="false">IF(J775&gt;=setLarge,"Large",IF(J775&gt;=setMedium,"Medium","Small"))</f>
        <v>Small</v>
      </c>
      <c r="V775" s="41" t="str">
        <f aca="false">IF(P775&gt;=setExc,"Excellent",IF(P775&gt;=setGood,"Good",IF(P775&gt;=setAvg,"Average","Poor")))</f>
        <v>Average</v>
      </c>
    </row>
    <row r="776" customFormat="false" ht="15" hidden="false" customHeight="false" outlineLevel="0" collapsed="false">
      <c r="A776" s="41" t="s">
        <v>954</v>
      </c>
      <c r="B776" s="41" t="s">
        <v>180</v>
      </c>
      <c r="C776" s="41" t="s">
        <v>87</v>
      </c>
      <c r="D776" s="41" t="s">
        <v>104</v>
      </c>
      <c r="E776" s="41" t="s">
        <v>103</v>
      </c>
      <c r="F776" s="41" t="s">
        <v>76</v>
      </c>
      <c r="G776" s="42" t="n">
        <v>65.65</v>
      </c>
      <c r="H776" s="41" t="n">
        <v>2</v>
      </c>
      <c r="I776" s="42" t="n">
        <v>6.565</v>
      </c>
      <c r="J776" s="42" t="n">
        <v>137.865</v>
      </c>
      <c r="K776" s="43" t="n">
        <v>43482</v>
      </c>
      <c r="L776" s="44" t="n">
        <v>0.698611111111111</v>
      </c>
      <c r="M776" s="41" t="s">
        <v>97</v>
      </c>
      <c r="N776" s="42" t="n">
        <v>131.3</v>
      </c>
      <c r="O776" s="42" t="n">
        <v>6.565</v>
      </c>
      <c r="P776" s="45" t="n">
        <v>6</v>
      </c>
      <c r="Q776" s="41" t="str">
        <f aca="false">CHOOSE(MONTH(K776),"Jan","Feb","Mar","Apr","May","Jun","Jul","Aug","Sep","Oct","Nov","Dec")</f>
        <v>Jan</v>
      </c>
      <c r="R776" s="41" t="n">
        <f aca="false">INT((K776-setMinDate)/7)+1</f>
        <v>3</v>
      </c>
      <c r="S776" s="41" t="n">
        <f aca="false">HOUR(L776)</f>
        <v>16</v>
      </c>
      <c r="T776" s="41" t="str">
        <f aca="false">IF(S776&lt;setMorningEnd,"Morning",IF(S776&lt;setAfternoonEnd,"Afternoon","Evening"))</f>
        <v>Afternoon</v>
      </c>
      <c r="U776" s="41" t="str">
        <f aca="false">IF(J776&gt;=setLarge,"Large",IF(J776&gt;=setMedium,"Medium","Small"))</f>
        <v>Small</v>
      </c>
      <c r="V776" s="41" t="str">
        <f aca="false">IF(P776&gt;=setExc,"Excellent",IF(P776&gt;=setGood,"Good",IF(P776&gt;=setAvg,"Average","Poor")))</f>
        <v>Average</v>
      </c>
    </row>
    <row r="777" customFormat="false" ht="15" hidden="false" customHeight="false" outlineLevel="0" collapsed="false">
      <c r="A777" s="41" t="s">
        <v>955</v>
      </c>
      <c r="B777" s="41" t="s">
        <v>189</v>
      </c>
      <c r="C777" s="41" t="s">
        <v>86</v>
      </c>
      <c r="D777" s="41" t="s">
        <v>105</v>
      </c>
      <c r="E777" s="41" t="s">
        <v>102</v>
      </c>
      <c r="F777" s="41" t="s">
        <v>76</v>
      </c>
      <c r="G777" s="42" t="n">
        <v>28.86</v>
      </c>
      <c r="H777" s="41" t="n">
        <v>5</v>
      </c>
      <c r="I777" s="42" t="n">
        <v>7.215</v>
      </c>
      <c r="J777" s="42" t="n">
        <v>151.515</v>
      </c>
      <c r="K777" s="43" t="n">
        <v>43487</v>
      </c>
      <c r="L777" s="44" t="n">
        <v>0.755555555555556</v>
      </c>
      <c r="M777" s="41" t="s">
        <v>99</v>
      </c>
      <c r="N777" s="42" t="n">
        <v>144.3</v>
      </c>
      <c r="O777" s="42" t="n">
        <v>7.215</v>
      </c>
      <c r="P777" s="45" t="n">
        <v>8</v>
      </c>
      <c r="Q777" s="41" t="str">
        <f aca="false">CHOOSE(MONTH(K777),"Jan","Feb","Mar","Apr","May","Jun","Jul","Aug","Sep","Oct","Nov","Dec")</f>
        <v>Jan</v>
      </c>
      <c r="R777" s="41" t="n">
        <f aca="false">INT((K777-setMinDate)/7)+1</f>
        <v>4</v>
      </c>
      <c r="S777" s="41" t="n">
        <f aca="false">HOUR(L777)</f>
        <v>18</v>
      </c>
      <c r="T777" s="41" t="str">
        <f aca="false">IF(S777&lt;setMorningEnd,"Morning",IF(S777&lt;setAfternoonEnd,"Afternoon","Evening"))</f>
        <v>Evening</v>
      </c>
      <c r="U777" s="41" t="str">
        <f aca="false">IF(J777&gt;=setLarge,"Large",IF(J777&gt;=setMedium,"Medium","Small"))</f>
        <v>Small</v>
      </c>
      <c r="V777" s="41" t="str">
        <f aca="false">IF(P777&gt;=setExc,"Excellent",IF(P777&gt;=setGood,"Good",IF(P777&gt;=setAvg,"Average","Poor")))</f>
        <v>Good</v>
      </c>
    </row>
    <row r="778" customFormat="false" ht="15" hidden="false" customHeight="false" outlineLevel="0" collapsed="false">
      <c r="A778" s="41" t="s">
        <v>956</v>
      </c>
      <c r="B778" s="41" t="s">
        <v>180</v>
      </c>
      <c r="C778" s="41" t="s">
        <v>87</v>
      </c>
      <c r="D778" s="41" t="s">
        <v>104</v>
      </c>
      <c r="E778" s="41" t="s">
        <v>103</v>
      </c>
      <c r="F778" s="41" t="s">
        <v>81</v>
      </c>
      <c r="G778" s="42" t="n">
        <v>65.31</v>
      </c>
      <c r="H778" s="41" t="n">
        <v>7</v>
      </c>
      <c r="I778" s="42" t="n">
        <v>22.8585</v>
      </c>
      <c r="J778" s="42" t="n">
        <v>480.0285</v>
      </c>
      <c r="K778" s="43" t="n">
        <v>43529</v>
      </c>
      <c r="L778" s="44" t="n">
        <v>0.751388888888889</v>
      </c>
      <c r="M778" s="41" t="s">
        <v>99</v>
      </c>
      <c r="N778" s="42" t="n">
        <v>457.17</v>
      </c>
      <c r="O778" s="42" t="n">
        <v>22.8585</v>
      </c>
      <c r="P778" s="45" t="n">
        <v>4.2</v>
      </c>
      <c r="Q778" s="41" t="str">
        <f aca="false">CHOOSE(MONTH(K778),"Jan","Feb","Mar","Apr","May","Jun","Jul","Aug","Sep","Oct","Nov","Dec")</f>
        <v>Mar</v>
      </c>
      <c r="R778" s="41" t="n">
        <f aca="false">INT((K778-setMinDate)/7)+1</f>
        <v>10</v>
      </c>
      <c r="S778" s="41" t="n">
        <f aca="false">HOUR(L778)</f>
        <v>18</v>
      </c>
      <c r="T778" s="41" t="str">
        <f aca="false">IF(S778&lt;setMorningEnd,"Morning",IF(S778&lt;setAfternoonEnd,"Afternoon","Evening"))</f>
        <v>Evening</v>
      </c>
      <c r="U778" s="41" t="str">
        <f aca="false">IF(J778&gt;=setLarge,"Large",IF(J778&gt;=setMedium,"Medium","Small"))</f>
        <v>Medium</v>
      </c>
      <c r="V778" s="41" t="str">
        <f aca="false">IF(P778&gt;=setExc,"Excellent",IF(P778&gt;=setGood,"Good",IF(P778&gt;=setAvg,"Average","Poor")))</f>
        <v>Poor</v>
      </c>
    </row>
    <row r="779" customFormat="false" ht="15" hidden="false" customHeight="false" outlineLevel="0" collapsed="false">
      <c r="A779" s="41" t="s">
        <v>957</v>
      </c>
      <c r="B779" s="41" t="s">
        <v>189</v>
      </c>
      <c r="C779" s="41" t="s">
        <v>86</v>
      </c>
      <c r="D779" s="41" t="s">
        <v>105</v>
      </c>
      <c r="E779" s="41" t="s">
        <v>103</v>
      </c>
      <c r="F779" s="41" t="s">
        <v>77</v>
      </c>
      <c r="G779" s="42" t="n">
        <v>93.38</v>
      </c>
      <c r="H779" s="41" t="n">
        <v>1</v>
      </c>
      <c r="I779" s="42" t="n">
        <v>4.669</v>
      </c>
      <c r="J779" s="42" t="n">
        <v>98.049</v>
      </c>
      <c r="K779" s="43" t="n">
        <v>43468</v>
      </c>
      <c r="L779" s="44" t="n">
        <v>0.546527777777778</v>
      </c>
      <c r="M779" s="41" t="s">
        <v>97</v>
      </c>
      <c r="N779" s="42" t="n">
        <v>93.38</v>
      </c>
      <c r="O779" s="42" t="n">
        <v>4.669</v>
      </c>
      <c r="P779" s="45" t="n">
        <v>9.6</v>
      </c>
      <c r="Q779" s="41" t="str">
        <f aca="false">CHOOSE(MONTH(K779),"Jan","Feb","Mar","Apr","May","Jun","Jul","Aug","Sep","Oct","Nov","Dec")</f>
        <v>Jan</v>
      </c>
      <c r="R779" s="41" t="n">
        <f aca="false">INT((K779-setMinDate)/7)+1</f>
        <v>1</v>
      </c>
      <c r="S779" s="41" t="n">
        <f aca="false">HOUR(L779)</f>
        <v>13</v>
      </c>
      <c r="T779" s="41" t="str">
        <f aca="false">IF(S779&lt;setMorningEnd,"Morning",IF(S779&lt;setAfternoonEnd,"Afternoon","Evening"))</f>
        <v>Afternoon</v>
      </c>
      <c r="U779" s="41" t="str">
        <f aca="false">IF(J779&gt;=setLarge,"Large",IF(J779&gt;=setMedium,"Medium","Small"))</f>
        <v>Small</v>
      </c>
      <c r="V779" s="41" t="str">
        <f aca="false">IF(P779&gt;=setExc,"Excellent",IF(P779&gt;=setGood,"Good",IF(P779&gt;=setAvg,"Average","Poor")))</f>
        <v>Excellent</v>
      </c>
    </row>
    <row r="780" customFormat="false" ht="15" hidden="false" customHeight="false" outlineLevel="0" collapsed="false">
      <c r="A780" s="41" t="s">
        <v>958</v>
      </c>
      <c r="B780" s="41" t="s">
        <v>180</v>
      </c>
      <c r="C780" s="41" t="s">
        <v>87</v>
      </c>
      <c r="D780" s="41" t="s">
        <v>104</v>
      </c>
      <c r="E780" s="41" t="s">
        <v>103</v>
      </c>
      <c r="F780" s="41" t="s">
        <v>77</v>
      </c>
      <c r="G780" s="42" t="n">
        <v>25.25</v>
      </c>
      <c r="H780" s="41" t="n">
        <v>5</v>
      </c>
      <c r="I780" s="42" t="n">
        <v>6.3125</v>
      </c>
      <c r="J780" s="42" t="n">
        <v>132.5625</v>
      </c>
      <c r="K780" s="43" t="n">
        <v>43544</v>
      </c>
      <c r="L780" s="44" t="n">
        <v>0.744444444444445</v>
      </c>
      <c r="M780" s="41" t="s">
        <v>97</v>
      </c>
      <c r="N780" s="42" t="n">
        <v>126.25</v>
      </c>
      <c r="O780" s="42" t="n">
        <v>6.3125</v>
      </c>
      <c r="P780" s="45" t="n">
        <v>6.1</v>
      </c>
      <c r="Q780" s="41" t="str">
        <f aca="false">CHOOSE(MONTH(K780),"Jan","Feb","Mar","Apr","May","Jun","Jul","Aug","Sep","Oct","Nov","Dec")</f>
        <v>Mar</v>
      </c>
      <c r="R780" s="41" t="n">
        <f aca="false">INT((K780-setMinDate)/7)+1</f>
        <v>12</v>
      </c>
      <c r="S780" s="41" t="n">
        <f aca="false">HOUR(L780)</f>
        <v>17</v>
      </c>
      <c r="T780" s="41" t="str">
        <f aca="false">IF(S780&lt;setMorningEnd,"Morning",IF(S780&lt;setAfternoonEnd,"Afternoon","Evening"))</f>
        <v>Evening</v>
      </c>
      <c r="U780" s="41" t="str">
        <f aca="false">IF(J780&gt;=setLarge,"Large",IF(J780&gt;=setMedium,"Medium","Small"))</f>
        <v>Small</v>
      </c>
      <c r="V780" s="41" t="str">
        <f aca="false">IF(P780&gt;=setExc,"Excellent",IF(P780&gt;=setGood,"Good",IF(P780&gt;=setAvg,"Average","Poor")))</f>
        <v>Average</v>
      </c>
    </row>
    <row r="781" customFormat="false" ht="15" hidden="false" customHeight="false" outlineLevel="0" collapsed="false">
      <c r="A781" s="41" t="s">
        <v>959</v>
      </c>
      <c r="B781" s="41" t="s">
        <v>189</v>
      </c>
      <c r="C781" s="41" t="s">
        <v>86</v>
      </c>
      <c r="D781" s="41" t="s">
        <v>104</v>
      </c>
      <c r="E781" s="41" t="s">
        <v>103</v>
      </c>
      <c r="F781" s="41" t="s">
        <v>78</v>
      </c>
      <c r="G781" s="42" t="n">
        <v>87.87</v>
      </c>
      <c r="H781" s="41" t="n">
        <v>9</v>
      </c>
      <c r="I781" s="42" t="n">
        <v>39.5415</v>
      </c>
      <c r="J781" s="42" t="n">
        <v>830.3715</v>
      </c>
      <c r="K781" s="43" t="n">
        <v>43496</v>
      </c>
      <c r="L781" s="44" t="n">
        <v>0.855555555555556</v>
      </c>
      <c r="M781" s="41" t="s">
        <v>98</v>
      </c>
      <c r="N781" s="42" t="n">
        <v>790.83</v>
      </c>
      <c r="O781" s="42" t="n">
        <v>39.5415</v>
      </c>
      <c r="P781" s="45" t="n">
        <v>5.6</v>
      </c>
      <c r="Q781" s="41" t="str">
        <f aca="false">CHOOSE(MONTH(K781),"Jan","Feb","Mar","Apr","May","Jun","Jul","Aug","Sep","Oct","Nov","Dec")</f>
        <v>Jan</v>
      </c>
      <c r="R781" s="41" t="n">
        <f aca="false">INT((K781-setMinDate)/7)+1</f>
        <v>5</v>
      </c>
      <c r="S781" s="41" t="n">
        <f aca="false">HOUR(L781)</f>
        <v>20</v>
      </c>
      <c r="T781" s="41" t="str">
        <f aca="false">IF(S781&lt;setMorningEnd,"Morning",IF(S781&lt;setAfternoonEnd,"Afternoon","Evening"))</f>
        <v>Evening</v>
      </c>
      <c r="U781" s="41" t="str">
        <f aca="false">IF(J781&gt;=setLarge,"Large",IF(J781&gt;=setMedium,"Medium","Small"))</f>
        <v>Large</v>
      </c>
      <c r="V781" s="41" t="str">
        <f aca="false">IF(P781&gt;=setExc,"Excellent",IF(P781&gt;=setGood,"Good",IF(P781&gt;=setAvg,"Average","Poor")))</f>
        <v>Average</v>
      </c>
    </row>
    <row r="782" customFormat="false" ht="15" hidden="false" customHeight="false" outlineLevel="0" collapsed="false">
      <c r="A782" s="41" t="s">
        <v>960</v>
      </c>
      <c r="B782" s="41" t="s">
        <v>180</v>
      </c>
      <c r="C782" s="41" t="s">
        <v>87</v>
      </c>
      <c r="D782" s="41" t="s">
        <v>105</v>
      </c>
      <c r="E782" s="41" t="s">
        <v>103</v>
      </c>
      <c r="F782" s="41" t="s">
        <v>81</v>
      </c>
      <c r="G782" s="42" t="n">
        <v>21.8</v>
      </c>
      <c r="H782" s="41" t="n">
        <v>8</v>
      </c>
      <c r="I782" s="42" t="n">
        <v>8.72</v>
      </c>
      <c r="J782" s="42" t="n">
        <v>183.12</v>
      </c>
      <c r="K782" s="43" t="n">
        <v>43515</v>
      </c>
      <c r="L782" s="44" t="n">
        <v>0.808333333333333</v>
      </c>
      <c r="M782" s="41" t="s">
        <v>97</v>
      </c>
      <c r="N782" s="42" t="n">
        <v>174.4</v>
      </c>
      <c r="O782" s="42" t="n">
        <v>8.72</v>
      </c>
      <c r="P782" s="45" t="n">
        <v>8.3</v>
      </c>
      <c r="Q782" s="41" t="str">
        <f aca="false">CHOOSE(MONTH(K782),"Jan","Feb","Mar","Apr","May","Jun","Jul","Aug","Sep","Oct","Nov","Dec")</f>
        <v>Feb</v>
      </c>
      <c r="R782" s="41" t="n">
        <f aca="false">INT((K782-setMinDate)/7)+1</f>
        <v>8</v>
      </c>
      <c r="S782" s="41" t="n">
        <f aca="false">HOUR(L782)</f>
        <v>19</v>
      </c>
      <c r="T782" s="41" t="str">
        <f aca="false">IF(S782&lt;setMorningEnd,"Morning",IF(S782&lt;setAfternoonEnd,"Afternoon","Evening"))</f>
        <v>Evening</v>
      </c>
      <c r="U782" s="41" t="str">
        <f aca="false">IF(J782&gt;=setLarge,"Large",IF(J782&gt;=setMedium,"Medium","Small"))</f>
        <v>Small</v>
      </c>
      <c r="V782" s="41" t="str">
        <f aca="false">IF(P782&gt;=setExc,"Excellent",IF(P782&gt;=setGood,"Good",IF(P782&gt;=setAvg,"Average","Poor")))</f>
        <v>Good</v>
      </c>
    </row>
    <row r="783" customFormat="false" ht="15" hidden="false" customHeight="false" outlineLevel="0" collapsed="false">
      <c r="A783" s="41" t="s">
        <v>961</v>
      </c>
      <c r="B783" s="41" t="s">
        <v>178</v>
      </c>
      <c r="C783" s="41" t="s">
        <v>85</v>
      </c>
      <c r="D783" s="41" t="s">
        <v>105</v>
      </c>
      <c r="E783" s="41" t="s">
        <v>102</v>
      </c>
      <c r="F783" s="41" t="s">
        <v>77</v>
      </c>
      <c r="G783" s="42" t="n">
        <v>94.76</v>
      </c>
      <c r="H783" s="41" t="n">
        <v>4</v>
      </c>
      <c r="I783" s="42" t="n">
        <v>18.952</v>
      </c>
      <c r="J783" s="42" t="n">
        <v>397.992</v>
      </c>
      <c r="K783" s="43" t="n">
        <v>43507</v>
      </c>
      <c r="L783" s="44" t="n">
        <v>0.670833333333333</v>
      </c>
      <c r="M783" s="41" t="s">
        <v>98</v>
      </c>
      <c r="N783" s="42" t="n">
        <v>379.04</v>
      </c>
      <c r="O783" s="42" t="n">
        <v>18.952</v>
      </c>
      <c r="P783" s="45" t="n">
        <v>7.8</v>
      </c>
      <c r="Q783" s="41" t="str">
        <f aca="false">CHOOSE(MONTH(K783),"Jan","Feb","Mar","Apr","May","Jun","Jul","Aug","Sep","Oct","Nov","Dec")</f>
        <v>Feb</v>
      </c>
      <c r="R783" s="41" t="n">
        <f aca="false">INT((K783-setMinDate)/7)+1</f>
        <v>6</v>
      </c>
      <c r="S783" s="41" t="n">
        <f aca="false">HOUR(L783)</f>
        <v>16</v>
      </c>
      <c r="T783" s="41" t="str">
        <f aca="false">IF(S783&lt;setMorningEnd,"Morning",IF(S783&lt;setAfternoonEnd,"Afternoon","Evening"))</f>
        <v>Afternoon</v>
      </c>
      <c r="U783" s="41" t="str">
        <f aca="false">IF(J783&gt;=setLarge,"Large",IF(J783&gt;=setMedium,"Medium","Small"))</f>
        <v>Medium</v>
      </c>
      <c r="V783" s="41" t="str">
        <f aca="false">IF(P783&gt;=setExc,"Excellent",IF(P783&gt;=setGood,"Good",IF(P783&gt;=setAvg,"Average","Poor")))</f>
        <v>Good</v>
      </c>
    </row>
    <row r="784" customFormat="false" ht="15" hidden="false" customHeight="false" outlineLevel="0" collapsed="false">
      <c r="A784" s="41" t="s">
        <v>962</v>
      </c>
      <c r="B784" s="41" t="s">
        <v>178</v>
      </c>
      <c r="C784" s="41" t="s">
        <v>85</v>
      </c>
      <c r="D784" s="41" t="s">
        <v>104</v>
      </c>
      <c r="E784" s="41" t="s">
        <v>102</v>
      </c>
      <c r="F784" s="41" t="s">
        <v>79</v>
      </c>
      <c r="G784" s="42" t="n">
        <v>30.62</v>
      </c>
      <c r="H784" s="41" t="n">
        <v>1</v>
      </c>
      <c r="I784" s="42" t="n">
        <v>1.531</v>
      </c>
      <c r="J784" s="42" t="n">
        <v>32.151</v>
      </c>
      <c r="K784" s="43" t="n">
        <v>43501</v>
      </c>
      <c r="L784" s="44" t="n">
        <v>0.593055555555556</v>
      </c>
      <c r="M784" s="41" t="s">
        <v>99</v>
      </c>
      <c r="N784" s="42" t="n">
        <v>30.62</v>
      </c>
      <c r="O784" s="42" t="n">
        <v>1.531</v>
      </c>
      <c r="P784" s="45" t="n">
        <v>4.1</v>
      </c>
      <c r="Q784" s="41" t="str">
        <f aca="false">CHOOSE(MONTH(K784),"Jan","Feb","Mar","Apr","May","Jun","Jul","Aug","Sep","Oct","Nov","Dec")</f>
        <v>Feb</v>
      </c>
      <c r="R784" s="41" t="n">
        <f aca="false">INT((K784-setMinDate)/7)+1</f>
        <v>6</v>
      </c>
      <c r="S784" s="41" t="n">
        <f aca="false">HOUR(L784)</f>
        <v>14</v>
      </c>
      <c r="T784" s="41" t="str">
        <f aca="false">IF(S784&lt;setMorningEnd,"Morning",IF(S784&lt;setAfternoonEnd,"Afternoon","Evening"))</f>
        <v>Afternoon</v>
      </c>
      <c r="U784" s="41" t="str">
        <f aca="false">IF(J784&gt;=setLarge,"Large",IF(J784&gt;=setMedium,"Medium","Small"))</f>
        <v>Small</v>
      </c>
      <c r="V784" s="41" t="str">
        <f aca="false">IF(P784&gt;=setExc,"Excellent",IF(P784&gt;=setGood,"Good",IF(P784&gt;=setAvg,"Average","Poor")))</f>
        <v>Poor</v>
      </c>
    </row>
    <row r="785" customFormat="false" ht="15" hidden="false" customHeight="false" outlineLevel="0" collapsed="false">
      <c r="A785" s="41" t="s">
        <v>963</v>
      </c>
      <c r="B785" s="41" t="s">
        <v>180</v>
      </c>
      <c r="C785" s="41" t="s">
        <v>87</v>
      </c>
      <c r="D785" s="41" t="s">
        <v>105</v>
      </c>
      <c r="E785" s="41" t="s">
        <v>102</v>
      </c>
      <c r="F785" s="41" t="s">
        <v>80</v>
      </c>
      <c r="G785" s="42" t="n">
        <v>44.01</v>
      </c>
      <c r="H785" s="41" t="n">
        <v>8</v>
      </c>
      <c r="I785" s="42" t="n">
        <v>17.604</v>
      </c>
      <c r="J785" s="42" t="n">
        <v>369.684</v>
      </c>
      <c r="K785" s="43" t="n">
        <v>43527</v>
      </c>
      <c r="L785" s="44" t="n">
        <v>0.733333333333333</v>
      </c>
      <c r="M785" s="41" t="s">
        <v>97</v>
      </c>
      <c r="N785" s="42" t="n">
        <v>352.08</v>
      </c>
      <c r="O785" s="42" t="n">
        <v>17.604</v>
      </c>
      <c r="P785" s="45" t="n">
        <v>8.8</v>
      </c>
      <c r="Q785" s="41" t="str">
        <f aca="false">CHOOSE(MONTH(K785),"Jan","Feb","Mar","Apr","May","Jun","Jul","Aug","Sep","Oct","Nov","Dec")</f>
        <v>Mar</v>
      </c>
      <c r="R785" s="41" t="n">
        <f aca="false">INT((K785-setMinDate)/7)+1</f>
        <v>9</v>
      </c>
      <c r="S785" s="41" t="n">
        <f aca="false">HOUR(L785)</f>
        <v>17</v>
      </c>
      <c r="T785" s="41" t="str">
        <f aca="false">IF(S785&lt;setMorningEnd,"Morning",IF(S785&lt;setAfternoonEnd,"Afternoon","Evening"))</f>
        <v>Evening</v>
      </c>
      <c r="U785" s="41" t="str">
        <f aca="false">IF(J785&gt;=setLarge,"Large",IF(J785&gt;=setMedium,"Medium","Small"))</f>
        <v>Medium</v>
      </c>
      <c r="V785" s="41" t="str">
        <f aca="false">IF(P785&gt;=setExc,"Excellent",IF(P785&gt;=setGood,"Good",IF(P785&gt;=setAvg,"Average","Poor")))</f>
        <v>Good</v>
      </c>
    </row>
    <row r="786" customFormat="false" ht="15" hidden="false" customHeight="false" outlineLevel="0" collapsed="false">
      <c r="A786" s="41" t="s">
        <v>964</v>
      </c>
      <c r="B786" s="41" t="s">
        <v>180</v>
      </c>
      <c r="C786" s="41" t="s">
        <v>87</v>
      </c>
      <c r="D786" s="41" t="s">
        <v>104</v>
      </c>
      <c r="E786" s="41" t="s">
        <v>102</v>
      </c>
      <c r="F786" s="41" t="s">
        <v>81</v>
      </c>
      <c r="G786" s="42" t="n">
        <v>10.16</v>
      </c>
      <c r="H786" s="41" t="n">
        <v>5</v>
      </c>
      <c r="I786" s="42" t="n">
        <v>2.54</v>
      </c>
      <c r="J786" s="42" t="n">
        <v>53.34</v>
      </c>
      <c r="K786" s="43" t="n">
        <v>43520</v>
      </c>
      <c r="L786" s="44" t="n">
        <v>0.547222222222222</v>
      </c>
      <c r="M786" s="41" t="s">
        <v>98</v>
      </c>
      <c r="N786" s="42" t="n">
        <v>50.8</v>
      </c>
      <c r="O786" s="42" t="n">
        <v>2.54</v>
      </c>
      <c r="P786" s="45" t="n">
        <v>4.1</v>
      </c>
      <c r="Q786" s="41" t="str">
        <f aca="false">CHOOSE(MONTH(K786),"Jan","Feb","Mar","Apr","May","Jun","Jul","Aug","Sep","Oct","Nov","Dec")</f>
        <v>Feb</v>
      </c>
      <c r="R786" s="41" t="n">
        <f aca="false">INT((K786-setMinDate)/7)+1</f>
        <v>8</v>
      </c>
      <c r="S786" s="41" t="n">
        <f aca="false">HOUR(L786)</f>
        <v>13</v>
      </c>
      <c r="T786" s="41" t="str">
        <f aca="false">IF(S786&lt;setMorningEnd,"Morning",IF(S786&lt;setAfternoonEnd,"Afternoon","Evening"))</f>
        <v>Afternoon</v>
      </c>
      <c r="U786" s="41" t="str">
        <f aca="false">IF(J786&gt;=setLarge,"Large",IF(J786&gt;=setMedium,"Medium","Small"))</f>
        <v>Small</v>
      </c>
      <c r="V786" s="41" t="str">
        <f aca="false">IF(P786&gt;=setExc,"Excellent",IF(P786&gt;=setGood,"Good",IF(P786&gt;=setAvg,"Average","Poor")))</f>
        <v>Poor</v>
      </c>
    </row>
    <row r="787" customFormat="false" ht="15" hidden="false" customHeight="false" outlineLevel="0" collapsed="false">
      <c r="A787" s="41" t="s">
        <v>965</v>
      </c>
      <c r="B787" s="41" t="s">
        <v>178</v>
      </c>
      <c r="C787" s="41" t="s">
        <v>85</v>
      </c>
      <c r="D787" s="41" t="s">
        <v>105</v>
      </c>
      <c r="E787" s="41" t="s">
        <v>103</v>
      </c>
      <c r="F787" s="41" t="s">
        <v>78</v>
      </c>
      <c r="G787" s="42" t="n">
        <v>74.58</v>
      </c>
      <c r="H787" s="41" t="n">
        <v>7</v>
      </c>
      <c r="I787" s="42" t="n">
        <v>26.103</v>
      </c>
      <c r="J787" s="42" t="n">
        <v>548.163</v>
      </c>
      <c r="K787" s="43" t="n">
        <v>43500</v>
      </c>
      <c r="L787" s="44" t="n">
        <v>0.672916666666667</v>
      </c>
      <c r="M787" s="41" t="s">
        <v>99</v>
      </c>
      <c r="N787" s="42" t="n">
        <v>522.06</v>
      </c>
      <c r="O787" s="42" t="n">
        <v>26.103</v>
      </c>
      <c r="P787" s="45" t="n">
        <v>9</v>
      </c>
      <c r="Q787" s="41" t="str">
        <f aca="false">CHOOSE(MONTH(K787),"Jan","Feb","Mar","Apr","May","Jun","Jul","Aug","Sep","Oct","Nov","Dec")</f>
        <v>Feb</v>
      </c>
      <c r="R787" s="41" t="n">
        <f aca="false">INT((K787-setMinDate)/7)+1</f>
        <v>5</v>
      </c>
      <c r="S787" s="41" t="n">
        <f aca="false">HOUR(L787)</f>
        <v>16</v>
      </c>
      <c r="T787" s="41" t="str">
        <f aca="false">IF(S787&lt;setMorningEnd,"Morning",IF(S787&lt;setAfternoonEnd,"Afternoon","Evening"))</f>
        <v>Afternoon</v>
      </c>
      <c r="U787" s="41" t="str">
        <f aca="false">IF(J787&gt;=setLarge,"Large",IF(J787&gt;=setMedium,"Medium","Small"))</f>
        <v>Medium</v>
      </c>
      <c r="V787" s="41" t="str">
        <f aca="false">IF(P787&gt;=setExc,"Excellent",IF(P787&gt;=setGood,"Good",IF(P787&gt;=setAvg,"Average","Poor")))</f>
        <v>Excellent</v>
      </c>
    </row>
    <row r="788" customFormat="false" ht="15" hidden="false" customHeight="false" outlineLevel="0" collapsed="false">
      <c r="A788" s="41" t="s">
        <v>966</v>
      </c>
      <c r="B788" s="41" t="s">
        <v>180</v>
      </c>
      <c r="C788" s="41" t="s">
        <v>87</v>
      </c>
      <c r="D788" s="41" t="s">
        <v>105</v>
      </c>
      <c r="E788" s="41" t="s">
        <v>103</v>
      </c>
      <c r="F788" s="41" t="s">
        <v>78</v>
      </c>
      <c r="G788" s="42" t="n">
        <v>71.89</v>
      </c>
      <c r="H788" s="41" t="n">
        <v>8</v>
      </c>
      <c r="I788" s="42" t="n">
        <v>28.756</v>
      </c>
      <c r="J788" s="42" t="n">
        <v>603.876</v>
      </c>
      <c r="K788" s="43" t="n">
        <v>43515</v>
      </c>
      <c r="L788" s="44" t="n">
        <v>0.48125</v>
      </c>
      <c r="M788" s="41" t="s">
        <v>98</v>
      </c>
      <c r="N788" s="42" t="n">
        <v>575.12</v>
      </c>
      <c r="O788" s="42" t="n">
        <v>28.756</v>
      </c>
      <c r="P788" s="45" t="n">
        <v>5.5</v>
      </c>
      <c r="Q788" s="41" t="str">
        <f aca="false">CHOOSE(MONTH(K788),"Jan","Feb","Mar","Apr","May","Jun","Jul","Aug","Sep","Oct","Nov","Dec")</f>
        <v>Feb</v>
      </c>
      <c r="R788" s="41" t="n">
        <f aca="false">INT((K788-setMinDate)/7)+1</f>
        <v>8</v>
      </c>
      <c r="S788" s="41" t="n">
        <f aca="false">HOUR(L788)</f>
        <v>11</v>
      </c>
      <c r="T788" s="41" t="str">
        <f aca="false">IF(S788&lt;setMorningEnd,"Morning",IF(S788&lt;setAfternoonEnd,"Afternoon","Evening"))</f>
        <v>Morning</v>
      </c>
      <c r="U788" s="41" t="str">
        <f aca="false">IF(J788&gt;=setLarge,"Large",IF(J788&gt;=setMedium,"Medium","Small"))</f>
        <v>Large</v>
      </c>
      <c r="V788" s="41" t="str">
        <f aca="false">IF(P788&gt;=setExc,"Excellent",IF(P788&gt;=setGood,"Good",IF(P788&gt;=setAvg,"Average","Poor")))</f>
        <v>Average</v>
      </c>
    </row>
    <row r="789" customFormat="false" ht="15" hidden="false" customHeight="false" outlineLevel="0" collapsed="false">
      <c r="A789" s="41" t="s">
        <v>967</v>
      </c>
      <c r="B789" s="41" t="s">
        <v>180</v>
      </c>
      <c r="C789" s="41" t="s">
        <v>87</v>
      </c>
      <c r="D789" s="41" t="s">
        <v>105</v>
      </c>
      <c r="E789" s="41" t="s">
        <v>102</v>
      </c>
      <c r="F789" s="41" t="s">
        <v>81</v>
      </c>
      <c r="G789" s="42" t="n">
        <v>10.99</v>
      </c>
      <c r="H789" s="41" t="n">
        <v>5</v>
      </c>
      <c r="I789" s="42" t="n">
        <v>2.7475</v>
      </c>
      <c r="J789" s="42" t="n">
        <v>57.6975</v>
      </c>
      <c r="K789" s="43" t="n">
        <v>43488</v>
      </c>
      <c r="L789" s="44" t="n">
        <v>0.429166666666667</v>
      </c>
      <c r="M789" s="41" t="s">
        <v>99</v>
      </c>
      <c r="N789" s="42" t="n">
        <v>54.95</v>
      </c>
      <c r="O789" s="42" t="n">
        <v>2.7475</v>
      </c>
      <c r="P789" s="45" t="n">
        <v>9.3</v>
      </c>
      <c r="Q789" s="41" t="str">
        <f aca="false">CHOOSE(MONTH(K789),"Jan","Feb","Mar","Apr","May","Jun","Jul","Aug","Sep","Oct","Nov","Dec")</f>
        <v>Jan</v>
      </c>
      <c r="R789" s="41" t="n">
        <f aca="false">INT((K789-setMinDate)/7)+1</f>
        <v>4</v>
      </c>
      <c r="S789" s="41" t="n">
        <f aca="false">HOUR(L789)</f>
        <v>10</v>
      </c>
      <c r="T789" s="41" t="str">
        <f aca="false">IF(S789&lt;setMorningEnd,"Morning",IF(S789&lt;setAfternoonEnd,"Afternoon","Evening"))</f>
        <v>Morning</v>
      </c>
      <c r="U789" s="41" t="str">
        <f aca="false">IF(J789&gt;=setLarge,"Large",IF(J789&gt;=setMedium,"Medium","Small"))</f>
        <v>Small</v>
      </c>
      <c r="V789" s="41" t="str">
        <f aca="false">IF(P789&gt;=setExc,"Excellent",IF(P789&gt;=setGood,"Good",IF(P789&gt;=setAvg,"Average","Poor")))</f>
        <v>Excellent</v>
      </c>
    </row>
    <row r="790" customFormat="false" ht="15" hidden="false" customHeight="false" outlineLevel="0" collapsed="false">
      <c r="A790" s="41" t="s">
        <v>968</v>
      </c>
      <c r="B790" s="41" t="s">
        <v>180</v>
      </c>
      <c r="C790" s="41" t="s">
        <v>87</v>
      </c>
      <c r="D790" s="41" t="s">
        <v>104</v>
      </c>
      <c r="E790" s="41" t="s">
        <v>103</v>
      </c>
      <c r="F790" s="41" t="s">
        <v>81</v>
      </c>
      <c r="G790" s="42" t="n">
        <v>60.47</v>
      </c>
      <c r="H790" s="41" t="n">
        <v>3</v>
      </c>
      <c r="I790" s="42" t="n">
        <v>9.0705</v>
      </c>
      <c r="J790" s="42" t="n">
        <v>190.4805</v>
      </c>
      <c r="K790" s="43" t="n">
        <v>43479</v>
      </c>
      <c r="L790" s="44" t="n">
        <v>0.454861111111111</v>
      </c>
      <c r="M790" s="41" t="s">
        <v>99</v>
      </c>
      <c r="N790" s="42" t="n">
        <v>181.41</v>
      </c>
      <c r="O790" s="42" t="n">
        <v>9.0705</v>
      </c>
      <c r="P790" s="45" t="n">
        <v>5.6</v>
      </c>
      <c r="Q790" s="41" t="str">
        <f aca="false">CHOOSE(MONTH(K790),"Jan","Feb","Mar","Apr","May","Jun","Jul","Aug","Sep","Oct","Nov","Dec")</f>
        <v>Jan</v>
      </c>
      <c r="R790" s="41" t="n">
        <f aca="false">INT((K790-setMinDate)/7)+1</f>
        <v>2</v>
      </c>
      <c r="S790" s="41" t="n">
        <f aca="false">HOUR(L790)</f>
        <v>10</v>
      </c>
      <c r="T790" s="41" t="str">
        <f aca="false">IF(S790&lt;setMorningEnd,"Morning",IF(S790&lt;setAfternoonEnd,"Afternoon","Evening"))</f>
        <v>Morning</v>
      </c>
      <c r="U790" s="41" t="str">
        <f aca="false">IF(J790&gt;=setLarge,"Large",IF(J790&gt;=setMedium,"Medium","Small"))</f>
        <v>Small</v>
      </c>
      <c r="V790" s="41" t="str">
        <f aca="false">IF(P790&gt;=setExc,"Excellent",IF(P790&gt;=setGood,"Good",IF(P790&gt;=setAvg,"Average","Poor")))</f>
        <v>Average</v>
      </c>
    </row>
    <row r="791" customFormat="false" ht="15" hidden="false" customHeight="false" outlineLevel="0" collapsed="false">
      <c r="A791" s="41" t="s">
        <v>969</v>
      </c>
      <c r="B791" s="41" t="s">
        <v>178</v>
      </c>
      <c r="C791" s="41" t="s">
        <v>85</v>
      </c>
      <c r="D791" s="41" t="s">
        <v>105</v>
      </c>
      <c r="E791" s="41" t="s">
        <v>103</v>
      </c>
      <c r="F791" s="41" t="s">
        <v>77</v>
      </c>
      <c r="G791" s="42" t="n">
        <v>58.91</v>
      </c>
      <c r="H791" s="41" t="n">
        <v>7</v>
      </c>
      <c r="I791" s="42" t="n">
        <v>20.6185</v>
      </c>
      <c r="J791" s="42" t="n">
        <v>432.9885</v>
      </c>
      <c r="K791" s="43" t="n">
        <v>43482</v>
      </c>
      <c r="L791" s="44" t="n">
        <v>0.635416666666667</v>
      </c>
      <c r="M791" s="41" t="s">
        <v>98</v>
      </c>
      <c r="N791" s="42" t="n">
        <v>412.37</v>
      </c>
      <c r="O791" s="42" t="n">
        <v>20.6185</v>
      </c>
      <c r="P791" s="45" t="n">
        <v>9.7</v>
      </c>
      <c r="Q791" s="41" t="str">
        <f aca="false">CHOOSE(MONTH(K791),"Jan","Feb","Mar","Apr","May","Jun","Jul","Aug","Sep","Oct","Nov","Dec")</f>
        <v>Jan</v>
      </c>
      <c r="R791" s="41" t="n">
        <f aca="false">INT((K791-setMinDate)/7)+1</f>
        <v>3</v>
      </c>
      <c r="S791" s="41" t="n">
        <f aca="false">HOUR(L791)</f>
        <v>15</v>
      </c>
      <c r="T791" s="41" t="str">
        <f aca="false">IF(S791&lt;setMorningEnd,"Morning",IF(S791&lt;setAfternoonEnd,"Afternoon","Evening"))</f>
        <v>Afternoon</v>
      </c>
      <c r="U791" s="41" t="str">
        <f aca="false">IF(J791&gt;=setLarge,"Large",IF(J791&gt;=setMedium,"Medium","Small"))</f>
        <v>Medium</v>
      </c>
      <c r="V791" s="41" t="str">
        <f aca="false">IF(P791&gt;=setExc,"Excellent",IF(P791&gt;=setGood,"Good",IF(P791&gt;=setAvg,"Average","Poor")))</f>
        <v>Excellent</v>
      </c>
    </row>
    <row r="792" customFormat="false" ht="15" hidden="false" customHeight="false" outlineLevel="0" collapsed="false">
      <c r="A792" s="41" t="s">
        <v>970</v>
      </c>
      <c r="B792" s="41" t="s">
        <v>178</v>
      </c>
      <c r="C792" s="41" t="s">
        <v>85</v>
      </c>
      <c r="D792" s="41" t="s">
        <v>105</v>
      </c>
      <c r="E792" s="41" t="s">
        <v>103</v>
      </c>
      <c r="F792" s="41" t="s">
        <v>79</v>
      </c>
      <c r="G792" s="42" t="n">
        <v>46.41</v>
      </c>
      <c r="H792" s="41" t="n">
        <v>1</v>
      </c>
      <c r="I792" s="42" t="n">
        <v>2.3205</v>
      </c>
      <c r="J792" s="42" t="n">
        <v>48.7305</v>
      </c>
      <c r="K792" s="43" t="n">
        <v>43527</v>
      </c>
      <c r="L792" s="44" t="n">
        <v>0.8375</v>
      </c>
      <c r="M792" s="41" t="s">
        <v>99</v>
      </c>
      <c r="N792" s="42" t="n">
        <v>46.41</v>
      </c>
      <c r="O792" s="42" t="n">
        <v>2.3205</v>
      </c>
      <c r="P792" s="45" t="n">
        <v>4</v>
      </c>
      <c r="Q792" s="41" t="str">
        <f aca="false">CHOOSE(MONTH(K792),"Jan","Feb","Mar","Apr","May","Jun","Jul","Aug","Sep","Oct","Nov","Dec")</f>
        <v>Mar</v>
      </c>
      <c r="R792" s="41" t="n">
        <f aca="false">INT((K792-setMinDate)/7)+1</f>
        <v>9</v>
      </c>
      <c r="S792" s="41" t="n">
        <f aca="false">HOUR(L792)</f>
        <v>20</v>
      </c>
      <c r="T792" s="41" t="str">
        <f aca="false">IF(S792&lt;setMorningEnd,"Morning",IF(S792&lt;setAfternoonEnd,"Afternoon","Evening"))</f>
        <v>Evening</v>
      </c>
      <c r="U792" s="41" t="str">
        <f aca="false">IF(J792&gt;=setLarge,"Large",IF(J792&gt;=setMedium,"Medium","Small"))</f>
        <v>Small</v>
      </c>
      <c r="V792" s="41" t="str">
        <f aca="false">IF(P792&gt;=setExc,"Excellent",IF(P792&gt;=setGood,"Good",IF(P792&gt;=setAvg,"Average","Poor")))</f>
        <v>Poor</v>
      </c>
    </row>
    <row r="793" customFormat="false" ht="15" hidden="false" customHeight="false" outlineLevel="0" collapsed="false">
      <c r="A793" s="41" t="s">
        <v>971</v>
      </c>
      <c r="B793" s="41" t="s">
        <v>180</v>
      </c>
      <c r="C793" s="41" t="s">
        <v>87</v>
      </c>
      <c r="D793" s="41" t="s">
        <v>104</v>
      </c>
      <c r="E793" s="41" t="s">
        <v>103</v>
      </c>
      <c r="F793" s="41" t="s">
        <v>81</v>
      </c>
      <c r="G793" s="42" t="n">
        <v>68.55</v>
      </c>
      <c r="H793" s="41" t="n">
        <v>4</v>
      </c>
      <c r="I793" s="42" t="n">
        <v>13.71</v>
      </c>
      <c r="J793" s="42" t="n">
        <v>287.91</v>
      </c>
      <c r="K793" s="43" t="n">
        <v>43511</v>
      </c>
      <c r="L793" s="44" t="n">
        <v>0.847916666666667</v>
      </c>
      <c r="M793" s="41" t="s">
        <v>99</v>
      </c>
      <c r="N793" s="42" t="n">
        <v>274.2</v>
      </c>
      <c r="O793" s="42" t="n">
        <v>13.71</v>
      </c>
      <c r="P793" s="45" t="n">
        <v>9.2</v>
      </c>
      <c r="Q793" s="41" t="str">
        <f aca="false">CHOOSE(MONTH(K793),"Jan","Feb","Mar","Apr","May","Jun","Jul","Aug","Sep","Oct","Nov","Dec")</f>
        <v>Feb</v>
      </c>
      <c r="R793" s="41" t="n">
        <f aca="false">INT((K793-setMinDate)/7)+1</f>
        <v>7</v>
      </c>
      <c r="S793" s="41" t="n">
        <f aca="false">HOUR(L793)</f>
        <v>20</v>
      </c>
      <c r="T793" s="41" t="str">
        <f aca="false">IF(S793&lt;setMorningEnd,"Morning",IF(S793&lt;setAfternoonEnd,"Afternoon","Evening"))</f>
        <v>Evening</v>
      </c>
      <c r="U793" s="41" t="str">
        <f aca="false">IF(J793&gt;=setLarge,"Large",IF(J793&gt;=setMedium,"Medium","Small"))</f>
        <v>Medium</v>
      </c>
      <c r="V793" s="41" t="str">
        <f aca="false">IF(P793&gt;=setExc,"Excellent",IF(P793&gt;=setGood,"Good",IF(P793&gt;=setAvg,"Average","Poor")))</f>
        <v>Excellent</v>
      </c>
    </row>
    <row r="794" customFormat="false" ht="15" hidden="false" customHeight="false" outlineLevel="0" collapsed="false">
      <c r="A794" s="41" t="s">
        <v>972</v>
      </c>
      <c r="B794" s="41" t="s">
        <v>189</v>
      </c>
      <c r="C794" s="41" t="s">
        <v>86</v>
      </c>
      <c r="D794" s="41" t="s">
        <v>105</v>
      </c>
      <c r="E794" s="41" t="s">
        <v>102</v>
      </c>
      <c r="F794" s="41" t="s">
        <v>80</v>
      </c>
      <c r="G794" s="42" t="n">
        <v>97.37</v>
      </c>
      <c r="H794" s="41" t="n">
        <v>10</v>
      </c>
      <c r="I794" s="42" t="n">
        <v>48.685</v>
      </c>
      <c r="J794" s="42" t="n">
        <v>1022.385</v>
      </c>
      <c r="K794" s="43" t="n">
        <v>43480</v>
      </c>
      <c r="L794" s="44" t="n">
        <v>0.575</v>
      </c>
      <c r="M794" s="41" t="s">
        <v>99</v>
      </c>
      <c r="N794" s="42" t="n">
        <v>973.7</v>
      </c>
      <c r="O794" s="42" t="n">
        <v>48.685</v>
      </c>
      <c r="P794" s="45" t="n">
        <v>4.9</v>
      </c>
      <c r="Q794" s="41" t="str">
        <f aca="false">CHOOSE(MONTH(K794),"Jan","Feb","Mar","Apr","May","Jun","Jul","Aug","Sep","Oct","Nov","Dec")</f>
        <v>Jan</v>
      </c>
      <c r="R794" s="41" t="n">
        <f aca="false">INT((K794-setMinDate)/7)+1</f>
        <v>3</v>
      </c>
      <c r="S794" s="41" t="n">
        <f aca="false">HOUR(L794)</f>
        <v>13</v>
      </c>
      <c r="T794" s="41" t="str">
        <f aca="false">IF(S794&lt;setMorningEnd,"Morning",IF(S794&lt;setAfternoonEnd,"Afternoon","Evening"))</f>
        <v>Afternoon</v>
      </c>
      <c r="U794" s="41" t="str">
        <f aca="false">IF(J794&gt;=setLarge,"Large",IF(J794&gt;=setMedium,"Medium","Small"))</f>
        <v>Large</v>
      </c>
      <c r="V794" s="41" t="str">
        <f aca="false">IF(P794&gt;=setExc,"Excellent",IF(P794&gt;=setGood,"Good",IF(P794&gt;=setAvg,"Average","Poor")))</f>
        <v>Poor</v>
      </c>
    </row>
    <row r="795" customFormat="false" ht="15" hidden="false" customHeight="false" outlineLevel="0" collapsed="false">
      <c r="A795" s="41" t="s">
        <v>973</v>
      </c>
      <c r="B795" s="41" t="s">
        <v>178</v>
      </c>
      <c r="C795" s="41" t="s">
        <v>85</v>
      </c>
      <c r="D795" s="41" t="s">
        <v>104</v>
      </c>
      <c r="E795" s="41" t="s">
        <v>103</v>
      </c>
      <c r="F795" s="41" t="s">
        <v>78</v>
      </c>
      <c r="G795" s="42" t="n">
        <v>92.6</v>
      </c>
      <c r="H795" s="41" t="n">
        <v>7</v>
      </c>
      <c r="I795" s="42" t="n">
        <v>32.41</v>
      </c>
      <c r="J795" s="42" t="n">
        <v>680.61</v>
      </c>
      <c r="K795" s="43" t="n">
        <v>43523</v>
      </c>
      <c r="L795" s="44" t="n">
        <v>0.536111111111111</v>
      </c>
      <c r="M795" s="41" t="s">
        <v>99</v>
      </c>
      <c r="N795" s="42" t="n">
        <v>648.2</v>
      </c>
      <c r="O795" s="42" t="n">
        <v>32.41</v>
      </c>
      <c r="P795" s="45" t="n">
        <v>9.3</v>
      </c>
      <c r="Q795" s="41" t="str">
        <f aca="false">CHOOSE(MONTH(K795),"Jan","Feb","Mar","Apr","May","Jun","Jul","Aug","Sep","Oct","Nov","Dec")</f>
        <v>Feb</v>
      </c>
      <c r="R795" s="41" t="n">
        <f aca="false">INT((K795-setMinDate)/7)+1</f>
        <v>9</v>
      </c>
      <c r="S795" s="41" t="n">
        <f aca="false">HOUR(L795)</f>
        <v>12</v>
      </c>
      <c r="T795" s="41" t="str">
        <f aca="false">IF(S795&lt;setMorningEnd,"Morning",IF(S795&lt;setAfternoonEnd,"Afternoon","Evening"))</f>
        <v>Afternoon</v>
      </c>
      <c r="U795" s="41" t="str">
        <f aca="false">IF(J795&gt;=setLarge,"Large",IF(J795&gt;=setMedium,"Medium","Small"))</f>
        <v>Large</v>
      </c>
      <c r="V795" s="41" t="str">
        <f aca="false">IF(P795&gt;=setExc,"Excellent",IF(P795&gt;=setGood,"Good",IF(P795&gt;=setAvg,"Average","Poor")))</f>
        <v>Excellent</v>
      </c>
    </row>
    <row r="796" customFormat="false" ht="15" hidden="false" customHeight="false" outlineLevel="0" collapsed="false">
      <c r="A796" s="41" t="s">
        <v>974</v>
      </c>
      <c r="B796" s="41" t="s">
        <v>178</v>
      </c>
      <c r="C796" s="41" t="s">
        <v>85</v>
      </c>
      <c r="D796" s="41" t="s">
        <v>105</v>
      </c>
      <c r="E796" s="41" t="s">
        <v>102</v>
      </c>
      <c r="F796" s="41" t="s">
        <v>78</v>
      </c>
      <c r="G796" s="42" t="n">
        <v>46.61</v>
      </c>
      <c r="H796" s="41" t="n">
        <v>2</v>
      </c>
      <c r="I796" s="42" t="n">
        <v>4.661</v>
      </c>
      <c r="J796" s="42" t="n">
        <v>97.881</v>
      </c>
      <c r="K796" s="43" t="n">
        <v>43522</v>
      </c>
      <c r="L796" s="44" t="n">
        <v>0.519444444444445</v>
      </c>
      <c r="M796" s="41" t="s">
        <v>99</v>
      </c>
      <c r="N796" s="42" t="n">
        <v>93.22</v>
      </c>
      <c r="O796" s="42" t="n">
        <v>4.661</v>
      </c>
      <c r="P796" s="45" t="n">
        <v>6.6</v>
      </c>
      <c r="Q796" s="41" t="str">
        <f aca="false">CHOOSE(MONTH(K796),"Jan","Feb","Mar","Apr","May","Jun","Jul","Aug","Sep","Oct","Nov","Dec")</f>
        <v>Feb</v>
      </c>
      <c r="R796" s="41" t="n">
        <f aca="false">INT((K796-setMinDate)/7)+1</f>
        <v>9</v>
      </c>
      <c r="S796" s="41" t="n">
        <f aca="false">HOUR(L796)</f>
        <v>12</v>
      </c>
      <c r="T796" s="41" t="str">
        <f aca="false">IF(S796&lt;setMorningEnd,"Morning",IF(S796&lt;setAfternoonEnd,"Afternoon","Evening"))</f>
        <v>Afternoon</v>
      </c>
      <c r="U796" s="41" t="str">
        <f aca="false">IF(J796&gt;=setLarge,"Large",IF(J796&gt;=setMedium,"Medium","Small"))</f>
        <v>Small</v>
      </c>
      <c r="V796" s="41" t="str">
        <f aca="false">IF(P796&gt;=setExc,"Excellent",IF(P796&gt;=setGood,"Good",IF(P796&gt;=setAvg,"Average","Poor")))</f>
        <v>Average</v>
      </c>
    </row>
    <row r="797" customFormat="false" ht="15" hidden="false" customHeight="false" outlineLevel="0" collapsed="false">
      <c r="A797" s="41" t="s">
        <v>975</v>
      </c>
      <c r="B797" s="41" t="s">
        <v>189</v>
      </c>
      <c r="C797" s="41" t="s">
        <v>86</v>
      </c>
      <c r="D797" s="41" t="s">
        <v>105</v>
      </c>
      <c r="E797" s="41" t="s">
        <v>103</v>
      </c>
      <c r="F797" s="41" t="s">
        <v>79</v>
      </c>
      <c r="G797" s="42" t="n">
        <v>27.18</v>
      </c>
      <c r="H797" s="41" t="n">
        <v>2</v>
      </c>
      <c r="I797" s="42" t="n">
        <v>2.718</v>
      </c>
      <c r="J797" s="42" t="n">
        <v>57.078</v>
      </c>
      <c r="K797" s="43" t="n">
        <v>43539</v>
      </c>
      <c r="L797" s="44" t="n">
        <v>0.684722222222222</v>
      </c>
      <c r="M797" s="41" t="s">
        <v>98</v>
      </c>
      <c r="N797" s="42" t="n">
        <v>54.36</v>
      </c>
      <c r="O797" s="42" t="n">
        <v>2.718</v>
      </c>
      <c r="P797" s="45" t="n">
        <v>4.3</v>
      </c>
      <c r="Q797" s="41" t="str">
        <f aca="false">CHOOSE(MONTH(K797),"Jan","Feb","Mar","Apr","May","Jun","Jul","Aug","Sep","Oct","Nov","Dec")</f>
        <v>Mar</v>
      </c>
      <c r="R797" s="41" t="n">
        <f aca="false">INT((K797-setMinDate)/7)+1</f>
        <v>11</v>
      </c>
      <c r="S797" s="41" t="n">
        <f aca="false">HOUR(L797)</f>
        <v>16</v>
      </c>
      <c r="T797" s="41" t="str">
        <f aca="false">IF(S797&lt;setMorningEnd,"Morning",IF(S797&lt;setAfternoonEnd,"Afternoon","Evening"))</f>
        <v>Afternoon</v>
      </c>
      <c r="U797" s="41" t="str">
        <f aca="false">IF(J797&gt;=setLarge,"Large",IF(J797&gt;=setMedium,"Medium","Small"))</f>
        <v>Small</v>
      </c>
      <c r="V797" s="41" t="str">
        <f aca="false">IF(P797&gt;=setExc,"Excellent",IF(P797&gt;=setGood,"Good",IF(P797&gt;=setAvg,"Average","Poor")))</f>
        <v>Poor</v>
      </c>
    </row>
    <row r="798" customFormat="false" ht="15" hidden="false" customHeight="false" outlineLevel="0" collapsed="false">
      <c r="A798" s="41" t="s">
        <v>976</v>
      </c>
      <c r="B798" s="41" t="s">
        <v>180</v>
      </c>
      <c r="C798" s="41" t="s">
        <v>87</v>
      </c>
      <c r="D798" s="41" t="s">
        <v>104</v>
      </c>
      <c r="E798" s="41" t="s">
        <v>102</v>
      </c>
      <c r="F798" s="41" t="s">
        <v>80</v>
      </c>
      <c r="G798" s="42" t="n">
        <v>60.87</v>
      </c>
      <c r="H798" s="41" t="n">
        <v>1</v>
      </c>
      <c r="I798" s="42" t="n">
        <v>3.0435</v>
      </c>
      <c r="J798" s="42" t="n">
        <v>63.9135</v>
      </c>
      <c r="K798" s="43" t="n">
        <v>43489</v>
      </c>
      <c r="L798" s="44" t="n">
        <v>0.558333333333333</v>
      </c>
      <c r="M798" s="41" t="s">
        <v>97</v>
      </c>
      <c r="N798" s="42" t="n">
        <v>60.87</v>
      </c>
      <c r="O798" s="42" t="n">
        <v>3.0435</v>
      </c>
      <c r="P798" s="45" t="n">
        <v>5.5</v>
      </c>
      <c r="Q798" s="41" t="str">
        <f aca="false">CHOOSE(MONTH(K798),"Jan","Feb","Mar","Apr","May","Jun","Jul","Aug","Sep","Oct","Nov","Dec")</f>
        <v>Jan</v>
      </c>
      <c r="R798" s="41" t="n">
        <f aca="false">INT((K798-setMinDate)/7)+1</f>
        <v>4</v>
      </c>
      <c r="S798" s="41" t="n">
        <f aca="false">HOUR(L798)</f>
        <v>13</v>
      </c>
      <c r="T798" s="41" t="str">
        <f aca="false">IF(S798&lt;setMorningEnd,"Morning",IF(S798&lt;setAfternoonEnd,"Afternoon","Evening"))</f>
        <v>Afternoon</v>
      </c>
      <c r="U798" s="41" t="str">
        <f aca="false">IF(J798&gt;=setLarge,"Large",IF(J798&gt;=setMedium,"Medium","Small"))</f>
        <v>Small</v>
      </c>
      <c r="V798" s="41" t="str">
        <f aca="false">IF(P798&gt;=setExc,"Excellent",IF(P798&gt;=setGood,"Good",IF(P798&gt;=setAvg,"Average","Poor")))</f>
        <v>Average</v>
      </c>
    </row>
    <row r="799" customFormat="false" ht="15" hidden="false" customHeight="false" outlineLevel="0" collapsed="false">
      <c r="A799" s="41" t="s">
        <v>977</v>
      </c>
      <c r="B799" s="41" t="s">
        <v>178</v>
      </c>
      <c r="C799" s="41" t="s">
        <v>85</v>
      </c>
      <c r="D799" s="41" t="s">
        <v>104</v>
      </c>
      <c r="E799" s="41" t="s">
        <v>102</v>
      </c>
      <c r="F799" s="41" t="s">
        <v>77</v>
      </c>
      <c r="G799" s="42" t="n">
        <v>24.49</v>
      </c>
      <c r="H799" s="41" t="n">
        <v>10</v>
      </c>
      <c r="I799" s="42" t="n">
        <v>12.245</v>
      </c>
      <c r="J799" s="42" t="n">
        <v>257.145</v>
      </c>
      <c r="K799" s="43" t="n">
        <v>43518</v>
      </c>
      <c r="L799" s="44" t="n">
        <v>0.635416666666667</v>
      </c>
      <c r="M799" s="41" t="s">
        <v>97</v>
      </c>
      <c r="N799" s="42" t="n">
        <v>244.9</v>
      </c>
      <c r="O799" s="42" t="n">
        <v>12.245</v>
      </c>
      <c r="P799" s="45" t="n">
        <v>8.1</v>
      </c>
      <c r="Q799" s="41" t="str">
        <f aca="false">CHOOSE(MONTH(K799),"Jan","Feb","Mar","Apr","May","Jun","Jul","Aug","Sep","Oct","Nov","Dec")</f>
        <v>Feb</v>
      </c>
      <c r="R799" s="41" t="n">
        <f aca="false">INT((K799-setMinDate)/7)+1</f>
        <v>8</v>
      </c>
      <c r="S799" s="41" t="n">
        <f aca="false">HOUR(L799)</f>
        <v>15</v>
      </c>
      <c r="T799" s="41" t="str">
        <f aca="false">IF(S799&lt;setMorningEnd,"Morning",IF(S799&lt;setAfternoonEnd,"Afternoon","Evening"))</f>
        <v>Afternoon</v>
      </c>
      <c r="U799" s="41" t="str">
        <f aca="false">IF(J799&gt;=setLarge,"Large",IF(J799&gt;=setMedium,"Medium","Small"))</f>
        <v>Medium</v>
      </c>
      <c r="V799" s="41" t="str">
        <f aca="false">IF(P799&gt;=setExc,"Excellent",IF(P799&gt;=setGood,"Good",IF(P799&gt;=setAvg,"Average","Poor")))</f>
        <v>Good</v>
      </c>
    </row>
    <row r="800" customFormat="false" ht="15" hidden="false" customHeight="false" outlineLevel="0" collapsed="false">
      <c r="A800" s="41" t="s">
        <v>978</v>
      </c>
      <c r="B800" s="41" t="s">
        <v>189</v>
      </c>
      <c r="C800" s="41" t="s">
        <v>86</v>
      </c>
      <c r="D800" s="41" t="s">
        <v>105</v>
      </c>
      <c r="E800" s="41" t="s">
        <v>103</v>
      </c>
      <c r="F800" s="41" t="s">
        <v>81</v>
      </c>
      <c r="G800" s="42" t="n">
        <v>92.78</v>
      </c>
      <c r="H800" s="41" t="n">
        <v>1</v>
      </c>
      <c r="I800" s="42" t="n">
        <v>4.639</v>
      </c>
      <c r="J800" s="42" t="n">
        <v>97.419</v>
      </c>
      <c r="K800" s="43" t="n">
        <v>43539</v>
      </c>
      <c r="L800" s="44" t="n">
        <v>0.451388888888889</v>
      </c>
      <c r="M800" s="41" t="s">
        <v>99</v>
      </c>
      <c r="N800" s="42" t="n">
        <v>92.78</v>
      </c>
      <c r="O800" s="42" t="n">
        <v>4.639</v>
      </c>
      <c r="P800" s="45" t="n">
        <v>9.8</v>
      </c>
      <c r="Q800" s="41" t="str">
        <f aca="false">CHOOSE(MONTH(K800),"Jan","Feb","Mar","Apr","May","Jun","Jul","Aug","Sep","Oct","Nov","Dec")</f>
        <v>Mar</v>
      </c>
      <c r="R800" s="41" t="n">
        <f aca="false">INT((K800-setMinDate)/7)+1</f>
        <v>11</v>
      </c>
      <c r="S800" s="41" t="n">
        <f aca="false">HOUR(L800)</f>
        <v>10</v>
      </c>
      <c r="T800" s="41" t="str">
        <f aca="false">IF(S800&lt;setMorningEnd,"Morning",IF(S800&lt;setAfternoonEnd,"Afternoon","Evening"))</f>
        <v>Morning</v>
      </c>
      <c r="U800" s="41" t="str">
        <f aca="false">IF(J800&gt;=setLarge,"Large",IF(J800&gt;=setMedium,"Medium","Small"))</f>
        <v>Small</v>
      </c>
      <c r="V800" s="41" t="str">
        <f aca="false">IF(P800&gt;=setExc,"Excellent",IF(P800&gt;=setGood,"Good",IF(P800&gt;=setAvg,"Average","Poor")))</f>
        <v>Excellent</v>
      </c>
    </row>
    <row r="801" customFormat="false" ht="15" hidden="false" customHeight="false" outlineLevel="0" collapsed="false">
      <c r="A801" s="41" t="s">
        <v>979</v>
      </c>
      <c r="B801" s="41" t="s">
        <v>180</v>
      </c>
      <c r="C801" s="41" t="s">
        <v>87</v>
      </c>
      <c r="D801" s="41" t="s">
        <v>104</v>
      </c>
      <c r="E801" s="41" t="s">
        <v>103</v>
      </c>
      <c r="F801" s="41" t="s">
        <v>80</v>
      </c>
      <c r="G801" s="42" t="n">
        <v>86.69</v>
      </c>
      <c r="H801" s="41" t="n">
        <v>5</v>
      </c>
      <c r="I801" s="42" t="n">
        <v>21.6725</v>
      </c>
      <c r="J801" s="42" t="n">
        <v>455.1225</v>
      </c>
      <c r="K801" s="43" t="n">
        <v>43507</v>
      </c>
      <c r="L801" s="44" t="n">
        <v>0.776388888888889</v>
      </c>
      <c r="M801" s="41" t="s">
        <v>98</v>
      </c>
      <c r="N801" s="42" t="n">
        <v>433.45</v>
      </c>
      <c r="O801" s="42" t="n">
        <v>21.6725</v>
      </c>
      <c r="P801" s="45" t="n">
        <v>9.4</v>
      </c>
      <c r="Q801" s="41" t="str">
        <f aca="false">CHOOSE(MONTH(K801),"Jan","Feb","Mar","Apr","May","Jun","Jul","Aug","Sep","Oct","Nov","Dec")</f>
        <v>Feb</v>
      </c>
      <c r="R801" s="41" t="n">
        <f aca="false">INT((K801-setMinDate)/7)+1</f>
        <v>6</v>
      </c>
      <c r="S801" s="41" t="n">
        <f aca="false">HOUR(L801)</f>
        <v>18</v>
      </c>
      <c r="T801" s="41" t="str">
        <f aca="false">IF(S801&lt;setMorningEnd,"Morning",IF(S801&lt;setAfternoonEnd,"Afternoon","Evening"))</f>
        <v>Evening</v>
      </c>
      <c r="U801" s="41" t="str">
        <f aca="false">IF(J801&gt;=setLarge,"Large",IF(J801&gt;=setMedium,"Medium","Small"))</f>
        <v>Medium</v>
      </c>
      <c r="V801" s="41" t="str">
        <f aca="false">IF(P801&gt;=setExc,"Excellent",IF(P801&gt;=setGood,"Good",IF(P801&gt;=setAvg,"Average","Poor")))</f>
        <v>Excellent</v>
      </c>
    </row>
    <row r="802" customFormat="false" ht="15" hidden="false" customHeight="false" outlineLevel="0" collapsed="false">
      <c r="A802" s="41" t="s">
        <v>980</v>
      </c>
      <c r="B802" s="41" t="s">
        <v>189</v>
      </c>
      <c r="C802" s="41" t="s">
        <v>86</v>
      </c>
      <c r="D802" s="41" t="s">
        <v>105</v>
      </c>
      <c r="E802" s="41" t="s">
        <v>103</v>
      </c>
      <c r="F802" s="41" t="s">
        <v>77</v>
      </c>
      <c r="G802" s="42" t="n">
        <v>23.01</v>
      </c>
      <c r="H802" s="41" t="n">
        <v>6</v>
      </c>
      <c r="I802" s="42" t="n">
        <v>6.903</v>
      </c>
      <c r="J802" s="42" t="n">
        <v>144.963</v>
      </c>
      <c r="K802" s="43" t="n">
        <v>43477</v>
      </c>
      <c r="L802" s="44" t="n">
        <v>0.697916666666667</v>
      </c>
      <c r="M802" s="41" t="s">
        <v>98</v>
      </c>
      <c r="N802" s="42" t="n">
        <v>138.06</v>
      </c>
      <c r="O802" s="42" t="n">
        <v>6.903</v>
      </c>
      <c r="P802" s="45" t="n">
        <v>7.9</v>
      </c>
      <c r="Q802" s="41" t="str">
        <f aca="false">CHOOSE(MONTH(K802),"Jan","Feb","Mar","Apr","May","Jun","Jul","Aug","Sep","Oct","Nov","Dec")</f>
        <v>Jan</v>
      </c>
      <c r="R802" s="41" t="n">
        <f aca="false">INT((K802-setMinDate)/7)+1</f>
        <v>2</v>
      </c>
      <c r="S802" s="41" t="n">
        <f aca="false">HOUR(L802)</f>
        <v>16</v>
      </c>
      <c r="T802" s="41" t="str">
        <f aca="false">IF(S802&lt;setMorningEnd,"Morning",IF(S802&lt;setAfternoonEnd,"Afternoon","Evening"))</f>
        <v>Afternoon</v>
      </c>
      <c r="U802" s="41" t="str">
        <f aca="false">IF(J802&gt;=setLarge,"Large",IF(J802&gt;=setMedium,"Medium","Small"))</f>
        <v>Small</v>
      </c>
      <c r="V802" s="41" t="str">
        <f aca="false">IF(P802&gt;=setExc,"Excellent",IF(P802&gt;=setGood,"Good",IF(P802&gt;=setAvg,"Average","Poor")))</f>
        <v>Good</v>
      </c>
    </row>
    <row r="803" customFormat="false" ht="15" hidden="false" customHeight="false" outlineLevel="0" collapsed="false">
      <c r="A803" s="41" t="s">
        <v>981</v>
      </c>
      <c r="B803" s="41" t="s">
        <v>180</v>
      </c>
      <c r="C803" s="41" t="s">
        <v>87</v>
      </c>
      <c r="D803" s="41" t="s">
        <v>104</v>
      </c>
      <c r="E803" s="41" t="s">
        <v>102</v>
      </c>
      <c r="F803" s="41" t="s">
        <v>78</v>
      </c>
      <c r="G803" s="42" t="n">
        <v>30.2</v>
      </c>
      <c r="H803" s="41" t="n">
        <v>8</v>
      </c>
      <c r="I803" s="42" t="n">
        <v>12.08</v>
      </c>
      <c r="J803" s="42" t="n">
        <v>253.68</v>
      </c>
      <c r="K803" s="43" t="n">
        <v>43527</v>
      </c>
      <c r="L803" s="44" t="n">
        <v>0.8125</v>
      </c>
      <c r="M803" s="41" t="s">
        <v>98</v>
      </c>
      <c r="N803" s="42" t="n">
        <v>241.6</v>
      </c>
      <c r="O803" s="42" t="n">
        <v>12.08</v>
      </c>
      <c r="P803" s="45" t="n">
        <v>5.1</v>
      </c>
      <c r="Q803" s="41" t="str">
        <f aca="false">CHOOSE(MONTH(K803),"Jan","Feb","Mar","Apr","May","Jun","Jul","Aug","Sep","Oct","Nov","Dec")</f>
        <v>Mar</v>
      </c>
      <c r="R803" s="41" t="n">
        <f aca="false">INT((K803-setMinDate)/7)+1</f>
        <v>9</v>
      </c>
      <c r="S803" s="41" t="n">
        <f aca="false">HOUR(L803)</f>
        <v>19</v>
      </c>
      <c r="T803" s="41" t="str">
        <f aca="false">IF(S803&lt;setMorningEnd,"Morning",IF(S803&lt;setAfternoonEnd,"Afternoon","Evening"))</f>
        <v>Evening</v>
      </c>
      <c r="U803" s="41" t="str">
        <f aca="false">IF(J803&gt;=setLarge,"Large",IF(J803&gt;=setMedium,"Medium","Small"))</f>
        <v>Medium</v>
      </c>
      <c r="V803" s="41" t="str">
        <f aca="false">IF(P803&gt;=setExc,"Excellent",IF(P803&gt;=setGood,"Good",IF(P803&gt;=setAvg,"Average","Poor")))</f>
        <v>Average</v>
      </c>
    </row>
    <row r="804" customFormat="false" ht="15" hidden="false" customHeight="false" outlineLevel="0" collapsed="false">
      <c r="A804" s="41" t="s">
        <v>982</v>
      </c>
      <c r="B804" s="41" t="s">
        <v>180</v>
      </c>
      <c r="C804" s="41" t="s">
        <v>87</v>
      </c>
      <c r="D804" s="41" t="s">
        <v>104</v>
      </c>
      <c r="E804" s="41" t="s">
        <v>103</v>
      </c>
      <c r="F804" s="41" t="s">
        <v>79</v>
      </c>
      <c r="G804" s="42" t="n">
        <v>67.39</v>
      </c>
      <c r="H804" s="41" t="n">
        <v>7</v>
      </c>
      <c r="I804" s="42" t="n">
        <v>23.5865</v>
      </c>
      <c r="J804" s="42" t="n">
        <v>495.3165</v>
      </c>
      <c r="K804" s="43" t="n">
        <v>43547</v>
      </c>
      <c r="L804" s="44" t="n">
        <v>0.557638888888889</v>
      </c>
      <c r="M804" s="41" t="s">
        <v>98</v>
      </c>
      <c r="N804" s="42" t="n">
        <v>471.73</v>
      </c>
      <c r="O804" s="42" t="n">
        <v>23.5865</v>
      </c>
      <c r="P804" s="45" t="n">
        <v>6.9</v>
      </c>
      <c r="Q804" s="41" t="str">
        <f aca="false">CHOOSE(MONTH(K804),"Jan","Feb","Mar","Apr","May","Jun","Jul","Aug","Sep","Oct","Nov","Dec")</f>
        <v>Mar</v>
      </c>
      <c r="R804" s="41" t="n">
        <f aca="false">INT((K804-setMinDate)/7)+1</f>
        <v>12</v>
      </c>
      <c r="S804" s="41" t="n">
        <f aca="false">HOUR(L804)</f>
        <v>13</v>
      </c>
      <c r="T804" s="41" t="str">
        <f aca="false">IF(S804&lt;setMorningEnd,"Morning",IF(S804&lt;setAfternoonEnd,"Afternoon","Evening"))</f>
        <v>Afternoon</v>
      </c>
      <c r="U804" s="41" t="str">
        <f aca="false">IF(J804&gt;=setLarge,"Large",IF(J804&gt;=setMedium,"Medium","Small"))</f>
        <v>Medium</v>
      </c>
      <c r="V804" s="41" t="str">
        <f aca="false">IF(P804&gt;=setExc,"Excellent",IF(P804&gt;=setGood,"Good",IF(P804&gt;=setAvg,"Average","Poor")))</f>
        <v>Average</v>
      </c>
    </row>
    <row r="805" customFormat="false" ht="15" hidden="false" customHeight="false" outlineLevel="0" collapsed="false">
      <c r="A805" s="41" t="s">
        <v>983</v>
      </c>
      <c r="B805" s="41" t="s">
        <v>178</v>
      </c>
      <c r="C805" s="41" t="s">
        <v>85</v>
      </c>
      <c r="D805" s="41" t="s">
        <v>104</v>
      </c>
      <c r="E805" s="41" t="s">
        <v>102</v>
      </c>
      <c r="F805" s="41" t="s">
        <v>79</v>
      </c>
      <c r="G805" s="42" t="n">
        <v>48.96</v>
      </c>
      <c r="H805" s="41" t="n">
        <v>9</v>
      </c>
      <c r="I805" s="42" t="n">
        <v>22.032</v>
      </c>
      <c r="J805" s="42" t="n">
        <v>462.672</v>
      </c>
      <c r="K805" s="43" t="n">
        <v>43528</v>
      </c>
      <c r="L805" s="44" t="n">
        <v>0.477083333333333</v>
      </c>
      <c r="M805" s="41" t="s">
        <v>97</v>
      </c>
      <c r="N805" s="42" t="n">
        <v>440.64</v>
      </c>
      <c r="O805" s="42" t="n">
        <v>22.032</v>
      </c>
      <c r="P805" s="45" t="n">
        <v>8</v>
      </c>
      <c r="Q805" s="41" t="str">
        <f aca="false">CHOOSE(MONTH(K805),"Jan","Feb","Mar","Apr","May","Jun","Jul","Aug","Sep","Oct","Nov","Dec")</f>
        <v>Mar</v>
      </c>
      <c r="R805" s="41" t="n">
        <f aca="false">INT((K805-setMinDate)/7)+1</f>
        <v>9</v>
      </c>
      <c r="S805" s="41" t="n">
        <f aca="false">HOUR(L805)</f>
        <v>11</v>
      </c>
      <c r="T805" s="41" t="str">
        <f aca="false">IF(S805&lt;setMorningEnd,"Morning",IF(S805&lt;setAfternoonEnd,"Afternoon","Evening"))</f>
        <v>Morning</v>
      </c>
      <c r="U805" s="41" t="str">
        <f aca="false">IF(J805&gt;=setLarge,"Large",IF(J805&gt;=setMedium,"Medium","Small"))</f>
        <v>Medium</v>
      </c>
      <c r="V805" s="41" t="str">
        <f aca="false">IF(P805&gt;=setExc,"Excellent",IF(P805&gt;=setGood,"Good",IF(P805&gt;=setAvg,"Average","Poor")))</f>
        <v>Good</v>
      </c>
    </row>
    <row r="806" customFormat="false" ht="15" hidden="false" customHeight="false" outlineLevel="0" collapsed="false">
      <c r="A806" s="41" t="s">
        <v>984</v>
      </c>
      <c r="B806" s="41" t="s">
        <v>189</v>
      </c>
      <c r="C806" s="41" t="s">
        <v>86</v>
      </c>
      <c r="D806" s="41" t="s">
        <v>104</v>
      </c>
      <c r="E806" s="41" t="s">
        <v>102</v>
      </c>
      <c r="F806" s="41" t="s">
        <v>78</v>
      </c>
      <c r="G806" s="42" t="n">
        <v>75.59</v>
      </c>
      <c r="H806" s="41" t="n">
        <v>9</v>
      </c>
      <c r="I806" s="42" t="n">
        <v>34.0155</v>
      </c>
      <c r="J806" s="42" t="n">
        <v>714.3255</v>
      </c>
      <c r="K806" s="43" t="n">
        <v>43519</v>
      </c>
      <c r="L806" s="44" t="n">
        <v>0.466666666666667</v>
      </c>
      <c r="M806" s="41" t="s">
        <v>97</v>
      </c>
      <c r="N806" s="42" t="n">
        <v>680.31</v>
      </c>
      <c r="O806" s="42" t="n">
        <v>34.0155</v>
      </c>
      <c r="P806" s="45" t="n">
        <v>8</v>
      </c>
      <c r="Q806" s="41" t="str">
        <f aca="false">CHOOSE(MONTH(K806),"Jan","Feb","Mar","Apr","May","Jun","Jul","Aug","Sep","Oct","Nov","Dec")</f>
        <v>Feb</v>
      </c>
      <c r="R806" s="41" t="n">
        <f aca="false">INT((K806-setMinDate)/7)+1</f>
        <v>8</v>
      </c>
      <c r="S806" s="41" t="n">
        <f aca="false">HOUR(L806)</f>
        <v>11</v>
      </c>
      <c r="T806" s="41" t="str">
        <f aca="false">IF(S806&lt;setMorningEnd,"Morning",IF(S806&lt;setAfternoonEnd,"Afternoon","Evening"))</f>
        <v>Morning</v>
      </c>
      <c r="U806" s="41" t="str">
        <f aca="false">IF(J806&gt;=setLarge,"Large",IF(J806&gt;=setMedium,"Medium","Small"))</f>
        <v>Large</v>
      </c>
      <c r="V806" s="41" t="str">
        <f aca="false">IF(P806&gt;=setExc,"Excellent",IF(P806&gt;=setGood,"Good",IF(P806&gt;=setAvg,"Average","Poor")))</f>
        <v>Good</v>
      </c>
    </row>
    <row r="807" customFormat="false" ht="15" hidden="false" customHeight="false" outlineLevel="0" collapsed="false">
      <c r="A807" s="41" t="s">
        <v>985</v>
      </c>
      <c r="B807" s="41" t="s">
        <v>178</v>
      </c>
      <c r="C807" s="41" t="s">
        <v>85</v>
      </c>
      <c r="D807" s="41" t="s">
        <v>105</v>
      </c>
      <c r="E807" s="41" t="s">
        <v>102</v>
      </c>
      <c r="F807" s="41" t="s">
        <v>80</v>
      </c>
      <c r="G807" s="42" t="n">
        <v>77.47</v>
      </c>
      <c r="H807" s="41" t="n">
        <v>4</v>
      </c>
      <c r="I807" s="42" t="n">
        <v>15.494</v>
      </c>
      <c r="J807" s="42" t="n">
        <v>325.374</v>
      </c>
      <c r="K807" s="43" t="n">
        <v>43541</v>
      </c>
      <c r="L807" s="44" t="n">
        <v>0.691666666666667</v>
      </c>
      <c r="M807" s="41" t="s">
        <v>97</v>
      </c>
      <c r="N807" s="42" t="n">
        <v>309.88</v>
      </c>
      <c r="O807" s="42" t="n">
        <v>15.494</v>
      </c>
      <c r="P807" s="45" t="n">
        <v>4.2</v>
      </c>
      <c r="Q807" s="41" t="str">
        <f aca="false">CHOOSE(MONTH(K807),"Jan","Feb","Mar","Apr","May","Jun","Jul","Aug","Sep","Oct","Nov","Dec")</f>
        <v>Mar</v>
      </c>
      <c r="R807" s="41" t="n">
        <f aca="false">INT((K807-setMinDate)/7)+1</f>
        <v>11</v>
      </c>
      <c r="S807" s="41" t="n">
        <f aca="false">HOUR(L807)</f>
        <v>16</v>
      </c>
      <c r="T807" s="41" t="str">
        <f aca="false">IF(S807&lt;setMorningEnd,"Morning",IF(S807&lt;setAfternoonEnd,"Afternoon","Evening"))</f>
        <v>Afternoon</v>
      </c>
      <c r="U807" s="41" t="str">
        <f aca="false">IF(J807&gt;=setLarge,"Large",IF(J807&gt;=setMedium,"Medium","Small"))</f>
        <v>Medium</v>
      </c>
      <c r="V807" s="41" t="str">
        <f aca="false">IF(P807&gt;=setExc,"Excellent",IF(P807&gt;=setGood,"Good",IF(P807&gt;=setAvg,"Average","Poor")))</f>
        <v>Poor</v>
      </c>
    </row>
    <row r="808" customFormat="false" ht="15" hidden="false" customHeight="false" outlineLevel="0" collapsed="false">
      <c r="A808" s="41" t="s">
        <v>986</v>
      </c>
      <c r="B808" s="41" t="s">
        <v>178</v>
      </c>
      <c r="C808" s="41" t="s">
        <v>85</v>
      </c>
      <c r="D808" s="41" t="s">
        <v>105</v>
      </c>
      <c r="E808" s="41" t="s">
        <v>102</v>
      </c>
      <c r="F808" s="41" t="s">
        <v>77</v>
      </c>
      <c r="G808" s="42" t="n">
        <v>93.18</v>
      </c>
      <c r="H808" s="41" t="n">
        <v>2</v>
      </c>
      <c r="I808" s="42" t="n">
        <v>9.318</v>
      </c>
      <c r="J808" s="42" t="n">
        <v>195.678</v>
      </c>
      <c r="K808" s="43" t="n">
        <v>43481</v>
      </c>
      <c r="L808" s="44" t="n">
        <v>0.778472222222222</v>
      </c>
      <c r="M808" s="41" t="s">
        <v>99</v>
      </c>
      <c r="N808" s="42" t="n">
        <v>186.36</v>
      </c>
      <c r="O808" s="42" t="n">
        <v>9.318</v>
      </c>
      <c r="P808" s="45" t="n">
        <v>8.5</v>
      </c>
      <c r="Q808" s="41" t="str">
        <f aca="false">CHOOSE(MONTH(K808),"Jan","Feb","Mar","Apr","May","Jun","Jul","Aug","Sep","Oct","Nov","Dec")</f>
        <v>Jan</v>
      </c>
      <c r="R808" s="41" t="n">
        <f aca="false">INT((K808-setMinDate)/7)+1</f>
        <v>3</v>
      </c>
      <c r="S808" s="41" t="n">
        <f aca="false">HOUR(L808)</f>
        <v>18</v>
      </c>
      <c r="T808" s="41" t="str">
        <f aca="false">IF(S808&lt;setMorningEnd,"Morning",IF(S808&lt;setAfternoonEnd,"Afternoon","Evening"))</f>
        <v>Evening</v>
      </c>
      <c r="U808" s="41" t="str">
        <f aca="false">IF(J808&gt;=setLarge,"Large",IF(J808&gt;=setMedium,"Medium","Small"))</f>
        <v>Small</v>
      </c>
      <c r="V808" s="41" t="str">
        <f aca="false">IF(P808&gt;=setExc,"Excellent",IF(P808&gt;=setGood,"Good",IF(P808&gt;=setAvg,"Average","Poor")))</f>
        <v>Good</v>
      </c>
    </row>
    <row r="809" customFormat="false" ht="15" hidden="false" customHeight="false" outlineLevel="0" collapsed="false">
      <c r="A809" s="41" t="s">
        <v>987</v>
      </c>
      <c r="B809" s="41" t="s">
        <v>178</v>
      </c>
      <c r="C809" s="41" t="s">
        <v>85</v>
      </c>
      <c r="D809" s="41" t="s">
        <v>105</v>
      </c>
      <c r="E809" s="41" t="s">
        <v>102</v>
      </c>
      <c r="F809" s="41" t="s">
        <v>78</v>
      </c>
      <c r="G809" s="42" t="n">
        <v>50.23</v>
      </c>
      <c r="H809" s="41" t="n">
        <v>4</v>
      </c>
      <c r="I809" s="42" t="n">
        <v>10.046</v>
      </c>
      <c r="J809" s="42" t="n">
        <v>210.966</v>
      </c>
      <c r="K809" s="43" t="n">
        <v>43473</v>
      </c>
      <c r="L809" s="44" t="n">
        <v>0.716666666666667</v>
      </c>
      <c r="M809" s="41" t="s">
        <v>97</v>
      </c>
      <c r="N809" s="42" t="n">
        <v>200.92</v>
      </c>
      <c r="O809" s="42" t="n">
        <v>10.046</v>
      </c>
      <c r="P809" s="45" t="n">
        <v>9</v>
      </c>
      <c r="Q809" s="41" t="str">
        <f aca="false">CHOOSE(MONTH(K809),"Jan","Feb","Mar","Apr","May","Jun","Jul","Aug","Sep","Oct","Nov","Dec")</f>
        <v>Jan</v>
      </c>
      <c r="R809" s="41" t="n">
        <f aca="false">INT((K809-setMinDate)/7)+1</f>
        <v>2</v>
      </c>
      <c r="S809" s="41" t="n">
        <f aca="false">HOUR(L809)</f>
        <v>17</v>
      </c>
      <c r="T809" s="41" t="str">
        <f aca="false">IF(S809&lt;setMorningEnd,"Morning",IF(S809&lt;setAfternoonEnd,"Afternoon","Evening"))</f>
        <v>Evening</v>
      </c>
      <c r="U809" s="41" t="str">
        <f aca="false">IF(J809&gt;=setLarge,"Large",IF(J809&gt;=setMedium,"Medium","Small"))</f>
        <v>Small</v>
      </c>
      <c r="V809" s="41" t="str">
        <f aca="false">IF(P809&gt;=setExc,"Excellent",IF(P809&gt;=setGood,"Good",IF(P809&gt;=setAvg,"Average","Poor")))</f>
        <v>Excellent</v>
      </c>
    </row>
    <row r="810" customFormat="false" ht="15" hidden="false" customHeight="false" outlineLevel="0" collapsed="false">
      <c r="A810" s="41" t="s">
        <v>988</v>
      </c>
      <c r="B810" s="41" t="s">
        <v>189</v>
      </c>
      <c r="C810" s="41" t="s">
        <v>86</v>
      </c>
      <c r="D810" s="41" t="s">
        <v>105</v>
      </c>
      <c r="E810" s="41" t="s">
        <v>102</v>
      </c>
      <c r="F810" s="41" t="s">
        <v>81</v>
      </c>
      <c r="G810" s="42" t="n">
        <v>17.75</v>
      </c>
      <c r="H810" s="41" t="n">
        <v>1</v>
      </c>
      <c r="I810" s="42" t="n">
        <v>0.8875</v>
      </c>
      <c r="J810" s="42" t="n">
        <v>18.6375</v>
      </c>
      <c r="K810" s="43" t="n">
        <v>43479</v>
      </c>
      <c r="L810" s="44" t="n">
        <v>0.443055555555556</v>
      </c>
      <c r="M810" s="41" t="s">
        <v>97</v>
      </c>
      <c r="N810" s="42" t="n">
        <v>17.75</v>
      </c>
      <c r="O810" s="42" t="n">
        <v>0.8875</v>
      </c>
      <c r="P810" s="45" t="n">
        <v>8.6</v>
      </c>
      <c r="Q810" s="41" t="str">
        <f aca="false">CHOOSE(MONTH(K810),"Jan","Feb","Mar","Apr","May","Jun","Jul","Aug","Sep","Oct","Nov","Dec")</f>
        <v>Jan</v>
      </c>
      <c r="R810" s="41" t="n">
        <f aca="false">INT((K810-setMinDate)/7)+1</f>
        <v>2</v>
      </c>
      <c r="S810" s="41" t="n">
        <f aca="false">HOUR(L810)</f>
        <v>10</v>
      </c>
      <c r="T810" s="41" t="str">
        <f aca="false">IF(S810&lt;setMorningEnd,"Morning",IF(S810&lt;setAfternoonEnd,"Afternoon","Evening"))</f>
        <v>Morning</v>
      </c>
      <c r="U810" s="41" t="str">
        <f aca="false">IF(J810&gt;=setLarge,"Large",IF(J810&gt;=setMedium,"Medium","Small"))</f>
        <v>Small</v>
      </c>
      <c r="V810" s="41" t="str">
        <f aca="false">IF(P810&gt;=setExc,"Excellent",IF(P810&gt;=setGood,"Good",IF(P810&gt;=setAvg,"Average","Poor")))</f>
        <v>Good</v>
      </c>
    </row>
    <row r="811" customFormat="false" ht="15" hidden="false" customHeight="false" outlineLevel="0" collapsed="false">
      <c r="A811" s="41" t="s">
        <v>989</v>
      </c>
      <c r="B811" s="41" t="s">
        <v>180</v>
      </c>
      <c r="C811" s="41" t="s">
        <v>87</v>
      </c>
      <c r="D811" s="41" t="s">
        <v>105</v>
      </c>
      <c r="E811" s="41" t="s">
        <v>102</v>
      </c>
      <c r="F811" s="41" t="s">
        <v>79</v>
      </c>
      <c r="G811" s="42" t="n">
        <v>62.18</v>
      </c>
      <c r="H811" s="41" t="n">
        <v>10</v>
      </c>
      <c r="I811" s="42" t="n">
        <v>31.09</v>
      </c>
      <c r="J811" s="42" t="n">
        <v>652.89</v>
      </c>
      <c r="K811" s="43" t="n">
        <v>43496</v>
      </c>
      <c r="L811" s="44" t="n">
        <v>0.439583333333333</v>
      </c>
      <c r="M811" s="41" t="s">
        <v>98</v>
      </c>
      <c r="N811" s="42" t="n">
        <v>621.8</v>
      </c>
      <c r="O811" s="42" t="n">
        <v>31.09</v>
      </c>
      <c r="P811" s="45" t="n">
        <v>6</v>
      </c>
      <c r="Q811" s="41" t="str">
        <f aca="false">CHOOSE(MONTH(K811),"Jan","Feb","Mar","Apr","May","Jun","Jul","Aug","Sep","Oct","Nov","Dec")</f>
        <v>Jan</v>
      </c>
      <c r="R811" s="41" t="n">
        <f aca="false">INT((K811-setMinDate)/7)+1</f>
        <v>5</v>
      </c>
      <c r="S811" s="41" t="n">
        <f aca="false">HOUR(L811)</f>
        <v>10</v>
      </c>
      <c r="T811" s="41" t="str">
        <f aca="false">IF(S811&lt;setMorningEnd,"Morning",IF(S811&lt;setAfternoonEnd,"Afternoon","Evening"))</f>
        <v>Morning</v>
      </c>
      <c r="U811" s="41" t="str">
        <f aca="false">IF(J811&gt;=setLarge,"Large",IF(J811&gt;=setMedium,"Medium","Small"))</f>
        <v>Large</v>
      </c>
      <c r="V811" s="41" t="str">
        <f aca="false">IF(P811&gt;=setExc,"Excellent",IF(P811&gt;=setGood,"Good",IF(P811&gt;=setAvg,"Average","Poor")))</f>
        <v>Average</v>
      </c>
    </row>
    <row r="812" customFormat="false" ht="15" hidden="false" customHeight="false" outlineLevel="0" collapsed="false">
      <c r="A812" s="41" t="s">
        <v>990</v>
      </c>
      <c r="B812" s="41" t="s">
        <v>189</v>
      </c>
      <c r="C812" s="41" t="s">
        <v>86</v>
      </c>
      <c r="D812" s="41" t="s">
        <v>105</v>
      </c>
      <c r="E812" s="41" t="s">
        <v>103</v>
      </c>
      <c r="F812" s="41" t="s">
        <v>81</v>
      </c>
      <c r="G812" s="42" t="n">
        <v>10.75</v>
      </c>
      <c r="H812" s="41" t="n">
        <v>8</v>
      </c>
      <c r="I812" s="42" t="n">
        <v>4.3</v>
      </c>
      <c r="J812" s="42" t="n">
        <v>90.3</v>
      </c>
      <c r="K812" s="43" t="n">
        <v>43539</v>
      </c>
      <c r="L812" s="44" t="n">
        <v>0.609722222222222</v>
      </c>
      <c r="M812" s="41" t="s">
        <v>98</v>
      </c>
      <c r="N812" s="42" t="n">
        <v>86</v>
      </c>
      <c r="O812" s="42" t="n">
        <v>4.3</v>
      </c>
      <c r="P812" s="45" t="n">
        <v>6.2</v>
      </c>
      <c r="Q812" s="41" t="str">
        <f aca="false">CHOOSE(MONTH(K812),"Jan","Feb","Mar","Apr","May","Jun","Jul","Aug","Sep","Oct","Nov","Dec")</f>
        <v>Mar</v>
      </c>
      <c r="R812" s="41" t="n">
        <f aca="false">INT((K812-setMinDate)/7)+1</f>
        <v>11</v>
      </c>
      <c r="S812" s="41" t="n">
        <f aca="false">HOUR(L812)</f>
        <v>14</v>
      </c>
      <c r="T812" s="41" t="str">
        <f aca="false">IF(S812&lt;setMorningEnd,"Morning",IF(S812&lt;setAfternoonEnd,"Afternoon","Evening"))</f>
        <v>Afternoon</v>
      </c>
      <c r="U812" s="41" t="str">
        <f aca="false">IF(J812&gt;=setLarge,"Large",IF(J812&gt;=setMedium,"Medium","Small"))</f>
        <v>Small</v>
      </c>
      <c r="V812" s="41" t="str">
        <f aca="false">IF(P812&gt;=setExc,"Excellent",IF(P812&gt;=setGood,"Good",IF(P812&gt;=setAvg,"Average","Poor")))</f>
        <v>Average</v>
      </c>
    </row>
    <row r="813" customFormat="false" ht="15" hidden="false" customHeight="false" outlineLevel="0" collapsed="false">
      <c r="A813" s="41" t="s">
        <v>991</v>
      </c>
      <c r="B813" s="41" t="s">
        <v>178</v>
      </c>
      <c r="C813" s="41" t="s">
        <v>85</v>
      </c>
      <c r="D813" s="41" t="s">
        <v>105</v>
      </c>
      <c r="E813" s="41" t="s">
        <v>102</v>
      </c>
      <c r="F813" s="41" t="s">
        <v>78</v>
      </c>
      <c r="G813" s="42" t="n">
        <v>40.26</v>
      </c>
      <c r="H813" s="41" t="n">
        <v>10</v>
      </c>
      <c r="I813" s="42" t="n">
        <v>20.13</v>
      </c>
      <c r="J813" s="42" t="n">
        <v>422.73</v>
      </c>
      <c r="K813" s="43" t="n">
        <v>43520</v>
      </c>
      <c r="L813" s="44" t="n">
        <v>0.754166666666667</v>
      </c>
      <c r="M813" s="41" t="s">
        <v>99</v>
      </c>
      <c r="N813" s="42" t="n">
        <v>402.6</v>
      </c>
      <c r="O813" s="42" t="n">
        <v>20.13</v>
      </c>
      <c r="P813" s="45" t="n">
        <v>5</v>
      </c>
      <c r="Q813" s="41" t="str">
        <f aca="false">CHOOSE(MONTH(K813),"Jan","Feb","Mar","Apr","May","Jun","Jul","Aug","Sep","Oct","Nov","Dec")</f>
        <v>Feb</v>
      </c>
      <c r="R813" s="41" t="n">
        <f aca="false">INT((K813-setMinDate)/7)+1</f>
        <v>8</v>
      </c>
      <c r="S813" s="41" t="n">
        <f aca="false">HOUR(L813)</f>
        <v>18</v>
      </c>
      <c r="T813" s="41" t="str">
        <f aca="false">IF(S813&lt;setMorningEnd,"Morning",IF(S813&lt;setAfternoonEnd,"Afternoon","Evening"))</f>
        <v>Evening</v>
      </c>
      <c r="U813" s="41" t="str">
        <f aca="false">IF(J813&gt;=setLarge,"Large",IF(J813&gt;=setMedium,"Medium","Small"))</f>
        <v>Medium</v>
      </c>
      <c r="V813" s="41" t="str">
        <f aca="false">IF(P813&gt;=setExc,"Excellent",IF(P813&gt;=setGood,"Good",IF(P813&gt;=setAvg,"Average","Poor")))</f>
        <v>Average</v>
      </c>
    </row>
    <row r="814" customFormat="false" ht="15" hidden="false" customHeight="false" outlineLevel="0" collapsed="false">
      <c r="A814" s="41" t="s">
        <v>992</v>
      </c>
      <c r="B814" s="41" t="s">
        <v>180</v>
      </c>
      <c r="C814" s="41" t="s">
        <v>87</v>
      </c>
      <c r="D814" s="41" t="s">
        <v>104</v>
      </c>
      <c r="E814" s="41" t="s">
        <v>102</v>
      </c>
      <c r="F814" s="41" t="s">
        <v>77</v>
      </c>
      <c r="G814" s="42" t="n">
        <v>64.97</v>
      </c>
      <c r="H814" s="41" t="n">
        <v>5</v>
      </c>
      <c r="I814" s="42" t="n">
        <v>16.2425</v>
      </c>
      <c r="J814" s="42" t="n">
        <v>341.0925</v>
      </c>
      <c r="K814" s="43" t="n">
        <v>43504</v>
      </c>
      <c r="L814" s="44" t="n">
        <v>0.536111111111111</v>
      </c>
      <c r="M814" s="41" t="s">
        <v>99</v>
      </c>
      <c r="N814" s="42" t="n">
        <v>324.85</v>
      </c>
      <c r="O814" s="42" t="n">
        <v>16.2425</v>
      </c>
      <c r="P814" s="45" t="n">
        <v>6.5</v>
      </c>
      <c r="Q814" s="41" t="str">
        <f aca="false">CHOOSE(MONTH(K814),"Jan","Feb","Mar","Apr","May","Jun","Jul","Aug","Sep","Oct","Nov","Dec")</f>
        <v>Feb</v>
      </c>
      <c r="R814" s="41" t="n">
        <f aca="false">INT((K814-setMinDate)/7)+1</f>
        <v>6</v>
      </c>
      <c r="S814" s="41" t="n">
        <f aca="false">HOUR(L814)</f>
        <v>12</v>
      </c>
      <c r="T814" s="41" t="str">
        <f aca="false">IF(S814&lt;setMorningEnd,"Morning",IF(S814&lt;setAfternoonEnd,"Afternoon","Evening"))</f>
        <v>Afternoon</v>
      </c>
      <c r="U814" s="41" t="str">
        <f aca="false">IF(J814&gt;=setLarge,"Large",IF(J814&gt;=setMedium,"Medium","Small"))</f>
        <v>Medium</v>
      </c>
      <c r="V814" s="41" t="str">
        <f aca="false">IF(P814&gt;=setExc,"Excellent",IF(P814&gt;=setGood,"Good",IF(P814&gt;=setAvg,"Average","Poor")))</f>
        <v>Average</v>
      </c>
    </row>
    <row r="815" customFormat="false" ht="15" hidden="false" customHeight="false" outlineLevel="0" collapsed="false">
      <c r="A815" s="41" t="s">
        <v>993</v>
      </c>
      <c r="B815" s="41" t="s">
        <v>178</v>
      </c>
      <c r="C815" s="41" t="s">
        <v>85</v>
      </c>
      <c r="D815" s="41" t="s">
        <v>105</v>
      </c>
      <c r="E815" s="41" t="s">
        <v>103</v>
      </c>
      <c r="F815" s="41" t="s">
        <v>78</v>
      </c>
      <c r="G815" s="42" t="n">
        <v>95.15</v>
      </c>
      <c r="H815" s="41" t="n">
        <v>1</v>
      </c>
      <c r="I815" s="42" t="n">
        <v>4.7575</v>
      </c>
      <c r="J815" s="42" t="n">
        <v>99.9075</v>
      </c>
      <c r="K815" s="43" t="n">
        <v>43546</v>
      </c>
      <c r="L815" s="44" t="n">
        <v>0.583333333333333</v>
      </c>
      <c r="M815" s="41" t="s">
        <v>97</v>
      </c>
      <c r="N815" s="42" t="n">
        <v>95.15</v>
      </c>
      <c r="O815" s="42" t="n">
        <v>4.7575</v>
      </c>
      <c r="P815" s="45" t="n">
        <v>6</v>
      </c>
      <c r="Q815" s="41" t="str">
        <f aca="false">CHOOSE(MONTH(K815),"Jan","Feb","Mar","Apr","May","Jun","Jul","Aug","Sep","Oct","Nov","Dec")</f>
        <v>Mar</v>
      </c>
      <c r="R815" s="41" t="n">
        <f aca="false">INT((K815-setMinDate)/7)+1</f>
        <v>12</v>
      </c>
      <c r="S815" s="41" t="n">
        <f aca="false">HOUR(L815)</f>
        <v>14</v>
      </c>
      <c r="T815" s="41" t="str">
        <f aca="false">IF(S815&lt;setMorningEnd,"Morning",IF(S815&lt;setAfternoonEnd,"Afternoon","Evening"))</f>
        <v>Afternoon</v>
      </c>
      <c r="U815" s="41" t="str">
        <f aca="false">IF(J815&gt;=setLarge,"Large",IF(J815&gt;=setMedium,"Medium","Small"))</f>
        <v>Small</v>
      </c>
      <c r="V815" s="41" t="str">
        <f aca="false">IF(P815&gt;=setExc,"Excellent",IF(P815&gt;=setGood,"Good",IF(P815&gt;=setAvg,"Average","Poor")))</f>
        <v>Average</v>
      </c>
    </row>
    <row r="816" customFormat="false" ht="15" hidden="false" customHeight="false" outlineLevel="0" collapsed="false">
      <c r="A816" s="41" t="s">
        <v>994</v>
      </c>
      <c r="B816" s="41" t="s">
        <v>178</v>
      </c>
      <c r="C816" s="41" t="s">
        <v>85</v>
      </c>
      <c r="D816" s="41" t="s">
        <v>104</v>
      </c>
      <c r="E816" s="41" t="s">
        <v>102</v>
      </c>
      <c r="F816" s="41" t="s">
        <v>78</v>
      </c>
      <c r="G816" s="42" t="n">
        <v>48.62</v>
      </c>
      <c r="H816" s="41" t="n">
        <v>8</v>
      </c>
      <c r="I816" s="42" t="n">
        <v>19.448</v>
      </c>
      <c r="J816" s="42" t="n">
        <v>408.408</v>
      </c>
      <c r="K816" s="43" t="n">
        <v>43489</v>
      </c>
      <c r="L816" s="44" t="n">
        <v>0.45625</v>
      </c>
      <c r="M816" s="41" t="s">
        <v>97</v>
      </c>
      <c r="N816" s="42" t="n">
        <v>388.96</v>
      </c>
      <c r="O816" s="42" t="n">
        <v>19.448</v>
      </c>
      <c r="P816" s="45" t="n">
        <v>5</v>
      </c>
      <c r="Q816" s="41" t="str">
        <f aca="false">CHOOSE(MONTH(K816),"Jan","Feb","Mar","Apr","May","Jun","Jul","Aug","Sep","Oct","Nov","Dec")</f>
        <v>Jan</v>
      </c>
      <c r="R816" s="41" t="n">
        <f aca="false">INT((K816-setMinDate)/7)+1</f>
        <v>4</v>
      </c>
      <c r="S816" s="41" t="n">
        <f aca="false">HOUR(L816)</f>
        <v>10</v>
      </c>
      <c r="T816" s="41" t="str">
        <f aca="false">IF(S816&lt;setMorningEnd,"Morning",IF(S816&lt;setAfternoonEnd,"Afternoon","Evening"))</f>
        <v>Morning</v>
      </c>
      <c r="U816" s="41" t="str">
        <f aca="false">IF(J816&gt;=setLarge,"Large",IF(J816&gt;=setMedium,"Medium","Small"))</f>
        <v>Medium</v>
      </c>
      <c r="V816" s="41" t="str">
        <f aca="false">IF(P816&gt;=setExc,"Excellent",IF(P816&gt;=setGood,"Good",IF(P816&gt;=setAvg,"Average","Poor")))</f>
        <v>Average</v>
      </c>
    </row>
    <row r="817" customFormat="false" ht="15" hidden="false" customHeight="false" outlineLevel="0" collapsed="false">
      <c r="A817" s="41" t="s">
        <v>995</v>
      </c>
      <c r="B817" s="41" t="s">
        <v>189</v>
      </c>
      <c r="C817" s="41" t="s">
        <v>86</v>
      </c>
      <c r="D817" s="41" t="s">
        <v>105</v>
      </c>
      <c r="E817" s="41" t="s">
        <v>102</v>
      </c>
      <c r="F817" s="41" t="s">
        <v>76</v>
      </c>
      <c r="G817" s="42" t="n">
        <v>53.21</v>
      </c>
      <c r="H817" s="41" t="n">
        <v>8</v>
      </c>
      <c r="I817" s="42" t="n">
        <v>21.284</v>
      </c>
      <c r="J817" s="42" t="n">
        <v>446.964</v>
      </c>
      <c r="K817" s="43" t="n">
        <v>43538</v>
      </c>
      <c r="L817" s="44" t="n">
        <v>0.697916666666667</v>
      </c>
      <c r="M817" s="41" t="s">
        <v>98</v>
      </c>
      <c r="N817" s="42" t="n">
        <v>425.68</v>
      </c>
      <c r="O817" s="42" t="n">
        <v>21.284</v>
      </c>
      <c r="P817" s="45" t="n">
        <v>5</v>
      </c>
      <c r="Q817" s="41" t="str">
        <f aca="false">CHOOSE(MONTH(K817),"Jan","Feb","Mar","Apr","May","Jun","Jul","Aug","Sep","Oct","Nov","Dec")</f>
        <v>Mar</v>
      </c>
      <c r="R817" s="41" t="n">
        <f aca="false">INT((K817-setMinDate)/7)+1</f>
        <v>11</v>
      </c>
      <c r="S817" s="41" t="n">
        <f aca="false">HOUR(L817)</f>
        <v>16</v>
      </c>
      <c r="T817" s="41" t="str">
        <f aca="false">IF(S817&lt;setMorningEnd,"Morning",IF(S817&lt;setAfternoonEnd,"Afternoon","Evening"))</f>
        <v>Afternoon</v>
      </c>
      <c r="U817" s="41" t="str">
        <f aca="false">IF(J817&gt;=setLarge,"Large",IF(J817&gt;=setMedium,"Medium","Small"))</f>
        <v>Medium</v>
      </c>
      <c r="V817" s="41" t="str">
        <f aca="false">IF(P817&gt;=setExc,"Excellent",IF(P817&gt;=setGood,"Good",IF(P817&gt;=setAvg,"Average","Poor")))</f>
        <v>Average</v>
      </c>
    </row>
    <row r="818" customFormat="false" ht="15" hidden="false" customHeight="false" outlineLevel="0" collapsed="false">
      <c r="A818" s="41" t="s">
        <v>996</v>
      </c>
      <c r="B818" s="41" t="s">
        <v>180</v>
      </c>
      <c r="C818" s="41" t="s">
        <v>87</v>
      </c>
      <c r="D818" s="41" t="s">
        <v>105</v>
      </c>
      <c r="E818" s="41" t="s">
        <v>102</v>
      </c>
      <c r="F818" s="41" t="s">
        <v>79</v>
      </c>
      <c r="G818" s="42" t="n">
        <v>45.44</v>
      </c>
      <c r="H818" s="41" t="n">
        <v>7</v>
      </c>
      <c r="I818" s="42" t="n">
        <v>15.904</v>
      </c>
      <c r="J818" s="42" t="n">
        <v>333.984</v>
      </c>
      <c r="K818" s="43" t="n">
        <v>43488</v>
      </c>
      <c r="L818" s="44" t="n">
        <v>0.46875</v>
      </c>
      <c r="M818" s="41" t="s">
        <v>97</v>
      </c>
      <c r="N818" s="42" t="n">
        <v>318.08</v>
      </c>
      <c r="O818" s="42" t="n">
        <v>15.904</v>
      </c>
      <c r="P818" s="45" t="n">
        <v>9.2</v>
      </c>
      <c r="Q818" s="41" t="str">
        <f aca="false">CHOOSE(MONTH(K818),"Jan","Feb","Mar","Apr","May","Jun","Jul","Aug","Sep","Oct","Nov","Dec")</f>
        <v>Jan</v>
      </c>
      <c r="R818" s="41" t="n">
        <f aca="false">INT((K818-setMinDate)/7)+1</f>
        <v>4</v>
      </c>
      <c r="S818" s="41" t="n">
        <f aca="false">HOUR(L818)</f>
        <v>11</v>
      </c>
      <c r="T818" s="41" t="str">
        <f aca="false">IF(S818&lt;setMorningEnd,"Morning",IF(S818&lt;setAfternoonEnd,"Afternoon","Evening"))</f>
        <v>Morning</v>
      </c>
      <c r="U818" s="41" t="str">
        <f aca="false">IF(J818&gt;=setLarge,"Large",IF(J818&gt;=setMedium,"Medium","Small"))</f>
        <v>Medium</v>
      </c>
      <c r="V818" s="41" t="str">
        <f aca="false">IF(P818&gt;=setExc,"Excellent",IF(P818&gt;=setGood,"Good",IF(P818&gt;=setAvg,"Average","Poor")))</f>
        <v>Excellent</v>
      </c>
    </row>
    <row r="819" customFormat="false" ht="15" hidden="false" customHeight="false" outlineLevel="0" collapsed="false">
      <c r="A819" s="41" t="s">
        <v>997</v>
      </c>
      <c r="B819" s="41" t="s">
        <v>178</v>
      </c>
      <c r="C819" s="41" t="s">
        <v>85</v>
      </c>
      <c r="D819" s="41" t="s">
        <v>105</v>
      </c>
      <c r="E819" s="41" t="s">
        <v>103</v>
      </c>
      <c r="F819" s="41" t="s">
        <v>76</v>
      </c>
      <c r="G819" s="42" t="n">
        <v>33.88</v>
      </c>
      <c r="H819" s="41" t="n">
        <v>8</v>
      </c>
      <c r="I819" s="42" t="n">
        <v>13.552</v>
      </c>
      <c r="J819" s="42" t="n">
        <v>284.592</v>
      </c>
      <c r="K819" s="43" t="n">
        <v>43484</v>
      </c>
      <c r="L819" s="44" t="n">
        <v>0.853472222222222</v>
      </c>
      <c r="M819" s="41" t="s">
        <v>98</v>
      </c>
      <c r="N819" s="42" t="n">
        <v>271.04</v>
      </c>
      <c r="O819" s="42" t="n">
        <v>13.552</v>
      </c>
      <c r="P819" s="45" t="n">
        <v>9.6</v>
      </c>
      <c r="Q819" s="41" t="str">
        <f aca="false">CHOOSE(MONTH(K819),"Jan","Feb","Mar","Apr","May","Jun","Jul","Aug","Sep","Oct","Nov","Dec")</f>
        <v>Jan</v>
      </c>
      <c r="R819" s="41" t="n">
        <f aca="false">INT((K819-setMinDate)/7)+1</f>
        <v>3</v>
      </c>
      <c r="S819" s="41" t="n">
        <f aca="false">HOUR(L819)</f>
        <v>20</v>
      </c>
      <c r="T819" s="41" t="str">
        <f aca="false">IF(S819&lt;setMorningEnd,"Morning",IF(S819&lt;setAfternoonEnd,"Afternoon","Evening"))</f>
        <v>Evening</v>
      </c>
      <c r="U819" s="41" t="str">
        <f aca="false">IF(J819&gt;=setLarge,"Large",IF(J819&gt;=setMedium,"Medium","Small"))</f>
        <v>Medium</v>
      </c>
      <c r="V819" s="41" t="str">
        <f aca="false">IF(P819&gt;=setExc,"Excellent",IF(P819&gt;=setGood,"Good",IF(P819&gt;=setAvg,"Average","Poor")))</f>
        <v>Excellent</v>
      </c>
    </row>
    <row r="820" customFormat="false" ht="15" hidden="false" customHeight="false" outlineLevel="0" collapsed="false">
      <c r="A820" s="41" t="s">
        <v>998</v>
      </c>
      <c r="B820" s="41" t="s">
        <v>189</v>
      </c>
      <c r="C820" s="41" t="s">
        <v>86</v>
      </c>
      <c r="D820" s="41" t="s">
        <v>104</v>
      </c>
      <c r="E820" s="41" t="s">
        <v>103</v>
      </c>
      <c r="F820" s="41" t="s">
        <v>81</v>
      </c>
      <c r="G820" s="42" t="n">
        <v>96.16</v>
      </c>
      <c r="H820" s="41" t="n">
        <v>4</v>
      </c>
      <c r="I820" s="42" t="n">
        <v>19.232</v>
      </c>
      <c r="J820" s="42" t="n">
        <v>403.872</v>
      </c>
      <c r="K820" s="43" t="n">
        <v>43492</v>
      </c>
      <c r="L820" s="44" t="n">
        <v>0.835416666666667</v>
      </c>
      <c r="M820" s="41" t="s">
        <v>99</v>
      </c>
      <c r="N820" s="42" t="n">
        <v>384.64</v>
      </c>
      <c r="O820" s="42" t="n">
        <v>19.232</v>
      </c>
      <c r="P820" s="45" t="n">
        <v>8.4</v>
      </c>
      <c r="Q820" s="41" t="str">
        <f aca="false">CHOOSE(MONTH(K820),"Jan","Feb","Mar","Apr","May","Jun","Jul","Aug","Sep","Oct","Nov","Dec")</f>
        <v>Jan</v>
      </c>
      <c r="R820" s="41" t="n">
        <f aca="false">INT((K820-setMinDate)/7)+1</f>
        <v>4</v>
      </c>
      <c r="S820" s="41" t="n">
        <f aca="false">HOUR(L820)</f>
        <v>20</v>
      </c>
      <c r="T820" s="41" t="str">
        <f aca="false">IF(S820&lt;setMorningEnd,"Morning",IF(S820&lt;setAfternoonEnd,"Afternoon","Evening"))</f>
        <v>Evening</v>
      </c>
      <c r="U820" s="41" t="str">
        <f aca="false">IF(J820&gt;=setLarge,"Large",IF(J820&gt;=setMedium,"Medium","Small"))</f>
        <v>Medium</v>
      </c>
      <c r="V820" s="41" t="str">
        <f aca="false">IF(P820&gt;=setExc,"Excellent",IF(P820&gt;=setGood,"Good",IF(P820&gt;=setAvg,"Average","Poor")))</f>
        <v>Good</v>
      </c>
    </row>
    <row r="821" customFormat="false" ht="15" hidden="false" customHeight="false" outlineLevel="0" collapsed="false">
      <c r="A821" s="41" t="s">
        <v>999</v>
      </c>
      <c r="B821" s="41" t="s">
        <v>189</v>
      </c>
      <c r="C821" s="41" t="s">
        <v>86</v>
      </c>
      <c r="D821" s="41" t="s">
        <v>104</v>
      </c>
      <c r="E821" s="41" t="s">
        <v>103</v>
      </c>
      <c r="F821" s="41" t="s">
        <v>76</v>
      </c>
      <c r="G821" s="42" t="n">
        <v>47.16</v>
      </c>
      <c r="H821" s="41" t="n">
        <v>5</v>
      </c>
      <c r="I821" s="42" t="n">
        <v>11.79</v>
      </c>
      <c r="J821" s="42" t="n">
        <v>247.59</v>
      </c>
      <c r="K821" s="43" t="n">
        <v>43499</v>
      </c>
      <c r="L821" s="44" t="n">
        <v>0.607638888888889</v>
      </c>
      <c r="M821" s="41" t="s">
        <v>99</v>
      </c>
      <c r="N821" s="42" t="n">
        <v>235.8</v>
      </c>
      <c r="O821" s="42" t="n">
        <v>11.79</v>
      </c>
      <c r="P821" s="45" t="n">
        <v>6</v>
      </c>
      <c r="Q821" s="41" t="str">
        <f aca="false">CHOOSE(MONTH(K821),"Jan","Feb","Mar","Apr","May","Jun","Jul","Aug","Sep","Oct","Nov","Dec")</f>
        <v>Feb</v>
      </c>
      <c r="R821" s="41" t="n">
        <f aca="false">INT((K821-setMinDate)/7)+1</f>
        <v>5</v>
      </c>
      <c r="S821" s="41" t="n">
        <f aca="false">HOUR(L821)</f>
        <v>14</v>
      </c>
      <c r="T821" s="41" t="str">
        <f aca="false">IF(S821&lt;setMorningEnd,"Morning",IF(S821&lt;setAfternoonEnd,"Afternoon","Evening"))</f>
        <v>Afternoon</v>
      </c>
      <c r="U821" s="41" t="str">
        <f aca="false">IF(J821&gt;=setLarge,"Large",IF(J821&gt;=setMedium,"Medium","Small"))</f>
        <v>Small</v>
      </c>
      <c r="V821" s="41" t="str">
        <f aca="false">IF(P821&gt;=setExc,"Excellent",IF(P821&gt;=setGood,"Good",IF(P821&gt;=setAvg,"Average","Poor")))</f>
        <v>Average</v>
      </c>
    </row>
    <row r="822" customFormat="false" ht="15" hidden="false" customHeight="false" outlineLevel="0" collapsed="false">
      <c r="A822" s="41" t="s">
        <v>1000</v>
      </c>
      <c r="B822" s="41" t="s">
        <v>189</v>
      </c>
      <c r="C822" s="41" t="s">
        <v>86</v>
      </c>
      <c r="D822" s="41" t="s">
        <v>105</v>
      </c>
      <c r="E822" s="41" t="s">
        <v>103</v>
      </c>
      <c r="F822" s="41" t="s">
        <v>78</v>
      </c>
      <c r="G822" s="42" t="n">
        <v>52.89</v>
      </c>
      <c r="H822" s="41" t="n">
        <v>4</v>
      </c>
      <c r="I822" s="42" t="n">
        <v>10.578</v>
      </c>
      <c r="J822" s="42" t="n">
        <v>222.138</v>
      </c>
      <c r="K822" s="43" t="n">
        <v>43549</v>
      </c>
      <c r="L822" s="44" t="n">
        <v>0.688888888888889</v>
      </c>
      <c r="M822" s="41" t="s">
        <v>98</v>
      </c>
      <c r="N822" s="42" t="n">
        <v>211.56</v>
      </c>
      <c r="O822" s="42" t="n">
        <v>10.578</v>
      </c>
      <c r="P822" s="45" t="n">
        <v>6.7</v>
      </c>
      <c r="Q822" s="41" t="str">
        <f aca="false">CHOOSE(MONTH(K822),"Jan","Feb","Mar","Apr","May","Jun","Jul","Aug","Sep","Oct","Nov","Dec")</f>
        <v>Mar</v>
      </c>
      <c r="R822" s="41" t="n">
        <f aca="false">INT((K822-setMinDate)/7)+1</f>
        <v>12</v>
      </c>
      <c r="S822" s="41" t="n">
        <f aca="false">HOUR(L822)</f>
        <v>16</v>
      </c>
      <c r="T822" s="41" t="str">
        <f aca="false">IF(S822&lt;setMorningEnd,"Morning",IF(S822&lt;setAfternoonEnd,"Afternoon","Evening"))</f>
        <v>Afternoon</v>
      </c>
      <c r="U822" s="41" t="str">
        <f aca="false">IF(J822&gt;=setLarge,"Large",IF(J822&gt;=setMedium,"Medium","Small"))</f>
        <v>Small</v>
      </c>
      <c r="V822" s="41" t="str">
        <f aca="false">IF(P822&gt;=setExc,"Excellent",IF(P822&gt;=setGood,"Good",IF(P822&gt;=setAvg,"Average","Poor")))</f>
        <v>Average</v>
      </c>
    </row>
    <row r="823" customFormat="false" ht="15" hidden="false" customHeight="false" outlineLevel="0" collapsed="false">
      <c r="A823" s="41" t="s">
        <v>1001</v>
      </c>
      <c r="B823" s="41" t="s">
        <v>178</v>
      </c>
      <c r="C823" s="41" t="s">
        <v>85</v>
      </c>
      <c r="D823" s="41" t="s">
        <v>104</v>
      </c>
      <c r="E823" s="41" t="s">
        <v>102</v>
      </c>
      <c r="F823" s="41" t="s">
        <v>80</v>
      </c>
      <c r="G823" s="42" t="n">
        <v>47.68</v>
      </c>
      <c r="H823" s="41" t="n">
        <v>2</v>
      </c>
      <c r="I823" s="42" t="n">
        <v>4.768</v>
      </c>
      <c r="J823" s="42" t="n">
        <v>100.128</v>
      </c>
      <c r="K823" s="43" t="n">
        <v>43520</v>
      </c>
      <c r="L823" s="44" t="n">
        <v>0.423611111111111</v>
      </c>
      <c r="M823" s="41" t="s">
        <v>99</v>
      </c>
      <c r="N823" s="42" t="n">
        <v>95.36</v>
      </c>
      <c r="O823" s="42" t="n">
        <v>4.768</v>
      </c>
      <c r="P823" s="45" t="n">
        <v>4.1</v>
      </c>
      <c r="Q823" s="41" t="str">
        <f aca="false">CHOOSE(MONTH(K823),"Jan","Feb","Mar","Apr","May","Jun","Jul","Aug","Sep","Oct","Nov","Dec")</f>
        <v>Feb</v>
      </c>
      <c r="R823" s="41" t="n">
        <f aca="false">INT((K823-setMinDate)/7)+1</f>
        <v>8</v>
      </c>
      <c r="S823" s="41" t="n">
        <f aca="false">HOUR(L823)</f>
        <v>10</v>
      </c>
      <c r="T823" s="41" t="str">
        <f aca="false">IF(S823&lt;setMorningEnd,"Morning",IF(S823&lt;setAfternoonEnd,"Afternoon","Evening"))</f>
        <v>Morning</v>
      </c>
      <c r="U823" s="41" t="str">
        <f aca="false">IF(J823&gt;=setLarge,"Large",IF(J823&gt;=setMedium,"Medium","Small"))</f>
        <v>Small</v>
      </c>
      <c r="V823" s="41" t="str">
        <f aca="false">IF(P823&gt;=setExc,"Excellent",IF(P823&gt;=setGood,"Good",IF(P823&gt;=setAvg,"Average","Poor")))</f>
        <v>Poor</v>
      </c>
    </row>
    <row r="824" customFormat="false" ht="15" hidden="false" customHeight="false" outlineLevel="0" collapsed="false">
      <c r="A824" s="41" t="s">
        <v>1002</v>
      </c>
      <c r="B824" s="41" t="s">
        <v>180</v>
      </c>
      <c r="C824" s="41" t="s">
        <v>87</v>
      </c>
      <c r="D824" s="41" t="s">
        <v>104</v>
      </c>
      <c r="E824" s="41" t="s">
        <v>103</v>
      </c>
      <c r="F824" s="41" t="s">
        <v>77</v>
      </c>
      <c r="G824" s="42" t="n">
        <v>10.17</v>
      </c>
      <c r="H824" s="41" t="n">
        <v>1</v>
      </c>
      <c r="I824" s="42" t="n">
        <v>0.5085</v>
      </c>
      <c r="J824" s="42" t="n">
        <v>10.6785</v>
      </c>
      <c r="K824" s="43" t="n">
        <v>43503</v>
      </c>
      <c r="L824" s="44" t="n">
        <v>0.59375</v>
      </c>
      <c r="M824" s="41" t="s">
        <v>97</v>
      </c>
      <c r="N824" s="42" t="n">
        <v>10.17</v>
      </c>
      <c r="O824" s="42" t="n">
        <v>0.5085</v>
      </c>
      <c r="P824" s="45" t="n">
        <v>5.9</v>
      </c>
      <c r="Q824" s="41" t="str">
        <f aca="false">CHOOSE(MONTH(K824),"Jan","Feb","Mar","Apr","May","Jun","Jul","Aug","Sep","Oct","Nov","Dec")</f>
        <v>Feb</v>
      </c>
      <c r="R824" s="41" t="n">
        <f aca="false">INT((K824-setMinDate)/7)+1</f>
        <v>6</v>
      </c>
      <c r="S824" s="41" t="n">
        <f aca="false">HOUR(L824)</f>
        <v>14</v>
      </c>
      <c r="T824" s="41" t="str">
        <f aca="false">IF(S824&lt;setMorningEnd,"Morning",IF(S824&lt;setAfternoonEnd,"Afternoon","Evening"))</f>
        <v>Afternoon</v>
      </c>
      <c r="U824" s="41" t="str">
        <f aca="false">IF(J824&gt;=setLarge,"Large",IF(J824&gt;=setMedium,"Medium","Small"))</f>
        <v>Small</v>
      </c>
      <c r="V824" s="41" t="str">
        <f aca="false">IF(P824&gt;=setExc,"Excellent",IF(P824&gt;=setGood,"Good",IF(P824&gt;=setAvg,"Average","Poor")))</f>
        <v>Average</v>
      </c>
    </row>
    <row r="825" customFormat="false" ht="15" hidden="false" customHeight="false" outlineLevel="0" collapsed="false">
      <c r="A825" s="41" t="s">
        <v>1003</v>
      </c>
      <c r="B825" s="41" t="s">
        <v>178</v>
      </c>
      <c r="C825" s="41" t="s">
        <v>85</v>
      </c>
      <c r="D825" s="41" t="s">
        <v>105</v>
      </c>
      <c r="E825" s="41" t="s">
        <v>102</v>
      </c>
      <c r="F825" s="41" t="s">
        <v>81</v>
      </c>
      <c r="G825" s="42" t="n">
        <v>68.71</v>
      </c>
      <c r="H825" s="41" t="n">
        <v>3</v>
      </c>
      <c r="I825" s="42" t="n">
        <v>10.3065</v>
      </c>
      <c r="J825" s="42" t="n">
        <v>216.4365</v>
      </c>
      <c r="K825" s="43" t="n">
        <v>43528</v>
      </c>
      <c r="L825" s="44" t="n">
        <v>0.420138888888889</v>
      </c>
      <c r="M825" s="41" t="s">
        <v>97</v>
      </c>
      <c r="N825" s="42" t="n">
        <v>206.13</v>
      </c>
      <c r="O825" s="42" t="n">
        <v>10.3065</v>
      </c>
      <c r="P825" s="45" t="n">
        <v>8.7</v>
      </c>
      <c r="Q825" s="41" t="str">
        <f aca="false">CHOOSE(MONTH(K825),"Jan","Feb","Mar","Apr","May","Jun","Jul","Aug","Sep","Oct","Nov","Dec")</f>
        <v>Mar</v>
      </c>
      <c r="R825" s="41" t="n">
        <f aca="false">INT((K825-setMinDate)/7)+1</f>
        <v>9</v>
      </c>
      <c r="S825" s="41" t="n">
        <f aca="false">HOUR(L825)</f>
        <v>10</v>
      </c>
      <c r="T825" s="41" t="str">
        <f aca="false">IF(S825&lt;setMorningEnd,"Morning",IF(S825&lt;setAfternoonEnd,"Afternoon","Evening"))</f>
        <v>Morning</v>
      </c>
      <c r="U825" s="41" t="str">
        <f aca="false">IF(J825&gt;=setLarge,"Large",IF(J825&gt;=setMedium,"Medium","Small"))</f>
        <v>Small</v>
      </c>
      <c r="V825" s="41" t="str">
        <f aca="false">IF(P825&gt;=setExc,"Excellent",IF(P825&gt;=setGood,"Good",IF(P825&gt;=setAvg,"Average","Poor")))</f>
        <v>Good</v>
      </c>
    </row>
    <row r="826" customFormat="false" ht="15" hidden="false" customHeight="false" outlineLevel="0" collapsed="false">
      <c r="A826" s="41" t="s">
        <v>1004</v>
      </c>
      <c r="B826" s="41" t="s">
        <v>189</v>
      </c>
      <c r="C826" s="41" t="s">
        <v>86</v>
      </c>
      <c r="D826" s="41" t="s">
        <v>104</v>
      </c>
      <c r="E826" s="41" t="s">
        <v>102</v>
      </c>
      <c r="F826" s="41" t="s">
        <v>77</v>
      </c>
      <c r="G826" s="42" t="n">
        <v>60.08</v>
      </c>
      <c r="H826" s="41" t="n">
        <v>7</v>
      </c>
      <c r="I826" s="42" t="n">
        <v>21.028</v>
      </c>
      <c r="J826" s="42" t="n">
        <v>441.588</v>
      </c>
      <c r="K826" s="43" t="n">
        <v>43510</v>
      </c>
      <c r="L826" s="44" t="n">
        <v>0.483333333333333</v>
      </c>
      <c r="M826" s="41" t="s">
        <v>99</v>
      </c>
      <c r="N826" s="42" t="n">
        <v>420.56</v>
      </c>
      <c r="O826" s="42" t="n">
        <v>21.028</v>
      </c>
      <c r="P826" s="45" t="n">
        <v>4.5</v>
      </c>
      <c r="Q826" s="41" t="str">
        <f aca="false">CHOOSE(MONTH(K826),"Jan","Feb","Mar","Apr","May","Jun","Jul","Aug","Sep","Oct","Nov","Dec")</f>
        <v>Feb</v>
      </c>
      <c r="R826" s="41" t="n">
        <f aca="false">INT((K826-setMinDate)/7)+1</f>
        <v>7</v>
      </c>
      <c r="S826" s="41" t="n">
        <f aca="false">HOUR(L826)</f>
        <v>11</v>
      </c>
      <c r="T826" s="41" t="str">
        <f aca="false">IF(S826&lt;setMorningEnd,"Morning",IF(S826&lt;setAfternoonEnd,"Afternoon","Evening"))</f>
        <v>Morning</v>
      </c>
      <c r="U826" s="41" t="str">
        <f aca="false">IF(J826&gt;=setLarge,"Large",IF(J826&gt;=setMedium,"Medium","Small"))</f>
        <v>Medium</v>
      </c>
      <c r="V826" s="41" t="str">
        <f aca="false">IF(P826&gt;=setExc,"Excellent",IF(P826&gt;=setGood,"Good",IF(P826&gt;=setAvg,"Average","Poor")))</f>
        <v>Poor</v>
      </c>
    </row>
    <row r="827" customFormat="false" ht="15" hidden="false" customHeight="false" outlineLevel="0" collapsed="false">
      <c r="A827" s="41" t="s">
        <v>1005</v>
      </c>
      <c r="B827" s="41" t="s">
        <v>178</v>
      </c>
      <c r="C827" s="41" t="s">
        <v>85</v>
      </c>
      <c r="D827" s="41" t="s">
        <v>104</v>
      </c>
      <c r="E827" s="41" t="s">
        <v>102</v>
      </c>
      <c r="F827" s="41" t="s">
        <v>77</v>
      </c>
      <c r="G827" s="42" t="n">
        <v>22.01</v>
      </c>
      <c r="H827" s="41" t="n">
        <v>4</v>
      </c>
      <c r="I827" s="42" t="n">
        <v>4.402</v>
      </c>
      <c r="J827" s="42" t="n">
        <v>92.442</v>
      </c>
      <c r="K827" s="43" t="n">
        <v>43494</v>
      </c>
      <c r="L827" s="44" t="n">
        <v>0.760416666666667</v>
      </c>
      <c r="M827" s="41" t="s">
        <v>99</v>
      </c>
      <c r="N827" s="42" t="n">
        <v>88.04</v>
      </c>
      <c r="O827" s="42" t="n">
        <v>4.402</v>
      </c>
      <c r="P827" s="45" t="n">
        <v>6.6</v>
      </c>
      <c r="Q827" s="41" t="str">
        <f aca="false">CHOOSE(MONTH(K827),"Jan","Feb","Mar","Apr","May","Jun","Jul","Aug","Sep","Oct","Nov","Dec")</f>
        <v>Jan</v>
      </c>
      <c r="R827" s="41" t="n">
        <f aca="false">INT((K827-setMinDate)/7)+1</f>
        <v>5</v>
      </c>
      <c r="S827" s="41" t="n">
        <f aca="false">HOUR(L827)</f>
        <v>18</v>
      </c>
      <c r="T827" s="41" t="str">
        <f aca="false">IF(S827&lt;setMorningEnd,"Morning",IF(S827&lt;setAfternoonEnd,"Afternoon","Evening"))</f>
        <v>Evening</v>
      </c>
      <c r="U827" s="41" t="str">
        <f aca="false">IF(J827&gt;=setLarge,"Large",IF(J827&gt;=setMedium,"Medium","Small"))</f>
        <v>Small</v>
      </c>
      <c r="V827" s="41" t="str">
        <f aca="false">IF(P827&gt;=setExc,"Excellent",IF(P827&gt;=setGood,"Good",IF(P827&gt;=setAvg,"Average","Poor")))</f>
        <v>Average</v>
      </c>
    </row>
    <row r="828" customFormat="false" ht="15" hidden="false" customHeight="false" outlineLevel="0" collapsed="false">
      <c r="A828" s="41" t="s">
        <v>1006</v>
      </c>
      <c r="B828" s="41" t="s">
        <v>189</v>
      </c>
      <c r="C828" s="41" t="s">
        <v>86</v>
      </c>
      <c r="D828" s="41" t="s">
        <v>104</v>
      </c>
      <c r="E828" s="41" t="s">
        <v>102</v>
      </c>
      <c r="F828" s="41" t="s">
        <v>81</v>
      </c>
      <c r="G828" s="42" t="n">
        <v>72.11</v>
      </c>
      <c r="H828" s="41" t="n">
        <v>9</v>
      </c>
      <c r="I828" s="42" t="n">
        <v>32.4495</v>
      </c>
      <c r="J828" s="42" t="n">
        <v>681.4395</v>
      </c>
      <c r="K828" s="43" t="n">
        <v>43493</v>
      </c>
      <c r="L828" s="44" t="n">
        <v>0.578472222222222</v>
      </c>
      <c r="M828" s="41" t="s">
        <v>99</v>
      </c>
      <c r="N828" s="42" t="n">
        <v>648.99</v>
      </c>
      <c r="O828" s="42" t="n">
        <v>32.4495</v>
      </c>
      <c r="P828" s="45" t="n">
        <v>7.7</v>
      </c>
      <c r="Q828" s="41" t="str">
        <f aca="false">CHOOSE(MONTH(K828),"Jan","Feb","Mar","Apr","May","Jun","Jul","Aug","Sep","Oct","Nov","Dec")</f>
        <v>Jan</v>
      </c>
      <c r="R828" s="41" t="n">
        <f aca="false">INT((K828-setMinDate)/7)+1</f>
        <v>4</v>
      </c>
      <c r="S828" s="41" t="n">
        <f aca="false">HOUR(L828)</f>
        <v>13</v>
      </c>
      <c r="T828" s="41" t="str">
        <f aca="false">IF(S828&lt;setMorningEnd,"Morning",IF(S828&lt;setAfternoonEnd,"Afternoon","Evening"))</f>
        <v>Afternoon</v>
      </c>
      <c r="U828" s="41" t="str">
        <f aca="false">IF(J828&gt;=setLarge,"Large",IF(J828&gt;=setMedium,"Medium","Small"))</f>
        <v>Large</v>
      </c>
      <c r="V828" s="41" t="str">
        <f aca="false">IF(P828&gt;=setExc,"Excellent",IF(P828&gt;=setGood,"Good",IF(P828&gt;=setAvg,"Average","Poor")))</f>
        <v>Good</v>
      </c>
    </row>
    <row r="829" customFormat="false" ht="15" hidden="false" customHeight="false" outlineLevel="0" collapsed="false">
      <c r="A829" s="41" t="s">
        <v>1007</v>
      </c>
      <c r="B829" s="41" t="s">
        <v>178</v>
      </c>
      <c r="C829" s="41" t="s">
        <v>85</v>
      </c>
      <c r="D829" s="41" t="s">
        <v>104</v>
      </c>
      <c r="E829" s="41" t="s">
        <v>103</v>
      </c>
      <c r="F829" s="41" t="s">
        <v>79</v>
      </c>
      <c r="G829" s="42" t="n">
        <v>41.28</v>
      </c>
      <c r="H829" s="41" t="n">
        <v>3</v>
      </c>
      <c r="I829" s="42" t="n">
        <v>6.192</v>
      </c>
      <c r="J829" s="42" t="n">
        <v>130.032</v>
      </c>
      <c r="K829" s="43" t="n">
        <v>43550</v>
      </c>
      <c r="L829" s="44" t="n">
        <v>0.775694444444445</v>
      </c>
      <c r="M829" s="41" t="s">
        <v>99</v>
      </c>
      <c r="N829" s="42" t="n">
        <v>123.84</v>
      </c>
      <c r="O829" s="42" t="n">
        <v>6.192</v>
      </c>
      <c r="P829" s="45" t="n">
        <v>8.5</v>
      </c>
      <c r="Q829" s="41" t="str">
        <f aca="false">CHOOSE(MONTH(K829),"Jan","Feb","Mar","Apr","May","Jun","Jul","Aug","Sep","Oct","Nov","Dec")</f>
        <v>Mar</v>
      </c>
      <c r="R829" s="41" t="n">
        <f aca="false">INT((K829-setMinDate)/7)+1</f>
        <v>13</v>
      </c>
      <c r="S829" s="41" t="n">
        <f aca="false">HOUR(L829)</f>
        <v>18</v>
      </c>
      <c r="T829" s="41" t="str">
        <f aca="false">IF(S829&lt;setMorningEnd,"Morning",IF(S829&lt;setAfternoonEnd,"Afternoon","Evening"))</f>
        <v>Evening</v>
      </c>
      <c r="U829" s="41" t="str">
        <f aca="false">IF(J829&gt;=setLarge,"Large",IF(J829&gt;=setMedium,"Medium","Small"))</f>
        <v>Small</v>
      </c>
      <c r="V829" s="41" t="str">
        <f aca="false">IF(P829&gt;=setExc,"Excellent",IF(P829&gt;=setGood,"Good",IF(P829&gt;=setAvg,"Average","Poor")))</f>
        <v>Good</v>
      </c>
    </row>
    <row r="830" customFormat="false" ht="15" hidden="false" customHeight="false" outlineLevel="0" collapsed="false">
      <c r="A830" s="41" t="s">
        <v>1008</v>
      </c>
      <c r="B830" s="41" t="s">
        <v>180</v>
      </c>
      <c r="C830" s="41" t="s">
        <v>87</v>
      </c>
      <c r="D830" s="41" t="s">
        <v>105</v>
      </c>
      <c r="E830" s="41" t="s">
        <v>103</v>
      </c>
      <c r="F830" s="41" t="s">
        <v>78</v>
      </c>
      <c r="G830" s="42" t="n">
        <v>64.95</v>
      </c>
      <c r="H830" s="41" t="n">
        <v>10</v>
      </c>
      <c r="I830" s="42" t="n">
        <v>32.475</v>
      </c>
      <c r="J830" s="42" t="n">
        <v>681.975</v>
      </c>
      <c r="K830" s="43" t="n">
        <v>43548</v>
      </c>
      <c r="L830" s="44" t="n">
        <v>0.76875</v>
      </c>
      <c r="M830" s="41" t="s">
        <v>97</v>
      </c>
      <c r="N830" s="42" t="n">
        <v>649.5</v>
      </c>
      <c r="O830" s="42" t="n">
        <v>32.475</v>
      </c>
      <c r="P830" s="45" t="n">
        <v>5.2</v>
      </c>
      <c r="Q830" s="41" t="str">
        <f aca="false">CHOOSE(MONTH(K830),"Jan","Feb","Mar","Apr","May","Jun","Jul","Aug","Sep","Oct","Nov","Dec")</f>
        <v>Mar</v>
      </c>
      <c r="R830" s="41" t="n">
        <f aca="false">INT((K830-setMinDate)/7)+1</f>
        <v>12</v>
      </c>
      <c r="S830" s="41" t="n">
        <f aca="false">HOUR(L830)</f>
        <v>18</v>
      </c>
      <c r="T830" s="41" t="str">
        <f aca="false">IF(S830&lt;setMorningEnd,"Morning",IF(S830&lt;setAfternoonEnd,"Afternoon","Evening"))</f>
        <v>Evening</v>
      </c>
      <c r="U830" s="41" t="str">
        <f aca="false">IF(J830&gt;=setLarge,"Large",IF(J830&gt;=setMedium,"Medium","Small"))</f>
        <v>Large</v>
      </c>
      <c r="V830" s="41" t="str">
        <f aca="false">IF(P830&gt;=setExc,"Excellent",IF(P830&gt;=setGood,"Good",IF(P830&gt;=setAvg,"Average","Poor")))</f>
        <v>Average</v>
      </c>
    </row>
    <row r="831" customFormat="false" ht="15" hidden="false" customHeight="false" outlineLevel="0" collapsed="false">
      <c r="A831" s="41" t="s">
        <v>1009</v>
      </c>
      <c r="B831" s="41" t="s">
        <v>178</v>
      </c>
      <c r="C831" s="41" t="s">
        <v>85</v>
      </c>
      <c r="D831" s="41" t="s">
        <v>104</v>
      </c>
      <c r="E831" s="41" t="s">
        <v>102</v>
      </c>
      <c r="F831" s="41" t="s">
        <v>78</v>
      </c>
      <c r="G831" s="42" t="n">
        <v>74.22</v>
      </c>
      <c r="H831" s="41" t="n">
        <v>10</v>
      </c>
      <c r="I831" s="42" t="n">
        <v>37.11</v>
      </c>
      <c r="J831" s="42" t="n">
        <v>779.31</v>
      </c>
      <c r="K831" s="43" t="n">
        <v>43466</v>
      </c>
      <c r="L831" s="44" t="n">
        <v>0.6125</v>
      </c>
      <c r="M831" s="41" t="s">
        <v>99</v>
      </c>
      <c r="N831" s="42" t="n">
        <v>742.2</v>
      </c>
      <c r="O831" s="42" t="n">
        <v>37.11</v>
      </c>
      <c r="P831" s="45" t="n">
        <v>4.3</v>
      </c>
      <c r="Q831" s="41" t="str">
        <f aca="false">CHOOSE(MONTH(K831),"Jan","Feb","Mar","Apr","May","Jun","Jul","Aug","Sep","Oct","Nov","Dec")</f>
        <v>Jan</v>
      </c>
      <c r="R831" s="41" t="n">
        <f aca="false">INT((K831-setMinDate)/7)+1</f>
        <v>1</v>
      </c>
      <c r="S831" s="41" t="n">
        <f aca="false">HOUR(L831)</f>
        <v>14</v>
      </c>
      <c r="T831" s="41" t="str">
        <f aca="false">IF(S831&lt;setMorningEnd,"Morning",IF(S831&lt;setAfternoonEnd,"Afternoon","Evening"))</f>
        <v>Afternoon</v>
      </c>
      <c r="U831" s="41" t="str">
        <f aca="false">IF(J831&gt;=setLarge,"Large",IF(J831&gt;=setMedium,"Medium","Small"))</f>
        <v>Large</v>
      </c>
      <c r="V831" s="41" t="str">
        <f aca="false">IF(P831&gt;=setExc,"Excellent",IF(P831&gt;=setGood,"Good",IF(P831&gt;=setAvg,"Average","Poor")))</f>
        <v>Poor</v>
      </c>
    </row>
    <row r="832" customFormat="false" ht="15" hidden="false" customHeight="false" outlineLevel="0" collapsed="false">
      <c r="A832" s="41" t="s">
        <v>1010</v>
      </c>
      <c r="B832" s="41" t="s">
        <v>178</v>
      </c>
      <c r="C832" s="41" t="s">
        <v>85</v>
      </c>
      <c r="D832" s="41" t="s">
        <v>105</v>
      </c>
      <c r="E832" s="41" t="s">
        <v>103</v>
      </c>
      <c r="F832" s="41" t="s">
        <v>78</v>
      </c>
      <c r="G832" s="42" t="n">
        <v>10.56</v>
      </c>
      <c r="H832" s="41" t="n">
        <v>8</v>
      </c>
      <c r="I832" s="42" t="n">
        <v>4.224</v>
      </c>
      <c r="J832" s="42" t="n">
        <v>88.704</v>
      </c>
      <c r="K832" s="43" t="n">
        <v>43489</v>
      </c>
      <c r="L832" s="44" t="n">
        <v>0.738194444444445</v>
      </c>
      <c r="M832" s="41" t="s">
        <v>97</v>
      </c>
      <c r="N832" s="42" t="n">
        <v>84.48</v>
      </c>
      <c r="O832" s="42" t="n">
        <v>4.224</v>
      </c>
      <c r="P832" s="45" t="n">
        <v>7.6</v>
      </c>
      <c r="Q832" s="41" t="str">
        <f aca="false">CHOOSE(MONTH(K832),"Jan","Feb","Mar","Apr","May","Jun","Jul","Aug","Sep","Oct","Nov","Dec")</f>
        <v>Jan</v>
      </c>
      <c r="R832" s="41" t="n">
        <f aca="false">INT((K832-setMinDate)/7)+1</f>
        <v>4</v>
      </c>
      <c r="S832" s="41" t="n">
        <f aca="false">HOUR(L832)</f>
        <v>17</v>
      </c>
      <c r="T832" s="41" t="str">
        <f aca="false">IF(S832&lt;setMorningEnd,"Morning",IF(S832&lt;setAfternoonEnd,"Afternoon","Evening"))</f>
        <v>Evening</v>
      </c>
      <c r="U832" s="41" t="str">
        <f aca="false">IF(J832&gt;=setLarge,"Large",IF(J832&gt;=setMedium,"Medium","Small"))</f>
        <v>Small</v>
      </c>
      <c r="V832" s="41" t="str">
        <f aca="false">IF(P832&gt;=setExc,"Excellent",IF(P832&gt;=setGood,"Good",IF(P832&gt;=setAvg,"Average","Poor")))</f>
        <v>Good</v>
      </c>
    </row>
    <row r="833" customFormat="false" ht="15" hidden="false" customHeight="false" outlineLevel="0" collapsed="false">
      <c r="A833" s="41" t="s">
        <v>1011</v>
      </c>
      <c r="B833" s="41" t="s">
        <v>189</v>
      </c>
      <c r="C833" s="41" t="s">
        <v>86</v>
      </c>
      <c r="D833" s="41" t="s">
        <v>105</v>
      </c>
      <c r="E833" s="41" t="s">
        <v>103</v>
      </c>
      <c r="F833" s="41" t="s">
        <v>81</v>
      </c>
      <c r="G833" s="42" t="n">
        <v>62.57</v>
      </c>
      <c r="H833" s="41" t="n">
        <v>4</v>
      </c>
      <c r="I833" s="42" t="n">
        <v>12.514</v>
      </c>
      <c r="J833" s="42" t="n">
        <v>262.794</v>
      </c>
      <c r="K833" s="43" t="n">
        <v>43521</v>
      </c>
      <c r="L833" s="44" t="n">
        <v>0.775694444444445</v>
      </c>
      <c r="M833" s="41" t="s">
        <v>97</v>
      </c>
      <c r="N833" s="42" t="n">
        <v>250.28</v>
      </c>
      <c r="O833" s="42" t="n">
        <v>12.514</v>
      </c>
      <c r="P833" s="45" t="n">
        <v>9.5</v>
      </c>
      <c r="Q833" s="41" t="str">
        <f aca="false">CHOOSE(MONTH(K833),"Jan","Feb","Mar","Apr","May","Jun","Jul","Aug","Sep","Oct","Nov","Dec")</f>
        <v>Feb</v>
      </c>
      <c r="R833" s="41" t="n">
        <f aca="false">INT((K833-setMinDate)/7)+1</f>
        <v>8</v>
      </c>
      <c r="S833" s="41" t="n">
        <f aca="false">HOUR(L833)</f>
        <v>18</v>
      </c>
      <c r="T833" s="41" t="str">
        <f aca="false">IF(S833&lt;setMorningEnd,"Morning",IF(S833&lt;setAfternoonEnd,"Afternoon","Evening"))</f>
        <v>Evening</v>
      </c>
      <c r="U833" s="41" t="str">
        <f aca="false">IF(J833&gt;=setLarge,"Large",IF(J833&gt;=setMedium,"Medium","Small"))</f>
        <v>Medium</v>
      </c>
      <c r="V833" s="41" t="str">
        <f aca="false">IF(P833&gt;=setExc,"Excellent",IF(P833&gt;=setGood,"Good",IF(P833&gt;=setAvg,"Average","Poor")))</f>
        <v>Excellent</v>
      </c>
    </row>
    <row r="834" customFormat="false" ht="15" hidden="false" customHeight="false" outlineLevel="0" collapsed="false">
      <c r="A834" s="41" t="s">
        <v>1012</v>
      </c>
      <c r="B834" s="41" t="s">
        <v>189</v>
      </c>
      <c r="C834" s="41" t="s">
        <v>86</v>
      </c>
      <c r="D834" s="41" t="s">
        <v>104</v>
      </c>
      <c r="E834" s="41" t="s">
        <v>102</v>
      </c>
      <c r="F834" s="41" t="s">
        <v>77</v>
      </c>
      <c r="G834" s="42" t="n">
        <v>11.85</v>
      </c>
      <c r="H834" s="41" t="n">
        <v>8</v>
      </c>
      <c r="I834" s="42" t="n">
        <v>4.74</v>
      </c>
      <c r="J834" s="42" t="n">
        <v>99.54</v>
      </c>
      <c r="K834" s="43" t="n">
        <v>43474</v>
      </c>
      <c r="L834" s="44" t="n">
        <v>0.690277777777778</v>
      </c>
      <c r="M834" s="41" t="s">
        <v>97</v>
      </c>
      <c r="N834" s="42" t="n">
        <v>94.8</v>
      </c>
      <c r="O834" s="42" t="n">
        <v>4.74</v>
      </c>
      <c r="P834" s="45" t="n">
        <v>4.1</v>
      </c>
      <c r="Q834" s="41" t="str">
        <f aca="false">CHOOSE(MONTH(K834),"Jan","Feb","Mar","Apr","May","Jun","Jul","Aug","Sep","Oct","Nov","Dec")</f>
        <v>Jan</v>
      </c>
      <c r="R834" s="41" t="n">
        <f aca="false">INT((K834-setMinDate)/7)+1</f>
        <v>2</v>
      </c>
      <c r="S834" s="41" t="n">
        <f aca="false">HOUR(L834)</f>
        <v>16</v>
      </c>
      <c r="T834" s="41" t="str">
        <f aca="false">IF(S834&lt;setMorningEnd,"Morning",IF(S834&lt;setAfternoonEnd,"Afternoon","Evening"))</f>
        <v>Afternoon</v>
      </c>
      <c r="U834" s="41" t="str">
        <f aca="false">IF(J834&gt;=setLarge,"Large",IF(J834&gt;=setMedium,"Medium","Small"))</f>
        <v>Small</v>
      </c>
      <c r="V834" s="41" t="str">
        <f aca="false">IF(P834&gt;=setExc,"Excellent",IF(P834&gt;=setGood,"Good",IF(P834&gt;=setAvg,"Average","Poor")))</f>
        <v>Poor</v>
      </c>
    </row>
    <row r="835" customFormat="false" ht="15" hidden="false" customHeight="false" outlineLevel="0" collapsed="false">
      <c r="A835" s="41" t="s">
        <v>1013</v>
      </c>
      <c r="B835" s="41" t="s">
        <v>178</v>
      </c>
      <c r="C835" s="41" t="s">
        <v>85</v>
      </c>
      <c r="D835" s="41" t="s">
        <v>104</v>
      </c>
      <c r="E835" s="41" t="s">
        <v>103</v>
      </c>
      <c r="F835" s="41" t="s">
        <v>81</v>
      </c>
      <c r="G835" s="42" t="n">
        <v>91.3</v>
      </c>
      <c r="H835" s="41" t="n">
        <v>1</v>
      </c>
      <c r="I835" s="42" t="n">
        <v>4.565</v>
      </c>
      <c r="J835" s="42" t="n">
        <v>95.865</v>
      </c>
      <c r="K835" s="43" t="n">
        <v>43510</v>
      </c>
      <c r="L835" s="44" t="n">
        <v>0.6125</v>
      </c>
      <c r="M835" s="41" t="s">
        <v>98</v>
      </c>
      <c r="N835" s="42" t="n">
        <v>91.3</v>
      </c>
      <c r="O835" s="42" t="n">
        <v>4.565</v>
      </c>
      <c r="P835" s="45" t="n">
        <v>9.2</v>
      </c>
      <c r="Q835" s="41" t="str">
        <f aca="false">CHOOSE(MONTH(K835),"Jan","Feb","Mar","Apr","May","Jun","Jul","Aug","Sep","Oct","Nov","Dec")</f>
        <v>Feb</v>
      </c>
      <c r="R835" s="41" t="n">
        <f aca="false">INT((K835-setMinDate)/7)+1</f>
        <v>7</v>
      </c>
      <c r="S835" s="41" t="n">
        <f aca="false">HOUR(L835)</f>
        <v>14</v>
      </c>
      <c r="T835" s="41" t="str">
        <f aca="false">IF(S835&lt;setMorningEnd,"Morning",IF(S835&lt;setAfternoonEnd,"Afternoon","Evening"))</f>
        <v>Afternoon</v>
      </c>
      <c r="U835" s="41" t="str">
        <f aca="false">IF(J835&gt;=setLarge,"Large",IF(J835&gt;=setMedium,"Medium","Small"))</f>
        <v>Small</v>
      </c>
      <c r="V835" s="41" t="str">
        <f aca="false">IF(P835&gt;=setExc,"Excellent",IF(P835&gt;=setGood,"Good",IF(P835&gt;=setAvg,"Average","Poor")))</f>
        <v>Excellent</v>
      </c>
    </row>
    <row r="836" customFormat="false" ht="15" hidden="false" customHeight="false" outlineLevel="0" collapsed="false">
      <c r="A836" s="41" t="s">
        <v>1014</v>
      </c>
      <c r="B836" s="41" t="s">
        <v>189</v>
      </c>
      <c r="C836" s="41" t="s">
        <v>86</v>
      </c>
      <c r="D836" s="41" t="s">
        <v>104</v>
      </c>
      <c r="E836" s="41" t="s">
        <v>102</v>
      </c>
      <c r="F836" s="41" t="s">
        <v>80</v>
      </c>
      <c r="G836" s="42" t="n">
        <v>40.73</v>
      </c>
      <c r="H836" s="41" t="n">
        <v>7</v>
      </c>
      <c r="I836" s="42" t="n">
        <v>14.2555</v>
      </c>
      <c r="J836" s="42" t="n">
        <v>299.3655</v>
      </c>
      <c r="K836" s="43" t="n">
        <v>43536</v>
      </c>
      <c r="L836" s="44" t="n">
        <v>0.459027777777778</v>
      </c>
      <c r="M836" s="41" t="s">
        <v>98</v>
      </c>
      <c r="N836" s="42" t="n">
        <v>285.11</v>
      </c>
      <c r="O836" s="42" t="n">
        <v>14.2555</v>
      </c>
      <c r="P836" s="45" t="n">
        <v>5.4</v>
      </c>
      <c r="Q836" s="41" t="str">
        <f aca="false">CHOOSE(MONTH(K836),"Jan","Feb","Mar","Apr","May","Jun","Jul","Aug","Sep","Oct","Nov","Dec")</f>
        <v>Mar</v>
      </c>
      <c r="R836" s="41" t="n">
        <f aca="false">INT((K836-setMinDate)/7)+1</f>
        <v>11</v>
      </c>
      <c r="S836" s="41" t="n">
        <f aca="false">HOUR(L836)</f>
        <v>11</v>
      </c>
      <c r="T836" s="41" t="str">
        <f aca="false">IF(S836&lt;setMorningEnd,"Morning",IF(S836&lt;setAfternoonEnd,"Afternoon","Evening"))</f>
        <v>Morning</v>
      </c>
      <c r="U836" s="41" t="str">
        <f aca="false">IF(J836&gt;=setLarge,"Large",IF(J836&gt;=setMedium,"Medium","Small"))</f>
        <v>Medium</v>
      </c>
      <c r="V836" s="41" t="str">
        <f aca="false">IF(P836&gt;=setExc,"Excellent",IF(P836&gt;=setGood,"Good",IF(P836&gt;=setAvg,"Average","Poor")))</f>
        <v>Average</v>
      </c>
    </row>
    <row r="837" customFormat="false" ht="15" hidden="false" customHeight="false" outlineLevel="0" collapsed="false">
      <c r="A837" s="41" t="s">
        <v>1015</v>
      </c>
      <c r="B837" s="41" t="s">
        <v>178</v>
      </c>
      <c r="C837" s="41" t="s">
        <v>85</v>
      </c>
      <c r="D837" s="41" t="s">
        <v>105</v>
      </c>
      <c r="E837" s="41" t="s">
        <v>103</v>
      </c>
      <c r="F837" s="41" t="s">
        <v>79</v>
      </c>
      <c r="G837" s="42" t="n">
        <v>52.38</v>
      </c>
      <c r="H837" s="41" t="n">
        <v>1</v>
      </c>
      <c r="I837" s="42" t="n">
        <v>2.619</v>
      </c>
      <c r="J837" s="42" t="n">
        <v>54.999</v>
      </c>
      <c r="K837" s="43" t="n">
        <v>43550</v>
      </c>
      <c r="L837" s="44" t="n">
        <v>0.822222222222222</v>
      </c>
      <c r="M837" s="41" t="s">
        <v>97</v>
      </c>
      <c r="N837" s="42" t="n">
        <v>52.38</v>
      </c>
      <c r="O837" s="42" t="n">
        <v>2.619</v>
      </c>
      <c r="P837" s="45" t="n">
        <v>5.8</v>
      </c>
      <c r="Q837" s="41" t="str">
        <f aca="false">CHOOSE(MONTH(K837),"Jan","Feb","Mar","Apr","May","Jun","Jul","Aug","Sep","Oct","Nov","Dec")</f>
        <v>Mar</v>
      </c>
      <c r="R837" s="41" t="n">
        <f aca="false">INT((K837-setMinDate)/7)+1</f>
        <v>13</v>
      </c>
      <c r="S837" s="41" t="n">
        <f aca="false">HOUR(L837)</f>
        <v>19</v>
      </c>
      <c r="T837" s="41" t="str">
        <f aca="false">IF(S837&lt;setMorningEnd,"Morning",IF(S837&lt;setAfternoonEnd,"Afternoon","Evening"))</f>
        <v>Evening</v>
      </c>
      <c r="U837" s="41" t="str">
        <f aca="false">IF(J837&gt;=setLarge,"Large",IF(J837&gt;=setMedium,"Medium","Small"))</f>
        <v>Small</v>
      </c>
      <c r="V837" s="41" t="str">
        <f aca="false">IF(P837&gt;=setExc,"Excellent",IF(P837&gt;=setGood,"Good",IF(P837&gt;=setAvg,"Average","Poor")))</f>
        <v>Average</v>
      </c>
    </row>
    <row r="838" customFormat="false" ht="15" hidden="false" customHeight="false" outlineLevel="0" collapsed="false">
      <c r="A838" s="41" t="s">
        <v>1016</v>
      </c>
      <c r="B838" s="41" t="s">
        <v>178</v>
      </c>
      <c r="C838" s="41" t="s">
        <v>85</v>
      </c>
      <c r="D838" s="41" t="s">
        <v>104</v>
      </c>
      <c r="E838" s="41" t="s">
        <v>103</v>
      </c>
      <c r="F838" s="41" t="s">
        <v>79</v>
      </c>
      <c r="G838" s="42" t="n">
        <v>38.54</v>
      </c>
      <c r="H838" s="41" t="n">
        <v>5</v>
      </c>
      <c r="I838" s="42" t="n">
        <v>9.635</v>
      </c>
      <c r="J838" s="42" t="n">
        <v>202.335</v>
      </c>
      <c r="K838" s="43" t="n">
        <v>43474</v>
      </c>
      <c r="L838" s="44" t="n">
        <v>0.565277777777778</v>
      </c>
      <c r="M838" s="41" t="s">
        <v>98</v>
      </c>
      <c r="N838" s="42" t="n">
        <v>192.7</v>
      </c>
      <c r="O838" s="42" t="n">
        <v>9.635</v>
      </c>
      <c r="P838" s="45" t="n">
        <v>5.6</v>
      </c>
      <c r="Q838" s="41" t="str">
        <f aca="false">CHOOSE(MONTH(K838),"Jan","Feb","Mar","Apr","May","Jun","Jul","Aug","Sep","Oct","Nov","Dec")</f>
        <v>Jan</v>
      </c>
      <c r="R838" s="41" t="n">
        <f aca="false">INT((K838-setMinDate)/7)+1</f>
        <v>2</v>
      </c>
      <c r="S838" s="41" t="n">
        <f aca="false">HOUR(L838)</f>
        <v>13</v>
      </c>
      <c r="T838" s="41" t="str">
        <f aca="false">IF(S838&lt;setMorningEnd,"Morning",IF(S838&lt;setAfternoonEnd,"Afternoon","Evening"))</f>
        <v>Afternoon</v>
      </c>
      <c r="U838" s="41" t="str">
        <f aca="false">IF(J838&gt;=setLarge,"Large",IF(J838&gt;=setMedium,"Medium","Small"))</f>
        <v>Small</v>
      </c>
      <c r="V838" s="41" t="str">
        <f aca="false">IF(P838&gt;=setExc,"Excellent",IF(P838&gt;=setGood,"Good",IF(P838&gt;=setAvg,"Average","Poor")))</f>
        <v>Average</v>
      </c>
    </row>
    <row r="839" customFormat="false" ht="15" hidden="false" customHeight="false" outlineLevel="0" collapsed="false">
      <c r="A839" s="41" t="s">
        <v>1017</v>
      </c>
      <c r="B839" s="41" t="s">
        <v>189</v>
      </c>
      <c r="C839" s="41" t="s">
        <v>86</v>
      </c>
      <c r="D839" s="41" t="s">
        <v>105</v>
      </c>
      <c r="E839" s="41" t="s">
        <v>103</v>
      </c>
      <c r="F839" s="41" t="s">
        <v>77</v>
      </c>
      <c r="G839" s="42" t="n">
        <v>44.63</v>
      </c>
      <c r="H839" s="41" t="n">
        <v>6</v>
      </c>
      <c r="I839" s="42" t="n">
        <v>13.389</v>
      </c>
      <c r="J839" s="42" t="n">
        <v>281.169</v>
      </c>
      <c r="K839" s="43" t="n">
        <v>43467</v>
      </c>
      <c r="L839" s="44" t="n">
        <v>0.838888888888889</v>
      </c>
      <c r="M839" s="41" t="s">
        <v>99</v>
      </c>
      <c r="N839" s="42" t="n">
        <v>267.78</v>
      </c>
      <c r="O839" s="42" t="n">
        <v>13.389</v>
      </c>
      <c r="P839" s="45" t="n">
        <v>5.1</v>
      </c>
      <c r="Q839" s="41" t="str">
        <f aca="false">CHOOSE(MONTH(K839),"Jan","Feb","Mar","Apr","May","Jun","Jul","Aug","Sep","Oct","Nov","Dec")</f>
        <v>Jan</v>
      </c>
      <c r="R839" s="41" t="n">
        <f aca="false">INT((K839-setMinDate)/7)+1</f>
        <v>1</v>
      </c>
      <c r="S839" s="41" t="n">
        <f aca="false">HOUR(L839)</f>
        <v>20</v>
      </c>
      <c r="T839" s="41" t="str">
        <f aca="false">IF(S839&lt;setMorningEnd,"Morning",IF(S839&lt;setAfternoonEnd,"Afternoon","Evening"))</f>
        <v>Evening</v>
      </c>
      <c r="U839" s="41" t="str">
        <f aca="false">IF(J839&gt;=setLarge,"Large",IF(J839&gt;=setMedium,"Medium","Small"))</f>
        <v>Medium</v>
      </c>
      <c r="V839" s="41" t="str">
        <f aca="false">IF(P839&gt;=setExc,"Excellent",IF(P839&gt;=setGood,"Good",IF(P839&gt;=setAvg,"Average","Poor")))</f>
        <v>Average</v>
      </c>
    </row>
    <row r="840" customFormat="false" ht="15" hidden="false" customHeight="false" outlineLevel="0" collapsed="false">
      <c r="A840" s="41" t="s">
        <v>1018</v>
      </c>
      <c r="B840" s="41" t="s">
        <v>180</v>
      </c>
      <c r="C840" s="41" t="s">
        <v>87</v>
      </c>
      <c r="D840" s="41" t="s">
        <v>105</v>
      </c>
      <c r="E840" s="41" t="s">
        <v>103</v>
      </c>
      <c r="F840" s="41" t="s">
        <v>78</v>
      </c>
      <c r="G840" s="42" t="n">
        <v>55.87</v>
      </c>
      <c r="H840" s="41" t="n">
        <v>10</v>
      </c>
      <c r="I840" s="42" t="n">
        <v>27.935</v>
      </c>
      <c r="J840" s="42" t="n">
        <v>586.635</v>
      </c>
      <c r="K840" s="43" t="n">
        <v>43480</v>
      </c>
      <c r="L840" s="44" t="n">
        <v>0.625694444444444</v>
      </c>
      <c r="M840" s="41" t="s">
        <v>97</v>
      </c>
      <c r="N840" s="42" t="n">
        <v>558.7</v>
      </c>
      <c r="O840" s="42" t="n">
        <v>27.935</v>
      </c>
      <c r="P840" s="45" t="n">
        <v>5.8</v>
      </c>
      <c r="Q840" s="41" t="str">
        <f aca="false">CHOOSE(MONTH(K840),"Jan","Feb","Mar","Apr","May","Jun","Jul","Aug","Sep","Oct","Nov","Dec")</f>
        <v>Jan</v>
      </c>
      <c r="R840" s="41" t="n">
        <f aca="false">INT((K840-setMinDate)/7)+1</f>
        <v>3</v>
      </c>
      <c r="S840" s="41" t="n">
        <f aca="false">HOUR(L840)</f>
        <v>15</v>
      </c>
      <c r="T840" s="41" t="str">
        <f aca="false">IF(S840&lt;setMorningEnd,"Morning",IF(S840&lt;setAfternoonEnd,"Afternoon","Evening"))</f>
        <v>Afternoon</v>
      </c>
      <c r="U840" s="41" t="str">
        <f aca="false">IF(J840&gt;=setLarge,"Large",IF(J840&gt;=setMedium,"Medium","Small"))</f>
        <v>Medium</v>
      </c>
      <c r="V840" s="41" t="str">
        <f aca="false">IF(P840&gt;=setExc,"Excellent",IF(P840&gt;=setGood,"Good",IF(P840&gt;=setAvg,"Average","Poor")))</f>
        <v>Average</v>
      </c>
    </row>
    <row r="841" customFormat="false" ht="15" hidden="false" customHeight="false" outlineLevel="0" collapsed="false">
      <c r="A841" s="41" t="s">
        <v>1019</v>
      </c>
      <c r="B841" s="41" t="s">
        <v>180</v>
      </c>
      <c r="C841" s="41" t="s">
        <v>87</v>
      </c>
      <c r="D841" s="41" t="s">
        <v>104</v>
      </c>
      <c r="E841" s="41" t="s">
        <v>102</v>
      </c>
      <c r="F841" s="41" t="s">
        <v>77</v>
      </c>
      <c r="G841" s="42" t="n">
        <v>29.22</v>
      </c>
      <c r="H841" s="41" t="n">
        <v>6</v>
      </c>
      <c r="I841" s="42" t="n">
        <v>8.766</v>
      </c>
      <c r="J841" s="42" t="n">
        <v>184.086</v>
      </c>
      <c r="K841" s="43" t="n">
        <v>43466</v>
      </c>
      <c r="L841" s="44" t="n">
        <v>0.486111111111111</v>
      </c>
      <c r="M841" s="41" t="s">
        <v>98</v>
      </c>
      <c r="N841" s="42" t="n">
        <v>175.32</v>
      </c>
      <c r="O841" s="42" t="n">
        <v>8.766</v>
      </c>
      <c r="P841" s="45" t="n">
        <v>5</v>
      </c>
      <c r="Q841" s="41" t="str">
        <f aca="false">CHOOSE(MONTH(K841),"Jan","Feb","Mar","Apr","May","Jun","Jul","Aug","Sep","Oct","Nov","Dec")</f>
        <v>Jan</v>
      </c>
      <c r="R841" s="41" t="n">
        <f aca="false">INT((K841-setMinDate)/7)+1</f>
        <v>1</v>
      </c>
      <c r="S841" s="41" t="n">
        <f aca="false">HOUR(L841)</f>
        <v>11</v>
      </c>
      <c r="T841" s="41" t="str">
        <f aca="false">IF(S841&lt;setMorningEnd,"Morning",IF(S841&lt;setAfternoonEnd,"Afternoon","Evening"))</f>
        <v>Morning</v>
      </c>
      <c r="U841" s="41" t="str">
        <f aca="false">IF(J841&gt;=setLarge,"Large",IF(J841&gt;=setMedium,"Medium","Small"))</f>
        <v>Small</v>
      </c>
      <c r="V841" s="41" t="str">
        <f aca="false">IF(P841&gt;=setExc,"Excellent",IF(P841&gt;=setGood,"Good",IF(P841&gt;=setAvg,"Average","Poor")))</f>
        <v>Average</v>
      </c>
    </row>
    <row r="842" customFormat="false" ht="15" hidden="false" customHeight="false" outlineLevel="0" collapsed="false">
      <c r="A842" s="41" t="s">
        <v>1020</v>
      </c>
      <c r="B842" s="41" t="s">
        <v>178</v>
      </c>
      <c r="C842" s="41" t="s">
        <v>85</v>
      </c>
      <c r="D842" s="41" t="s">
        <v>105</v>
      </c>
      <c r="E842" s="41" t="s">
        <v>103</v>
      </c>
      <c r="F842" s="41" t="s">
        <v>79</v>
      </c>
      <c r="G842" s="42" t="n">
        <v>51.94</v>
      </c>
      <c r="H842" s="41" t="n">
        <v>3</v>
      </c>
      <c r="I842" s="42" t="n">
        <v>7.791</v>
      </c>
      <c r="J842" s="42" t="n">
        <v>163.611</v>
      </c>
      <c r="K842" s="43" t="n">
        <v>43511</v>
      </c>
      <c r="L842" s="44" t="n">
        <v>0.639583333333333</v>
      </c>
      <c r="M842" s="41" t="s">
        <v>97</v>
      </c>
      <c r="N842" s="42" t="n">
        <v>155.82</v>
      </c>
      <c r="O842" s="42" t="n">
        <v>7.791</v>
      </c>
      <c r="P842" s="45" t="n">
        <v>7.9</v>
      </c>
      <c r="Q842" s="41" t="str">
        <f aca="false">CHOOSE(MONTH(K842),"Jan","Feb","Mar","Apr","May","Jun","Jul","Aug","Sep","Oct","Nov","Dec")</f>
        <v>Feb</v>
      </c>
      <c r="R842" s="41" t="n">
        <f aca="false">INT((K842-setMinDate)/7)+1</f>
        <v>7</v>
      </c>
      <c r="S842" s="41" t="n">
        <f aca="false">HOUR(L842)</f>
        <v>15</v>
      </c>
      <c r="T842" s="41" t="str">
        <f aca="false">IF(S842&lt;setMorningEnd,"Morning",IF(S842&lt;setAfternoonEnd,"Afternoon","Evening"))</f>
        <v>Afternoon</v>
      </c>
      <c r="U842" s="41" t="str">
        <f aca="false">IF(J842&gt;=setLarge,"Large",IF(J842&gt;=setMedium,"Medium","Small"))</f>
        <v>Small</v>
      </c>
      <c r="V842" s="41" t="str">
        <f aca="false">IF(P842&gt;=setExc,"Excellent",IF(P842&gt;=setGood,"Good",IF(P842&gt;=setAvg,"Average","Poor")))</f>
        <v>Good</v>
      </c>
    </row>
    <row r="843" customFormat="false" ht="15" hidden="false" customHeight="false" outlineLevel="0" collapsed="false">
      <c r="A843" s="41" t="s">
        <v>1021</v>
      </c>
      <c r="B843" s="41" t="s">
        <v>189</v>
      </c>
      <c r="C843" s="41" t="s">
        <v>86</v>
      </c>
      <c r="D843" s="41" t="s">
        <v>105</v>
      </c>
      <c r="E843" s="41" t="s">
        <v>103</v>
      </c>
      <c r="F843" s="41" t="s">
        <v>78</v>
      </c>
      <c r="G843" s="42" t="n">
        <v>60.3</v>
      </c>
      <c r="H843" s="41" t="n">
        <v>1</v>
      </c>
      <c r="I843" s="42" t="n">
        <v>3.015</v>
      </c>
      <c r="J843" s="42" t="n">
        <v>63.315</v>
      </c>
      <c r="K843" s="43" t="n">
        <v>43524</v>
      </c>
      <c r="L843" s="44" t="n">
        <v>0.734722222222222</v>
      </c>
      <c r="M843" s="41" t="s">
        <v>97</v>
      </c>
      <c r="N843" s="42" t="n">
        <v>60.3</v>
      </c>
      <c r="O843" s="42" t="n">
        <v>3.015</v>
      </c>
      <c r="P843" s="45" t="n">
        <v>6</v>
      </c>
      <c r="Q843" s="41" t="str">
        <f aca="false">CHOOSE(MONTH(K843),"Jan","Feb","Mar","Apr","May","Jun","Jul","Aug","Sep","Oct","Nov","Dec")</f>
        <v>Feb</v>
      </c>
      <c r="R843" s="41" t="n">
        <f aca="false">INT((K843-setMinDate)/7)+1</f>
        <v>9</v>
      </c>
      <c r="S843" s="41" t="n">
        <f aca="false">HOUR(L843)</f>
        <v>17</v>
      </c>
      <c r="T843" s="41" t="str">
        <f aca="false">IF(S843&lt;setMorningEnd,"Morning",IF(S843&lt;setAfternoonEnd,"Afternoon","Evening"))</f>
        <v>Evening</v>
      </c>
      <c r="U843" s="41" t="str">
        <f aca="false">IF(J843&gt;=setLarge,"Large",IF(J843&gt;=setMedium,"Medium","Small"))</f>
        <v>Small</v>
      </c>
      <c r="V843" s="41" t="str">
        <f aca="false">IF(P843&gt;=setExc,"Excellent",IF(P843&gt;=setGood,"Good",IF(P843&gt;=setAvg,"Average","Poor")))</f>
        <v>Average</v>
      </c>
    </row>
    <row r="844" customFormat="false" ht="15" hidden="false" customHeight="false" outlineLevel="0" collapsed="false">
      <c r="A844" s="41" t="s">
        <v>1022</v>
      </c>
      <c r="B844" s="41" t="s">
        <v>178</v>
      </c>
      <c r="C844" s="41" t="s">
        <v>85</v>
      </c>
      <c r="D844" s="41" t="s">
        <v>104</v>
      </c>
      <c r="E844" s="41" t="s">
        <v>102</v>
      </c>
      <c r="F844" s="41" t="s">
        <v>77</v>
      </c>
      <c r="G844" s="42" t="n">
        <v>39.47</v>
      </c>
      <c r="H844" s="41" t="n">
        <v>2</v>
      </c>
      <c r="I844" s="42" t="n">
        <v>3.947</v>
      </c>
      <c r="J844" s="42" t="n">
        <v>82.887</v>
      </c>
      <c r="K844" s="43" t="n">
        <v>43526</v>
      </c>
      <c r="L844" s="44" t="n">
        <v>0.677777777777778</v>
      </c>
      <c r="M844" s="41" t="s">
        <v>99</v>
      </c>
      <c r="N844" s="42" t="n">
        <v>78.94</v>
      </c>
      <c r="O844" s="42" t="n">
        <v>3.947</v>
      </c>
      <c r="P844" s="45" t="n">
        <v>5</v>
      </c>
      <c r="Q844" s="41" t="str">
        <f aca="false">CHOOSE(MONTH(K844),"Jan","Feb","Mar","Apr","May","Jun","Jul","Aug","Sep","Oct","Nov","Dec")</f>
        <v>Mar</v>
      </c>
      <c r="R844" s="41" t="n">
        <f aca="false">INT((K844-setMinDate)/7)+1</f>
        <v>9</v>
      </c>
      <c r="S844" s="41" t="n">
        <f aca="false">HOUR(L844)</f>
        <v>16</v>
      </c>
      <c r="T844" s="41" t="str">
        <f aca="false">IF(S844&lt;setMorningEnd,"Morning",IF(S844&lt;setAfternoonEnd,"Afternoon","Evening"))</f>
        <v>Afternoon</v>
      </c>
      <c r="U844" s="41" t="str">
        <f aca="false">IF(J844&gt;=setLarge,"Large",IF(J844&gt;=setMedium,"Medium","Small"))</f>
        <v>Small</v>
      </c>
      <c r="V844" s="41" t="str">
        <f aca="false">IF(P844&gt;=setExc,"Excellent",IF(P844&gt;=setGood,"Good",IF(P844&gt;=setAvg,"Average","Poor")))</f>
        <v>Average</v>
      </c>
    </row>
    <row r="845" customFormat="false" ht="15" hidden="false" customHeight="false" outlineLevel="0" collapsed="false">
      <c r="A845" s="41" t="s">
        <v>1023</v>
      </c>
      <c r="B845" s="41" t="s">
        <v>180</v>
      </c>
      <c r="C845" s="41" t="s">
        <v>87</v>
      </c>
      <c r="D845" s="41" t="s">
        <v>104</v>
      </c>
      <c r="E845" s="41" t="s">
        <v>102</v>
      </c>
      <c r="F845" s="41" t="s">
        <v>76</v>
      </c>
      <c r="G845" s="42" t="n">
        <v>14.87</v>
      </c>
      <c r="H845" s="41" t="n">
        <v>2</v>
      </c>
      <c r="I845" s="42" t="n">
        <v>1.487</v>
      </c>
      <c r="J845" s="42" t="n">
        <v>31.227</v>
      </c>
      <c r="K845" s="43" t="n">
        <v>43509</v>
      </c>
      <c r="L845" s="44" t="n">
        <v>0.760416666666667</v>
      </c>
      <c r="M845" s="41" t="s">
        <v>99</v>
      </c>
      <c r="N845" s="42" t="n">
        <v>29.74</v>
      </c>
      <c r="O845" s="42" t="n">
        <v>1.487</v>
      </c>
      <c r="P845" s="45" t="n">
        <v>8.9</v>
      </c>
      <c r="Q845" s="41" t="str">
        <f aca="false">CHOOSE(MONTH(K845),"Jan","Feb","Mar","Apr","May","Jun","Jul","Aug","Sep","Oct","Nov","Dec")</f>
        <v>Feb</v>
      </c>
      <c r="R845" s="41" t="n">
        <f aca="false">INT((K845-setMinDate)/7)+1</f>
        <v>7</v>
      </c>
      <c r="S845" s="41" t="n">
        <f aca="false">HOUR(L845)</f>
        <v>18</v>
      </c>
      <c r="T845" s="41" t="str">
        <f aca="false">IF(S845&lt;setMorningEnd,"Morning",IF(S845&lt;setAfternoonEnd,"Afternoon","Evening"))</f>
        <v>Evening</v>
      </c>
      <c r="U845" s="41" t="str">
        <f aca="false">IF(J845&gt;=setLarge,"Large",IF(J845&gt;=setMedium,"Medium","Small"))</f>
        <v>Small</v>
      </c>
      <c r="V845" s="41" t="str">
        <f aca="false">IF(P845&gt;=setExc,"Excellent",IF(P845&gt;=setGood,"Good",IF(P845&gt;=setAvg,"Average","Poor")))</f>
        <v>Good</v>
      </c>
    </row>
    <row r="846" customFormat="false" ht="15" hidden="false" customHeight="false" outlineLevel="0" collapsed="false">
      <c r="A846" s="41" t="s">
        <v>1024</v>
      </c>
      <c r="B846" s="41" t="s">
        <v>178</v>
      </c>
      <c r="C846" s="41" t="s">
        <v>85</v>
      </c>
      <c r="D846" s="41" t="s">
        <v>105</v>
      </c>
      <c r="E846" s="41" t="s">
        <v>103</v>
      </c>
      <c r="F846" s="41" t="s">
        <v>79</v>
      </c>
      <c r="G846" s="42" t="n">
        <v>21.32</v>
      </c>
      <c r="H846" s="41" t="n">
        <v>1</v>
      </c>
      <c r="I846" s="42" t="n">
        <v>1.066</v>
      </c>
      <c r="J846" s="42" t="n">
        <v>22.386</v>
      </c>
      <c r="K846" s="43" t="n">
        <v>43491</v>
      </c>
      <c r="L846" s="44" t="n">
        <v>0.529861111111111</v>
      </c>
      <c r="M846" s="41" t="s">
        <v>97</v>
      </c>
      <c r="N846" s="42" t="n">
        <v>21.32</v>
      </c>
      <c r="O846" s="42" t="n">
        <v>1.066</v>
      </c>
      <c r="P846" s="45" t="n">
        <v>5.9</v>
      </c>
      <c r="Q846" s="41" t="str">
        <f aca="false">CHOOSE(MONTH(K846),"Jan","Feb","Mar","Apr","May","Jun","Jul","Aug","Sep","Oct","Nov","Dec")</f>
        <v>Jan</v>
      </c>
      <c r="R846" s="41" t="n">
        <f aca="false">INT((K846-setMinDate)/7)+1</f>
        <v>4</v>
      </c>
      <c r="S846" s="41" t="n">
        <f aca="false">HOUR(L846)</f>
        <v>12</v>
      </c>
      <c r="T846" s="41" t="str">
        <f aca="false">IF(S846&lt;setMorningEnd,"Morning",IF(S846&lt;setAfternoonEnd,"Afternoon","Evening"))</f>
        <v>Afternoon</v>
      </c>
      <c r="U846" s="41" t="str">
        <f aca="false">IF(J846&gt;=setLarge,"Large",IF(J846&gt;=setMedium,"Medium","Small"))</f>
        <v>Small</v>
      </c>
      <c r="V846" s="41" t="str">
        <f aca="false">IF(P846&gt;=setExc,"Excellent",IF(P846&gt;=setGood,"Good",IF(P846&gt;=setAvg,"Average","Poor")))</f>
        <v>Average</v>
      </c>
    </row>
    <row r="847" customFormat="false" ht="15" hidden="false" customHeight="false" outlineLevel="0" collapsed="false">
      <c r="A847" s="41" t="s">
        <v>1025</v>
      </c>
      <c r="B847" s="41" t="s">
        <v>178</v>
      </c>
      <c r="C847" s="41" t="s">
        <v>85</v>
      </c>
      <c r="D847" s="41" t="s">
        <v>104</v>
      </c>
      <c r="E847" s="41" t="s">
        <v>103</v>
      </c>
      <c r="F847" s="41" t="s">
        <v>78</v>
      </c>
      <c r="G847" s="42" t="n">
        <v>93.78</v>
      </c>
      <c r="H847" s="41" t="n">
        <v>3</v>
      </c>
      <c r="I847" s="42" t="n">
        <v>14.067</v>
      </c>
      <c r="J847" s="42" t="n">
        <v>295.407</v>
      </c>
      <c r="K847" s="43" t="n">
        <v>43495</v>
      </c>
      <c r="L847" s="44" t="n">
        <v>0.480555555555556</v>
      </c>
      <c r="M847" s="41" t="s">
        <v>99</v>
      </c>
      <c r="N847" s="42" t="n">
        <v>281.34</v>
      </c>
      <c r="O847" s="42" t="n">
        <v>14.067</v>
      </c>
      <c r="P847" s="45" t="n">
        <v>5.9</v>
      </c>
      <c r="Q847" s="41" t="str">
        <f aca="false">CHOOSE(MONTH(K847),"Jan","Feb","Mar","Apr","May","Jun","Jul","Aug","Sep","Oct","Nov","Dec")</f>
        <v>Jan</v>
      </c>
      <c r="R847" s="41" t="n">
        <f aca="false">INT((K847-setMinDate)/7)+1</f>
        <v>5</v>
      </c>
      <c r="S847" s="41" t="n">
        <f aca="false">HOUR(L847)</f>
        <v>11</v>
      </c>
      <c r="T847" s="41" t="str">
        <f aca="false">IF(S847&lt;setMorningEnd,"Morning",IF(S847&lt;setAfternoonEnd,"Afternoon","Evening"))</f>
        <v>Morning</v>
      </c>
      <c r="U847" s="41" t="str">
        <f aca="false">IF(J847&gt;=setLarge,"Large",IF(J847&gt;=setMedium,"Medium","Small"))</f>
        <v>Medium</v>
      </c>
      <c r="V847" s="41" t="str">
        <f aca="false">IF(P847&gt;=setExc,"Excellent",IF(P847&gt;=setGood,"Good",IF(P847&gt;=setAvg,"Average","Poor")))</f>
        <v>Average</v>
      </c>
    </row>
    <row r="848" customFormat="false" ht="15" hidden="false" customHeight="false" outlineLevel="0" collapsed="false">
      <c r="A848" s="41" t="s">
        <v>1026</v>
      </c>
      <c r="B848" s="41" t="s">
        <v>178</v>
      </c>
      <c r="C848" s="41" t="s">
        <v>85</v>
      </c>
      <c r="D848" s="41" t="s">
        <v>104</v>
      </c>
      <c r="E848" s="41" t="s">
        <v>103</v>
      </c>
      <c r="F848" s="41" t="s">
        <v>78</v>
      </c>
      <c r="G848" s="42" t="n">
        <v>73.26</v>
      </c>
      <c r="H848" s="41" t="n">
        <v>1</v>
      </c>
      <c r="I848" s="42" t="n">
        <v>3.663</v>
      </c>
      <c r="J848" s="42" t="n">
        <v>76.923</v>
      </c>
      <c r="K848" s="43" t="n">
        <v>43492</v>
      </c>
      <c r="L848" s="44" t="n">
        <v>0.755555555555556</v>
      </c>
      <c r="M848" s="41" t="s">
        <v>98</v>
      </c>
      <c r="N848" s="42" t="n">
        <v>73.26</v>
      </c>
      <c r="O848" s="42" t="n">
        <v>3.663</v>
      </c>
      <c r="P848" s="45" t="n">
        <v>9.7</v>
      </c>
      <c r="Q848" s="41" t="str">
        <f aca="false">CHOOSE(MONTH(K848),"Jan","Feb","Mar","Apr","May","Jun","Jul","Aug","Sep","Oct","Nov","Dec")</f>
        <v>Jan</v>
      </c>
      <c r="R848" s="41" t="n">
        <f aca="false">INT((K848-setMinDate)/7)+1</f>
        <v>4</v>
      </c>
      <c r="S848" s="41" t="n">
        <f aca="false">HOUR(L848)</f>
        <v>18</v>
      </c>
      <c r="T848" s="41" t="str">
        <f aca="false">IF(S848&lt;setMorningEnd,"Morning",IF(S848&lt;setAfternoonEnd,"Afternoon","Evening"))</f>
        <v>Evening</v>
      </c>
      <c r="U848" s="41" t="str">
        <f aca="false">IF(J848&gt;=setLarge,"Large",IF(J848&gt;=setMedium,"Medium","Small"))</f>
        <v>Small</v>
      </c>
      <c r="V848" s="41" t="str">
        <f aca="false">IF(P848&gt;=setExc,"Excellent",IF(P848&gt;=setGood,"Good",IF(P848&gt;=setAvg,"Average","Poor")))</f>
        <v>Excellent</v>
      </c>
    </row>
    <row r="849" customFormat="false" ht="15" hidden="false" customHeight="false" outlineLevel="0" collapsed="false">
      <c r="A849" s="41" t="s">
        <v>1027</v>
      </c>
      <c r="B849" s="41" t="s">
        <v>180</v>
      </c>
      <c r="C849" s="41" t="s">
        <v>87</v>
      </c>
      <c r="D849" s="41" t="s">
        <v>105</v>
      </c>
      <c r="E849" s="41" t="s">
        <v>102</v>
      </c>
      <c r="F849" s="41" t="s">
        <v>77</v>
      </c>
      <c r="G849" s="42" t="n">
        <v>22.38</v>
      </c>
      <c r="H849" s="41" t="n">
        <v>1</v>
      </c>
      <c r="I849" s="42" t="n">
        <v>1.119</v>
      </c>
      <c r="J849" s="42" t="n">
        <v>23.499</v>
      </c>
      <c r="K849" s="43" t="n">
        <v>43495</v>
      </c>
      <c r="L849" s="44" t="n">
        <v>0.713888888888889</v>
      </c>
      <c r="M849" s="41" t="s">
        <v>99</v>
      </c>
      <c r="N849" s="42" t="n">
        <v>22.38</v>
      </c>
      <c r="O849" s="42" t="n">
        <v>1.119</v>
      </c>
      <c r="P849" s="45" t="n">
        <v>8.6</v>
      </c>
      <c r="Q849" s="41" t="str">
        <f aca="false">CHOOSE(MONTH(K849),"Jan","Feb","Mar","Apr","May","Jun","Jul","Aug","Sep","Oct","Nov","Dec")</f>
        <v>Jan</v>
      </c>
      <c r="R849" s="41" t="n">
        <f aca="false">INT((K849-setMinDate)/7)+1</f>
        <v>5</v>
      </c>
      <c r="S849" s="41" t="n">
        <f aca="false">HOUR(L849)</f>
        <v>17</v>
      </c>
      <c r="T849" s="41" t="str">
        <f aca="false">IF(S849&lt;setMorningEnd,"Morning",IF(S849&lt;setAfternoonEnd,"Afternoon","Evening"))</f>
        <v>Evening</v>
      </c>
      <c r="U849" s="41" t="str">
        <f aca="false">IF(J849&gt;=setLarge,"Large",IF(J849&gt;=setMedium,"Medium","Small"))</f>
        <v>Small</v>
      </c>
      <c r="V849" s="41" t="str">
        <f aca="false">IF(P849&gt;=setExc,"Excellent",IF(P849&gt;=setGood,"Good",IF(P849&gt;=setAvg,"Average","Poor")))</f>
        <v>Good</v>
      </c>
    </row>
    <row r="850" customFormat="false" ht="15" hidden="false" customHeight="false" outlineLevel="0" collapsed="false">
      <c r="A850" s="41" t="s">
        <v>1028</v>
      </c>
      <c r="B850" s="41" t="s">
        <v>180</v>
      </c>
      <c r="C850" s="41" t="s">
        <v>87</v>
      </c>
      <c r="D850" s="41" t="s">
        <v>104</v>
      </c>
      <c r="E850" s="41" t="s">
        <v>102</v>
      </c>
      <c r="F850" s="41" t="s">
        <v>76</v>
      </c>
      <c r="G850" s="42" t="n">
        <v>72.88</v>
      </c>
      <c r="H850" s="41" t="n">
        <v>9</v>
      </c>
      <c r="I850" s="42" t="n">
        <v>32.796</v>
      </c>
      <c r="J850" s="42" t="n">
        <v>688.716</v>
      </c>
      <c r="K850" s="43" t="n">
        <v>43473</v>
      </c>
      <c r="L850" s="44" t="n">
        <v>0.818055555555556</v>
      </c>
      <c r="M850" s="41" t="s">
        <v>97</v>
      </c>
      <c r="N850" s="42" t="n">
        <v>655.92</v>
      </c>
      <c r="O850" s="42" t="n">
        <v>32.796</v>
      </c>
      <c r="P850" s="45" t="n">
        <v>4</v>
      </c>
      <c r="Q850" s="41" t="str">
        <f aca="false">CHOOSE(MONTH(K850),"Jan","Feb","Mar","Apr","May","Jun","Jul","Aug","Sep","Oct","Nov","Dec")</f>
        <v>Jan</v>
      </c>
      <c r="R850" s="41" t="n">
        <f aca="false">INT((K850-setMinDate)/7)+1</f>
        <v>2</v>
      </c>
      <c r="S850" s="41" t="n">
        <f aca="false">HOUR(L850)</f>
        <v>19</v>
      </c>
      <c r="T850" s="41" t="str">
        <f aca="false">IF(S850&lt;setMorningEnd,"Morning",IF(S850&lt;setAfternoonEnd,"Afternoon","Evening"))</f>
        <v>Evening</v>
      </c>
      <c r="U850" s="41" t="str">
        <f aca="false">IF(J850&gt;=setLarge,"Large",IF(J850&gt;=setMedium,"Medium","Small"))</f>
        <v>Large</v>
      </c>
      <c r="V850" s="41" t="str">
        <f aca="false">IF(P850&gt;=setExc,"Excellent",IF(P850&gt;=setGood,"Good",IF(P850&gt;=setAvg,"Average","Poor")))</f>
        <v>Poor</v>
      </c>
    </row>
    <row r="851" customFormat="false" ht="15" hidden="false" customHeight="false" outlineLevel="0" collapsed="false">
      <c r="A851" s="41" t="s">
        <v>1029</v>
      </c>
      <c r="B851" s="41" t="s">
        <v>178</v>
      </c>
      <c r="C851" s="41" t="s">
        <v>85</v>
      </c>
      <c r="D851" s="41" t="s">
        <v>105</v>
      </c>
      <c r="E851" s="41" t="s">
        <v>102</v>
      </c>
      <c r="F851" s="41" t="s">
        <v>79</v>
      </c>
      <c r="G851" s="42" t="n">
        <v>99.1</v>
      </c>
      <c r="H851" s="41" t="n">
        <v>6</v>
      </c>
      <c r="I851" s="42" t="n">
        <v>29.73</v>
      </c>
      <c r="J851" s="42" t="n">
        <v>624.33</v>
      </c>
      <c r="K851" s="43" t="n">
        <v>43484</v>
      </c>
      <c r="L851" s="44" t="n">
        <v>0.549305555555556</v>
      </c>
      <c r="M851" s="41" t="s">
        <v>97</v>
      </c>
      <c r="N851" s="42" t="n">
        <v>594.6</v>
      </c>
      <c r="O851" s="42" t="n">
        <v>29.73</v>
      </c>
      <c r="P851" s="45" t="n">
        <v>4.2</v>
      </c>
      <c r="Q851" s="41" t="str">
        <f aca="false">CHOOSE(MONTH(K851),"Jan","Feb","Mar","Apr","May","Jun","Jul","Aug","Sep","Oct","Nov","Dec")</f>
        <v>Jan</v>
      </c>
      <c r="R851" s="41" t="n">
        <f aca="false">INT((K851-setMinDate)/7)+1</f>
        <v>3</v>
      </c>
      <c r="S851" s="41" t="n">
        <f aca="false">HOUR(L851)</f>
        <v>13</v>
      </c>
      <c r="T851" s="41" t="str">
        <f aca="false">IF(S851&lt;setMorningEnd,"Morning",IF(S851&lt;setAfternoonEnd,"Afternoon","Evening"))</f>
        <v>Afternoon</v>
      </c>
      <c r="U851" s="41" t="str">
        <f aca="false">IF(J851&gt;=setLarge,"Large",IF(J851&gt;=setMedium,"Medium","Small"))</f>
        <v>Large</v>
      </c>
      <c r="V851" s="41" t="str">
        <f aca="false">IF(P851&gt;=setExc,"Excellent",IF(P851&gt;=setGood,"Good",IF(P851&gt;=setAvg,"Average","Poor")))</f>
        <v>Poor</v>
      </c>
    </row>
    <row r="852" customFormat="false" ht="15" hidden="false" customHeight="false" outlineLevel="0" collapsed="false">
      <c r="A852" s="41" t="s">
        <v>1030</v>
      </c>
      <c r="B852" s="41" t="s">
        <v>178</v>
      </c>
      <c r="C852" s="41" t="s">
        <v>85</v>
      </c>
      <c r="D852" s="41" t="s">
        <v>105</v>
      </c>
      <c r="E852" s="41" t="s">
        <v>103</v>
      </c>
      <c r="F852" s="41" t="s">
        <v>79</v>
      </c>
      <c r="G852" s="42" t="n">
        <v>74.1</v>
      </c>
      <c r="H852" s="41" t="n">
        <v>1</v>
      </c>
      <c r="I852" s="42" t="n">
        <v>3.705</v>
      </c>
      <c r="J852" s="42" t="n">
        <v>77.805</v>
      </c>
      <c r="K852" s="43" t="n">
        <v>43490</v>
      </c>
      <c r="L852" s="44" t="n">
        <v>0.461805555555556</v>
      </c>
      <c r="M852" s="41" t="s">
        <v>97</v>
      </c>
      <c r="N852" s="42" t="n">
        <v>74.1</v>
      </c>
      <c r="O852" s="42" t="n">
        <v>3.705</v>
      </c>
      <c r="P852" s="45" t="n">
        <v>9.2</v>
      </c>
      <c r="Q852" s="41" t="str">
        <f aca="false">CHOOSE(MONTH(K852),"Jan","Feb","Mar","Apr","May","Jun","Jul","Aug","Sep","Oct","Nov","Dec")</f>
        <v>Jan</v>
      </c>
      <c r="R852" s="41" t="n">
        <f aca="false">INT((K852-setMinDate)/7)+1</f>
        <v>4</v>
      </c>
      <c r="S852" s="41" t="n">
        <f aca="false">HOUR(L852)</f>
        <v>11</v>
      </c>
      <c r="T852" s="41" t="str">
        <f aca="false">IF(S852&lt;setMorningEnd,"Morning",IF(S852&lt;setAfternoonEnd,"Afternoon","Evening"))</f>
        <v>Morning</v>
      </c>
      <c r="U852" s="41" t="str">
        <f aca="false">IF(J852&gt;=setLarge,"Large",IF(J852&gt;=setMedium,"Medium","Small"))</f>
        <v>Small</v>
      </c>
      <c r="V852" s="41" t="str">
        <f aca="false">IF(P852&gt;=setExc,"Excellent",IF(P852&gt;=setGood,"Good",IF(P852&gt;=setAvg,"Average","Poor")))</f>
        <v>Excellent</v>
      </c>
    </row>
    <row r="853" customFormat="false" ht="15" hidden="false" customHeight="false" outlineLevel="0" collapsed="false">
      <c r="A853" s="41" t="s">
        <v>1031</v>
      </c>
      <c r="B853" s="41" t="s">
        <v>178</v>
      </c>
      <c r="C853" s="41" t="s">
        <v>85</v>
      </c>
      <c r="D853" s="41" t="s">
        <v>105</v>
      </c>
      <c r="E853" s="41" t="s">
        <v>102</v>
      </c>
      <c r="F853" s="41" t="s">
        <v>79</v>
      </c>
      <c r="G853" s="42" t="n">
        <v>98.48</v>
      </c>
      <c r="H853" s="41" t="n">
        <v>2</v>
      </c>
      <c r="I853" s="42" t="n">
        <v>9.848</v>
      </c>
      <c r="J853" s="42" t="n">
        <v>206.808</v>
      </c>
      <c r="K853" s="43" t="n">
        <v>43515</v>
      </c>
      <c r="L853" s="44" t="n">
        <v>0.425</v>
      </c>
      <c r="M853" s="41" t="s">
        <v>98</v>
      </c>
      <c r="N853" s="42" t="n">
        <v>196.96</v>
      </c>
      <c r="O853" s="42" t="n">
        <v>9.848</v>
      </c>
      <c r="P853" s="45" t="n">
        <v>9.2</v>
      </c>
      <c r="Q853" s="41" t="str">
        <f aca="false">CHOOSE(MONTH(K853),"Jan","Feb","Mar","Apr","May","Jun","Jul","Aug","Sep","Oct","Nov","Dec")</f>
        <v>Feb</v>
      </c>
      <c r="R853" s="41" t="n">
        <f aca="false">INT((K853-setMinDate)/7)+1</f>
        <v>8</v>
      </c>
      <c r="S853" s="41" t="n">
        <f aca="false">HOUR(L853)</f>
        <v>10</v>
      </c>
      <c r="T853" s="41" t="str">
        <f aca="false">IF(S853&lt;setMorningEnd,"Morning",IF(S853&lt;setAfternoonEnd,"Afternoon","Evening"))</f>
        <v>Morning</v>
      </c>
      <c r="U853" s="41" t="str">
        <f aca="false">IF(J853&gt;=setLarge,"Large",IF(J853&gt;=setMedium,"Medium","Small"))</f>
        <v>Small</v>
      </c>
      <c r="V853" s="41" t="str">
        <f aca="false">IF(P853&gt;=setExc,"Excellent",IF(P853&gt;=setGood,"Good",IF(P853&gt;=setAvg,"Average","Poor")))</f>
        <v>Excellent</v>
      </c>
    </row>
    <row r="854" customFormat="false" ht="15" hidden="false" customHeight="false" outlineLevel="0" collapsed="false">
      <c r="A854" s="41" t="s">
        <v>1032</v>
      </c>
      <c r="B854" s="41" t="s">
        <v>180</v>
      </c>
      <c r="C854" s="41" t="s">
        <v>87</v>
      </c>
      <c r="D854" s="41" t="s">
        <v>105</v>
      </c>
      <c r="E854" s="41" t="s">
        <v>103</v>
      </c>
      <c r="F854" s="41" t="s">
        <v>81</v>
      </c>
      <c r="G854" s="42" t="n">
        <v>53.19</v>
      </c>
      <c r="H854" s="41" t="n">
        <v>7</v>
      </c>
      <c r="I854" s="42" t="n">
        <v>18.6165</v>
      </c>
      <c r="J854" s="42" t="n">
        <v>390.9465</v>
      </c>
      <c r="K854" s="43" t="n">
        <v>43479</v>
      </c>
      <c r="L854" s="44" t="n">
        <v>0.654166666666667</v>
      </c>
      <c r="M854" s="41" t="s">
        <v>98</v>
      </c>
      <c r="N854" s="42" t="n">
        <v>372.33</v>
      </c>
      <c r="O854" s="42" t="n">
        <v>18.6165</v>
      </c>
      <c r="P854" s="45" t="n">
        <v>5</v>
      </c>
      <c r="Q854" s="41" t="str">
        <f aca="false">CHOOSE(MONTH(K854),"Jan","Feb","Mar","Apr","May","Jun","Jul","Aug","Sep","Oct","Nov","Dec")</f>
        <v>Jan</v>
      </c>
      <c r="R854" s="41" t="n">
        <f aca="false">INT((K854-setMinDate)/7)+1</f>
        <v>2</v>
      </c>
      <c r="S854" s="41" t="n">
        <f aca="false">HOUR(L854)</f>
        <v>15</v>
      </c>
      <c r="T854" s="41" t="str">
        <f aca="false">IF(S854&lt;setMorningEnd,"Morning",IF(S854&lt;setAfternoonEnd,"Afternoon","Evening"))</f>
        <v>Afternoon</v>
      </c>
      <c r="U854" s="41" t="str">
        <f aca="false">IF(J854&gt;=setLarge,"Large",IF(J854&gt;=setMedium,"Medium","Small"))</f>
        <v>Medium</v>
      </c>
      <c r="V854" s="41" t="str">
        <f aca="false">IF(P854&gt;=setExc,"Excellent",IF(P854&gt;=setGood,"Good",IF(P854&gt;=setAvg,"Average","Poor")))</f>
        <v>Average</v>
      </c>
    </row>
    <row r="855" customFormat="false" ht="15" hidden="false" customHeight="false" outlineLevel="0" collapsed="false">
      <c r="A855" s="41" t="s">
        <v>1033</v>
      </c>
      <c r="B855" s="41" t="s">
        <v>189</v>
      </c>
      <c r="C855" s="41" t="s">
        <v>86</v>
      </c>
      <c r="D855" s="41" t="s">
        <v>105</v>
      </c>
      <c r="E855" s="41" t="s">
        <v>102</v>
      </c>
      <c r="F855" s="41" t="s">
        <v>78</v>
      </c>
      <c r="G855" s="42" t="n">
        <v>52.79</v>
      </c>
      <c r="H855" s="41" t="n">
        <v>10</v>
      </c>
      <c r="I855" s="42" t="n">
        <v>26.395</v>
      </c>
      <c r="J855" s="42" t="n">
        <v>554.295</v>
      </c>
      <c r="K855" s="43" t="n">
        <v>43521</v>
      </c>
      <c r="L855" s="44" t="n">
        <v>0.498611111111111</v>
      </c>
      <c r="M855" s="41" t="s">
        <v>98</v>
      </c>
      <c r="N855" s="42" t="n">
        <v>527.9</v>
      </c>
      <c r="O855" s="42" t="n">
        <v>26.395</v>
      </c>
      <c r="P855" s="45" t="n">
        <v>10</v>
      </c>
      <c r="Q855" s="41" t="str">
        <f aca="false">CHOOSE(MONTH(K855),"Jan","Feb","Mar","Apr","May","Jun","Jul","Aug","Sep","Oct","Nov","Dec")</f>
        <v>Feb</v>
      </c>
      <c r="R855" s="41" t="n">
        <f aca="false">INT((K855-setMinDate)/7)+1</f>
        <v>8</v>
      </c>
      <c r="S855" s="41" t="n">
        <f aca="false">HOUR(L855)</f>
        <v>11</v>
      </c>
      <c r="T855" s="41" t="str">
        <f aca="false">IF(S855&lt;setMorningEnd,"Morning",IF(S855&lt;setAfternoonEnd,"Afternoon","Evening"))</f>
        <v>Morning</v>
      </c>
      <c r="U855" s="41" t="str">
        <f aca="false">IF(J855&gt;=setLarge,"Large",IF(J855&gt;=setMedium,"Medium","Small"))</f>
        <v>Medium</v>
      </c>
      <c r="V855" s="41" t="str">
        <f aca="false">IF(P855&gt;=setExc,"Excellent",IF(P855&gt;=setGood,"Good",IF(P855&gt;=setAvg,"Average","Poor")))</f>
        <v>Excellent</v>
      </c>
    </row>
    <row r="856" customFormat="false" ht="15" hidden="false" customHeight="false" outlineLevel="0" collapsed="false">
      <c r="A856" s="41" t="s">
        <v>1034</v>
      </c>
      <c r="B856" s="41" t="s">
        <v>178</v>
      </c>
      <c r="C856" s="41" t="s">
        <v>85</v>
      </c>
      <c r="D856" s="41" t="s">
        <v>104</v>
      </c>
      <c r="E856" s="41" t="s">
        <v>102</v>
      </c>
      <c r="F856" s="41" t="s">
        <v>81</v>
      </c>
      <c r="G856" s="42" t="n">
        <v>95.95</v>
      </c>
      <c r="H856" s="41" t="n">
        <v>5</v>
      </c>
      <c r="I856" s="42" t="n">
        <v>23.9875</v>
      </c>
      <c r="J856" s="42" t="n">
        <v>503.7375</v>
      </c>
      <c r="K856" s="43" t="n">
        <v>43488</v>
      </c>
      <c r="L856" s="44" t="n">
        <v>0.597916666666667</v>
      </c>
      <c r="M856" s="41" t="s">
        <v>98</v>
      </c>
      <c r="N856" s="42" t="n">
        <v>479.75</v>
      </c>
      <c r="O856" s="42" t="n">
        <v>23.9875</v>
      </c>
      <c r="P856" s="45" t="n">
        <v>8.8</v>
      </c>
      <c r="Q856" s="41" t="str">
        <f aca="false">CHOOSE(MONTH(K856),"Jan","Feb","Mar","Apr","May","Jun","Jul","Aug","Sep","Oct","Nov","Dec")</f>
        <v>Jan</v>
      </c>
      <c r="R856" s="41" t="n">
        <f aca="false">INT((K856-setMinDate)/7)+1</f>
        <v>4</v>
      </c>
      <c r="S856" s="41" t="n">
        <f aca="false">HOUR(L856)</f>
        <v>14</v>
      </c>
      <c r="T856" s="41" t="str">
        <f aca="false">IF(S856&lt;setMorningEnd,"Morning",IF(S856&lt;setAfternoonEnd,"Afternoon","Evening"))</f>
        <v>Afternoon</v>
      </c>
      <c r="U856" s="41" t="str">
        <f aca="false">IF(J856&gt;=setLarge,"Large",IF(J856&gt;=setMedium,"Medium","Small"))</f>
        <v>Medium</v>
      </c>
      <c r="V856" s="41" t="str">
        <f aca="false">IF(P856&gt;=setExc,"Excellent",IF(P856&gt;=setGood,"Good",IF(P856&gt;=setAvg,"Average","Poor")))</f>
        <v>Good</v>
      </c>
    </row>
    <row r="857" customFormat="false" ht="15" hidden="false" customHeight="false" outlineLevel="0" collapsed="false">
      <c r="A857" s="41" t="s">
        <v>1035</v>
      </c>
      <c r="B857" s="41" t="s">
        <v>189</v>
      </c>
      <c r="C857" s="41" t="s">
        <v>86</v>
      </c>
      <c r="D857" s="41" t="s">
        <v>105</v>
      </c>
      <c r="E857" s="41" t="s">
        <v>102</v>
      </c>
      <c r="F857" s="41" t="s">
        <v>79</v>
      </c>
      <c r="G857" s="42" t="n">
        <v>36.51</v>
      </c>
      <c r="H857" s="41" t="n">
        <v>9</v>
      </c>
      <c r="I857" s="42" t="n">
        <v>16.4295</v>
      </c>
      <c r="J857" s="42" t="n">
        <v>345.0195</v>
      </c>
      <c r="K857" s="43" t="n">
        <v>43512</v>
      </c>
      <c r="L857" s="44" t="n">
        <v>0.452777777777778</v>
      </c>
      <c r="M857" s="41" t="s">
        <v>97</v>
      </c>
      <c r="N857" s="42" t="n">
        <v>328.59</v>
      </c>
      <c r="O857" s="42" t="n">
        <v>16.4295</v>
      </c>
      <c r="P857" s="45" t="n">
        <v>4.2</v>
      </c>
      <c r="Q857" s="41" t="str">
        <f aca="false">CHOOSE(MONTH(K857),"Jan","Feb","Mar","Apr","May","Jun","Jul","Aug","Sep","Oct","Nov","Dec")</f>
        <v>Feb</v>
      </c>
      <c r="R857" s="41" t="n">
        <f aca="false">INT((K857-setMinDate)/7)+1</f>
        <v>7</v>
      </c>
      <c r="S857" s="41" t="n">
        <f aca="false">HOUR(L857)</f>
        <v>10</v>
      </c>
      <c r="T857" s="41" t="str">
        <f aca="false">IF(S857&lt;setMorningEnd,"Morning",IF(S857&lt;setAfternoonEnd,"Afternoon","Evening"))</f>
        <v>Morning</v>
      </c>
      <c r="U857" s="41" t="str">
        <f aca="false">IF(J857&gt;=setLarge,"Large",IF(J857&gt;=setMedium,"Medium","Small"))</f>
        <v>Medium</v>
      </c>
      <c r="V857" s="41" t="str">
        <f aca="false">IF(P857&gt;=setExc,"Excellent",IF(P857&gt;=setGood,"Good",IF(P857&gt;=setAvg,"Average","Poor")))</f>
        <v>Poor</v>
      </c>
    </row>
    <row r="858" customFormat="false" ht="15" hidden="false" customHeight="false" outlineLevel="0" collapsed="false">
      <c r="A858" s="41" t="s">
        <v>1036</v>
      </c>
      <c r="B858" s="41" t="s">
        <v>189</v>
      </c>
      <c r="C858" s="41" t="s">
        <v>86</v>
      </c>
      <c r="D858" s="41" t="s">
        <v>105</v>
      </c>
      <c r="E858" s="41" t="s">
        <v>103</v>
      </c>
      <c r="F858" s="41" t="s">
        <v>76</v>
      </c>
      <c r="G858" s="42" t="n">
        <v>21.12</v>
      </c>
      <c r="H858" s="41" t="n">
        <v>8</v>
      </c>
      <c r="I858" s="42" t="n">
        <v>8.448</v>
      </c>
      <c r="J858" s="42" t="n">
        <v>177.408</v>
      </c>
      <c r="K858" s="43" t="n">
        <v>43466</v>
      </c>
      <c r="L858" s="44" t="n">
        <v>0.813194444444444</v>
      </c>
      <c r="M858" s="41" t="s">
        <v>97</v>
      </c>
      <c r="N858" s="42" t="n">
        <v>168.96</v>
      </c>
      <c r="O858" s="42" t="n">
        <v>8.448</v>
      </c>
      <c r="P858" s="45" t="n">
        <v>6.3</v>
      </c>
      <c r="Q858" s="41" t="str">
        <f aca="false">CHOOSE(MONTH(K858),"Jan","Feb","Mar","Apr","May","Jun","Jul","Aug","Sep","Oct","Nov","Dec")</f>
        <v>Jan</v>
      </c>
      <c r="R858" s="41" t="n">
        <f aca="false">INT((K858-setMinDate)/7)+1</f>
        <v>1</v>
      </c>
      <c r="S858" s="41" t="n">
        <f aca="false">HOUR(L858)</f>
        <v>19</v>
      </c>
      <c r="T858" s="41" t="str">
        <f aca="false">IF(S858&lt;setMorningEnd,"Morning",IF(S858&lt;setAfternoonEnd,"Afternoon","Evening"))</f>
        <v>Evening</v>
      </c>
      <c r="U858" s="41" t="str">
        <f aca="false">IF(J858&gt;=setLarge,"Large",IF(J858&gt;=setMedium,"Medium","Small"))</f>
        <v>Small</v>
      </c>
      <c r="V858" s="41" t="str">
        <f aca="false">IF(P858&gt;=setExc,"Excellent",IF(P858&gt;=setGood,"Good",IF(P858&gt;=setAvg,"Average","Poor")))</f>
        <v>Average</v>
      </c>
    </row>
    <row r="859" customFormat="false" ht="15" hidden="false" customHeight="false" outlineLevel="0" collapsed="false">
      <c r="A859" s="41" t="s">
        <v>1037</v>
      </c>
      <c r="B859" s="41" t="s">
        <v>178</v>
      </c>
      <c r="C859" s="41" t="s">
        <v>85</v>
      </c>
      <c r="D859" s="41" t="s">
        <v>104</v>
      </c>
      <c r="E859" s="41" t="s">
        <v>102</v>
      </c>
      <c r="F859" s="41" t="s">
        <v>80</v>
      </c>
      <c r="G859" s="42" t="n">
        <v>28.31</v>
      </c>
      <c r="H859" s="41" t="n">
        <v>4</v>
      </c>
      <c r="I859" s="42" t="n">
        <v>5.662</v>
      </c>
      <c r="J859" s="42" t="n">
        <v>118.902</v>
      </c>
      <c r="K859" s="43" t="n">
        <v>43531</v>
      </c>
      <c r="L859" s="44" t="n">
        <v>0.774305555555556</v>
      </c>
      <c r="M859" s="41" t="s">
        <v>97</v>
      </c>
      <c r="N859" s="42" t="n">
        <v>113.24</v>
      </c>
      <c r="O859" s="42" t="n">
        <v>5.662</v>
      </c>
      <c r="P859" s="45" t="n">
        <v>8.2</v>
      </c>
      <c r="Q859" s="41" t="str">
        <f aca="false">CHOOSE(MONTH(K859),"Jan","Feb","Mar","Apr","May","Jun","Jul","Aug","Sep","Oct","Nov","Dec")</f>
        <v>Mar</v>
      </c>
      <c r="R859" s="41" t="n">
        <f aca="false">INT((K859-setMinDate)/7)+1</f>
        <v>10</v>
      </c>
      <c r="S859" s="41" t="n">
        <f aca="false">HOUR(L859)</f>
        <v>18</v>
      </c>
      <c r="T859" s="41" t="str">
        <f aca="false">IF(S859&lt;setMorningEnd,"Morning",IF(S859&lt;setAfternoonEnd,"Afternoon","Evening"))</f>
        <v>Evening</v>
      </c>
      <c r="U859" s="41" t="str">
        <f aca="false">IF(J859&gt;=setLarge,"Large",IF(J859&gt;=setMedium,"Medium","Small"))</f>
        <v>Small</v>
      </c>
      <c r="V859" s="41" t="str">
        <f aca="false">IF(P859&gt;=setExc,"Excellent",IF(P859&gt;=setGood,"Good",IF(P859&gt;=setAvg,"Average","Poor")))</f>
        <v>Good</v>
      </c>
    </row>
    <row r="860" customFormat="false" ht="15" hidden="false" customHeight="false" outlineLevel="0" collapsed="false">
      <c r="A860" s="41" t="s">
        <v>1038</v>
      </c>
      <c r="B860" s="41" t="s">
        <v>189</v>
      </c>
      <c r="C860" s="41" t="s">
        <v>86</v>
      </c>
      <c r="D860" s="41" t="s">
        <v>105</v>
      </c>
      <c r="E860" s="41" t="s">
        <v>103</v>
      </c>
      <c r="F860" s="41" t="s">
        <v>81</v>
      </c>
      <c r="G860" s="42" t="n">
        <v>57.59</v>
      </c>
      <c r="H860" s="41" t="n">
        <v>6</v>
      </c>
      <c r="I860" s="42" t="n">
        <v>17.277</v>
      </c>
      <c r="J860" s="42" t="n">
        <v>362.817</v>
      </c>
      <c r="K860" s="43" t="n">
        <v>43511</v>
      </c>
      <c r="L860" s="44" t="n">
        <v>0.577083333333333</v>
      </c>
      <c r="M860" s="41" t="s">
        <v>97</v>
      </c>
      <c r="N860" s="42" t="n">
        <v>345.54</v>
      </c>
      <c r="O860" s="42" t="n">
        <v>17.277</v>
      </c>
      <c r="P860" s="45" t="n">
        <v>5.1</v>
      </c>
      <c r="Q860" s="41" t="str">
        <f aca="false">CHOOSE(MONTH(K860),"Jan","Feb","Mar","Apr","May","Jun","Jul","Aug","Sep","Oct","Nov","Dec")</f>
        <v>Feb</v>
      </c>
      <c r="R860" s="41" t="n">
        <f aca="false">INT((K860-setMinDate)/7)+1</f>
        <v>7</v>
      </c>
      <c r="S860" s="41" t="n">
        <f aca="false">HOUR(L860)</f>
        <v>13</v>
      </c>
      <c r="T860" s="41" t="str">
        <f aca="false">IF(S860&lt;setMorningEnd,"Morning",IF(S860&lt;setAfternoonEnd,"Afternoon","Evening"))</f>
        <v>Afternoon</v>
      </c>
      <c r="U860" s="41" t="str">
        <f aca="false">IF(J860&gt;=setLarge,"Large",IF(J860&gt;=setMedium,"Medium","Small"))</f>
        <v>Medium</v>
      </c>
      <c r="V860" s="41" t="str">
        <f aca="false">IF(P860&gt;=setExc,"Excellent",IF(P860&gt;=setGood,"Good",IF(P860&gt;=setAvg,"Average","Poor")))</f>
        <v>Average</v>
      </c>
    </row>
    <row r="861" customFormat="false" ht="15" hidden="false" customHeight="false" outlineLevel="0" collapsed="false">
      <c r="A861" s="41" t="s">
        <v>1039</v>
      </c>
      <c r="B861" s="41" t="s">
        <v>178</v>
      </c>
      <c r="C861" s="41" t="s">
        <v>85</v>
      </c>
      <c r="D861" s="41" t="s">
        <v>104</v>
      </c>
      <c r="E861" s="41" t="s">
        <v>102</v>
      </c>
      <c r="F861" s="41" t="s">
        <v>76</v>
      </c>
      <c r="G861" s="42" t="n">
        <v>47.63</v>
      </c>
      <c r="H861" s="41" t="n">
        <v>9</v>
      </c>
      <c r="I861" s="42" t="n">
        <v>21.4335</v>
      </c>
      <c r="J861" s="42" t="n">
        <v>450.1035</v>
      </c>
      <c r="K861" s="43" t="n">
        <v>43488</v>
      </c>
      <c r="L861" s="44" t="n">
        <v>0.524305555555556</v>
      </c>
      <c r="M861" s="41" t="s">
        <v>97</v>
      </c>
      <c r="N861" s="42" t="n">
        <v>428.67</v>
      </c>
      <c r="O861" s="42" t="n">
        <v>21.4335</v>
      </c>
      <c r="P861" s="45" t="n">
        <v>5</v>
      </c>
      <c r="Q861" s="41" t="str">
        <f aca="false">CHOOSE(MONTH(K861),"Jan","Feb","Mar","Apr","May","Jun","Jul","Aug","Sep","Oct","Nov","Dec")</f>
        <v>Jan</v>
      </c>
      <c r="R861" s="41" t="n">
        <f aca="false">INT((K861-setMinDate)/7)+1</f>
        <v>4</v>
      </c>
      <c r="S861" s="41" t="n">
        <f aca="false">HOUR(L861)</f>
        <v>12</v>
      </c>
      <c r="T861" s="41" t="str">
        <f aca="false">IF(S861&lt;setMorningEnd,"Morning",IF(S861&lt;setAfternoonEnd,"Afternoon","Evening"))</f>
        <v>Afternoon</v>
      </c>
      <c r="U861" s="41" t="str">
        <f aca="false">IF(J861&gt;=setLarge,"Large",IF(J861&gt;=setMedium,"Medium","Small"))</f>
        <v>Medium</v>
      </c>
      <c r="V861" s="41" t="str">
        <f aca="false">IF(P861&gt;=setExc,"Excellent",IF(P861&gt;=setGood,"Good",IF(P861&gt;=setAvg,"Average","Poor")))</f>
        <v>Average</v>
      </c>
    </row>
    <row r="862" customFormat="false" ht="15" hidden="false" customHeight="false" outlineLevel="0" collapsed="false">
      <c r="A862" s="41" t="s">
        <v>1040</v>
      </c>
      <c r="B862" s="41" t="s">
        <v>180</v>
      </c>
      <c r="C862" s="41" t="s">
        <v>87</v>
      </c>
      <c r="D862" s="41" t="s">
        <v>104</v>
      </c>
      <c r="E862" s="41" t="s">
        <v>102</v>
      </c>
      <c r="F862" s="41" t="s">
        <v>80</v>
      </c>
      <c r="G862" s="42" t="n">
        <v>86.27</v>
      </c>
      <c r="H862" s="41" t="n">
        <v>1</v>
      </c>
      <c r="I862" s="42" t="n">
        <v>4.3135</v>
      </c>
      <c r="J862" s="42" t="n">
        <v>90.5835</v>
      </c>
      <c r="K862" s="43" t="n">
        <v>43516</v>
      </c>
      <c r="L862" s="44" t="n">
        <v>0.558333333333333</v>
      </c>
      <c r="M862" s="41" t="s">
        <v>98</v>
      </c>
      <c r="N862" s="42" t="n">
        <v>86.27</v>
      </c>
      <c r="O862" s="42" t="n">
        <v>4.3135</v>
      </c>
      <c r="P862" s="45" t="n">
        <v>7</v>
      </c>
      <c r="Q862" s="41" t="str">
        <f aca="false">CHOOSE(MONTH(K862),"Jan","Feb","Mar","Apr","May","Jun","Jul","Aug","Sep","Oct","Nov","Dec")</f>
        <v>Feb</v>
      </c>
      <c r="R862" s="41" t="n">
        <f aca="false">INT((K862-setMinDate)/7)+1</f>
        <v>8</v>
      </c>
      <c r="S862" s="41" t="n">
        <f aca="false">HOUR(L862)</f>
        <v>13</v>
      </c>
      <c r="T862" s="41" t="str">
        <f aca="false">IF(S862&lt;setMorningEnd,"Morning",IF(S862&lt;setAfternoonEnd,"Afternoon","Evening"))</f>
        <v>Afternoon</v>
      </c>
      <c r="U862" s="41" t="str">
        <f aca="false">IF(J862&gt;=setLarge,"Large",IF(J862&gt;=setMedium,"Medium","Small"))</f>
        <v>Small</v>
      </c>
      <c r="V862" s="41" t="str">
        <f aca="false">IF(P862&gt;=setExc,"Excellent",IF(P862&gt;=setGood,"Good",IF(P862&gt;=setAvg,"Average","Poor")))</f>
        <v>Good</v>
      </c>
    </row>
    <row r="863" customFormat="false" ht="15" hidden="false" customHeight="false" outlineLevel="0" collapsed="false">
      <c r="A863" s="41" t="s">
        <v>1041</v>
      </c>
      <c r="B863" s="41" t="s">
        <v>178</v>
      </c>
      <c r="C863" s="41" t="s">
        <v>85</v>
      </c>
      <c r="D863" s="41" t="s">
        <v>104</v>
      </c>
      <c r="E863" s="41" t="s">
        <v>103</v>
      </c>
      <c r="F863" s="41" t="s">
        <v>77</v>
      </c>
      <c r="G863" s="42" t="n">
        <v>12.76</v>
      </c>
      <c r="H863" s="41" t="n">
        <v>2</v>
      </c>
      <c r="I863" s="42" t="n">
        <v>1.276</v>
      </c>
      <c r="J863" s="42" t="n">
        <v>26.796</v>
      </c>
      <c r="K863" s="43" t="n">
        <v>43473</v>
      </c>
      <c r="L863" s="44" t="n">
        <v>0.754166666666667</v>
      </c>
      <c r="M863" s="41" t="s">
        <v>98</v>
      </c>
      <c r="N863" s="42" t="n">
        <v>25.52</v>
      </c>
      <c r="O863" s="42" t="n">
        <v>1.276</v>
      </c>
      <c r="P863" s="45" t="n">
        <v>7.8</v>
      </c>
      <c r="Q863" s="41" t="str">
        <f aca="false">CHOOSE(MONTH(K863),"Jan","Feb","Mar","Apr","May","Jun","Jul","Aug","Sep","Oct","Nov","Dec")</f>
        <v>Jan</v>
      </c>
      <c r="R863" s="41" t="n">
        <f aca="false">INT((K863-setMinDate)/7)+1</f>
        <v>2</v>
      </c>
      <c r="S863" s="41" t="n">
        <f aca="false">HOUR(L863)</f>
        <v>18</v>
      </c>
      <c r="T863" s="41" t="str">
        <f aca="false">IF(S863&lt;setMorningEnd,"Morning",IF(S863&lt;setAfternoonEnd,"Afternoon","Evening"))</f>
        <v>Evening</v>
      </c>
      <c r="U863" s="41" t="str">
        <f aca="false">IF(J863&gt;=setLarge,"Large",IF(J863&gt;=setMedium,"Medium","Small"))</f>
        <v>Small</v>
      </c>
      <c r="V863" s="41" t="str">
        <f aca="false">IF(P863&gt;=setExc,"Excellent",IF(P863&gt;=setGood,"Good",IF(P863&gt;=setAvg,"Average","Poor")))</f>
        <v>Good</v>
      </c>
    </row>
    <row r="864" customFormat="false" ht="15" hidden="false" customHeight="false" outlineLevel="0" collapsed="false">
      <c r="A864" s="41" t="s">
        <v>1042</v>
      </c>
      <c r="B864" s="41" t="s">
        <v>189</v>
      </c>
      <c r="C864" s="41" t="s">
        <v>86</v>
      </c>
      <c r="D864" s="41" t="s">
        <v>105</v>
      </c>
      <c r="E864" s="41" t="s">
        <v>102</v>
      </c>
      <c r="F864" s="41" t="s">
        <v>80</v>
      </c>
      <c r="G864" s="42" t="n">
        <v>11.28</v>
      </c>
      <c r="H864" s="41" t="n">
        <v>9</v>
      </c>
      <c r="I864" s="42" t="n">
        <v>5.076</v>
      </c>
      <c r="J864" s="42" t="n">
        <v>106.596</v>
      </c>
      <c r="K864" s="43" t="n">
        <v>43541</v>
      </c>
      <c r="L864" s="44" t="n">
        <v>0.496527777777778</v>
      </c>
      <c r="M864" s="41" t="s">
        <v>99</v>
      </c>
      <c r="N864" s="42" t="n">
        <v>101.52</v>
      </c>
      <c r="O864" s="42" t="n">
        <v>5.076</v>
      </c>
      <c r="P864" s="45" t="n">
        <v>4.3</v>
      </c>
      <c r="Q864" s="41" t="str">
        <f aca="false">CHOOSE(MONTH(K864),"Jan","Feb","Mar","Apr","May","Jun","Jul","Aug","Sep","Oct","Nov","Dec")</f>
        <v>Mar</v>
      </c>
      <c r="R864" s="41" t="n">
        <f aca="false">INT((K864-setMinDate)/7)+1</f>
        <v>11</v>
      </c>
      <c r="S864" s="41" t="n">
        <f aca="false">HOUR(L864)</f>
        <v>11</v>
      </c>
      <c r="T864" s="41" t="str">
        <f aca="false">IF(S864&lt;setMorningEnd,"Morning",IF(S864&lt;setAfternoonEnd,"Afternoon","Evening"))</f>
        <v>Morning</v>
      </c>
      <c r="U864" s="41" t="str">
        <f aca="false">IF(J864&gt;=setLarge,"Large",IF(J864&gt;=setMedium,"Medium","Small"))</f>
        <v>Small</v>
      </c>
      <c r="V864" s="41" t="str">
        <f aca="false">IF(P864&gt;=setExc,"Excellent",IF(P864&gt;=setGood,"Good",IF(P864&gt;=setAvg,"Average","Poor")))</f>
        <v>Poor</v>
      </c>
    </row>
    <row r="865" customFormat="false" ht="15" hidden="false" customHeight="false" outlineLevel="0" collapsed="false">
      <c r="A865" s="41" t="s">
        <v>1043</v>
      </c>
      <c r="B865" s="41" t="s">
        <v>189</v>
      </c>
      <c r="C865" s="41" t="s">
        <v>86</v>
      </c>
      <c r="D865" s="41" t="s">
        <v>105</v>
      </c>
      <c r="E865" s="41" t="s">
        <v>102</v>
      </c>
      <c r="F865" s="41" t="s">
        <v>80</v>
      </c>
      <c r="G865" s="42" t="n">
        <v>51.07</v>
      </c>
      <c r="H865" s="41" t="n">
        <v>7</v>
      </c>
      <c r="I865" s="42" t="n">
        <v>17.8745</v>
      </c>
      <c r="J865" s="42" t="n">
        <v>375.3645</v>
      </c>
      <c r="K865" s="43" t="n">
        <v>43477</v>
      </c>
      <c r="L865" s="44" t="n">
        <v>0.4875</v>
      </c>
      <c r="M865" s="41" t="s">
        <v>97</v>
      </c>
      <c r="N865" s="42" t="n">
        <v>357.49</v>
      </c>
      <c r="O865" s="42" t="n">
        <v>17.8745</v>
      </c>
      <c r="P865" s="45" t="n">
        <v>7</v>
      </c>
      <c r="Q865" s="41" t="str">
        <f aca="false">CHOOSE(MONTH(K865),"Jan","Feb","Mar","Apr","May","Jun","Jul","Aug","Sep","Oct","Nov","Dec")</f>
        <v>Jan</v>
      </c>
      <c r="R865" s="41" t="n">
        <f aca="false">INT((K865-setMinDate)/7)+1</f>
        <v>2</v>
      </c>
      <c r="S865" s="41" t="n">
        <f aca="false">HOUR(L865)</f>
        <v>11</v>
      </c>
      <c r="T865" s="41" t="str">
        <f aca="false">IF(S865&lt;setMorningEnd,"Morning",IF(S865&lt;setAfternoonEnd,"Afternoon","Evening"))</f>
        <v>Morning</v>
      </c>
      <c r="U865" s="41" t="str">
        <f aca="false">IF(J865&gt;=setLarge,"Large",IF(J865&gt;=setMedium,"Medium","Small"))</f>
        <v>Medium</v>
      </c>
      <c r="V865" s="41" t="str">
        <f aca="false">IF(P865&gt;=setExc,"Excellent",IF(P865&gt;=setGood,"Good",IF(P865&gt;=setAvg,"Average","Poor")))</f>
        <v>Good</v>
      </c>
    </row>
    <row r="866" customFormat="false" ht="15" hidden="false" customHeight="false" outlineLevel="0" collapsed="false">
      <c r="A866" s="41" t="s">
        <v>1044</v>
      </c>
      <c r="B866" s="41" t="s">
        <v>178</v>
      </c>
      <c r="C866" s="41" t="s">
        <v>85</v>
      </c>
      <c r="D866" s="41" t="s">
        <v>104</v>
      </c>
      <c r="E866" s="41" t="s">
        <v>102</v>
      </c>
      <c r="F866" s="41" t="s">
        <v>78</v>
      </c>
      <c r="G866" s="42" t="n">
        <v>79.59</v>
      </c>
      <c r="H866" s="41" t="n">
        <v>3</v>
      </c>
      <c r="I866" s="42" t="n">
        <v>11.9385</v>
      </c>
      <c r="J866" s="42" t="n">
        <v>250.7085</v>
      </c>
      <c r="K866" s="43" t="n">
        <v>43473</v>
      </c>
      <c r="L866" s="44" t="n">
        <v>0.604166666666667</v>
      </c>
      <c r="M866" s="41" t="s">
        <v>97</v>
      </c>
      <c r="N866" s="42" t="n">
        <v>238.77</v>
      </c>
      <c r="O866" s="42" t="n">
        <v>11.9385</v>
      </c>
      <c r="P866" s="45" t="n">
        <v>6.6</v>
      </c>
      <c r="Q866" s="41" t="str">
        <f aca="false">CHOOSE(MONTH(K866),"Jan","Feb","Mar","Apr","May","Jun","Jul","Aug","Sep","Oct","Nov","Dec")</f>
        <v>Jan</v>
      </c>
      <c r="R866" s="41" t="n">
        <f aca="false">INT((K866-setMinDate)/7)+1</f>
        <v>2</v>
      </c>
      <c r="S866" s="41" t="n">
        <f aca="false">HOUR(L866)</f>
        <v>14</v>
      </c>
      <c r="T866" s="41" t="str">
        <f aca="false">IF(S866&lt;setMorningEnd,"Morning",IF(S866&lt;setAfternoonEnd,"Afternoon","Evening"))</f>
        <v>Afternoon</v>
      </c>
      <c r="U866" s="41" t="str">
        <f aca="false">IF(J866&gt;=setLarge,"Large",IF(J866&gt;=setMedium,"Medium","Small"))</f>
        <v>Medium</v>
      </c>
      <c r="V866" s="41" t="str">
        <f aca="false">IF(P866&gt;=setExc,"Excellent",IF(P866&gt;=setGood,"Good",IF(P866&gt;=setAvg,"Average","Poor")))</f>
        <v>Average</v>
      </c>
    </row>
    <row r="867" customFormat="false" ht="15" hidden="false" customHeight="false" outlineLevel="0" collapsed="false">
      <c r="A867" s="41" t="s">
        <v>1045</v>
      </c>
      <c r="B867" s="41" t="s">
        <v>180</v>
      </c>
      <c r="C867" s="41" t="s">
        <v>87</v>
      </c>
      <c r="D867" s="41" t="s">
        <v>104</v>
      </c>
      <c r="E867" s="41" t="s">
        <v>103</v>
      </c>
      <c r="F867" s="41" t="s">
        <v>81</v>
      </c>
      <c r="G867" s="42" t="n">
        <v>33.81</v>
      </c>
      <c r="H867" s="41" t="n">
        <v>3</v>
      </c>
      <c r="I867" s="42" t="n">
        <v>5.0715</v>
      </c>
      <c r="J867" s="42" t="n">
        <v>106.5015</v>
      </c>
      <c r="K867" s="43" t="n">
        <v>43491</v>
      </c>
      <c r="L867" s="44" t="n">
        <v>0.632638888888889</v>
      </c>
      <c r="M867" s="41" t="s">
        <v>98</v>
      </c>
      <c r="N867" s="42" t="n">
        <v>101.43</v>
      </c>
      <c r="O867" s="42" t="n">
        <v>5.0715</v>
      </c>
      <c r="P867" s="45" t="n">
        <v>7.3</v>
      </c>
      <c r="Q867" s="41" t="str">
        <f aca="false">CHOOSE(MONTH(K867),"Jan","Feb","Mar","Apr","May","Jun","Jul","Aug","Sep","Oct","Nov","Dec")</f>
        <v>Jan</v>
      </c>
      <c r="R867" s="41" t="n">
        <f aca="false">INT((K867-setMinDate)/7)+1</f>
        <v>4</v>
      </c>
      <c r="S867" s="41" t="n">
        <f aca="false">HOUR(L867)</f>
        <v>15</v>
      </c>
      <c r="T867" s="41" t="str">
        <f aca="false">IF(S867&lt;setMorningEnd,"Morning",IF(S867&lt;setAfternoonEnd,"Afternoon","Evening"))</f>
        <v>Afternoon</v>
      </c>
      <c r="U867" s="41" t="str">
        <f aca="false">IF(J867&gt;=setLarge,"Large",IF(J867&gt;=setMedium,"Medium","Small"))</f>
        <v>Small</v>
      </c>
      <c r="V867" s="41" t="str">
        <f aca="false">IF(P867&gt;=setExc,"Excellent",IF(P867&gt;=setGood,"Good",IF(P867&gt;=setAvg,"Average","Poor")))</f>
        <v>Good</v>
      </c>
    </row>
    <row r="868" customFormat="false" ht="15" hidden="false" customHeight="false" outlineLevel="0" collapsed="false">
      <c r="A868" s="41" t="s">
        <v>1046</v>
      </c>
      <c r="B868" s="41" t="s">
        <v>189</v>
      </c>
      <c r="C868" s="41" t="s">
        <v>86</v>
      </c>
      <c r="D868" s="41" t="s">
        <v>104</v>
      </c>
      <c r="E868" s="41" t="s">
        <v>103</v>
      </c>
      <c r="F868" s="41" t="s">
        <v>77</v>
      </c>
      <c r="G868" s="42" t="n">
        <v>90.53</v>
      </c>
      <c r="H868" s="41" t="n">
        <v>8</v>
      </c>
      <c r="I868" s="42" t="n">
        <v>36.212</v>
      </c>
      <c r="J868" s="42" t="n">
        <v>760.452</v>
      </c>
      <c r="K868" s="43" t="n">
        <v>43539</v>
      </c>
      <c r="L868" s="44" t="n">
        <v>0.616666666666667</v>
      </c>
      <c r="M868" s="41" t="s">
        <v>99</v>
      </c>
      <c r="N868" s="42" t="n">
        <v>724.24</v>
      </c>
      <c r="O868" s="42" t="n">
        <v>36.212</v>
      </c>
      <c r="P868" s="45" t="n">
        <v>6.5</v>
      </c>
      <c r="Q868" s="41" t="str">
        <f aca="false">CHOOSE(MONTH(K868),"Jan","Feb","Mar","Apr","May","Jun","Jul","Aug","Sep","Oct","Nov","Dec")</f>
        <v>Mar</v>
      </c>
      <c r="R868" s="41" t="n">
        <f aca="false">INT((K868-setMinDate)/7)+1</f>
        <v>11</v>
      </c>
      <c r="S868" s="41" t="n">
        <f aca="false">HOUR(L868)</f>
        <v>14</v>
      </c>
      <c r="T868" s="41" t="str">
        <f aca="false">IF(S868&lt;setMorningEnd,"Morning",IF(S868&lt;setAfternoonEnd,"Afternoon","Evening"))</f>
        <v>Afternoon</v>
      </c>
      <c r="U868" s="41" t="str">
        <f aca="false">IF(J868&gt;=setLarge,"Large",IF(J868&gt;=setMedium,"Medium","Small"))</f>
        <v>Large</v>
      </c>
      <c r="V868" s="41" t="str">
        <f aca="false">IF(P868&gt;=setExc,"Excellent",IF(P868&gt;=setGood,"Good",IF(P868&gt;=setAvg,"Average","Poor")))</f>
        <v>Average</v>
      </c>
    </row>
    <row r="869" customFormat="false" ht="15" hidden="false" customHeight="false" outlineLevel="0" collapsed="false">
      <c r="A869" s="41" t="s">
        <v>1047</v>
      </c>
      <c r="B869" s="41" t="s">
        <v>180</v>
      </c>
      <c r="C869" s="41" t="s">
        <v>87</v>
      </c>
      <c r="D869" s="41" t="s">
        <v>104</v>
      </c>
      <c r="E869" s="41" t="s">
        <v>102</v>
      </c>
      <c r="F869" s="41" t="s">
        <v>81</v>
      </c>
      <c r="G869" s="42" t="n">
        <v>62.82</v>
      </c>
      <c r="H869" s="41" t="n">
        <v>2</v>
      </c>
      <c r="I869" s="42" t="n">
        <v>6.282</v>
      </c>
      <c r="J869" s="42" t="n">
        <v>131.922</v>
      </c>
      <c r="K869" s="43" t="n">
        <v>43482</v>
      </c>
      <c r="L869" s="44" t="n">
        <v>0.525</v>
      </c>
      <c r="M869" s="41" t="s">
        <v>98</v>
      </c>
      <c r="N869" s="42" t="n">
        <v>125.64</v>
      </c>
      <c r="O869" s="42" t="n">
        <v>6.282</v>
      </c>
      <c r="P869" s="45" t="n">
        <v>4.9</v>
      </c>
      <c r="Q869" s="41" t="str">
        <f aca="false">CHOOSE(MONTH(K869),"Jan","Feb","Mar","Apr","May","Jun","Jul","Aug","Sep","Oct","Nov","Dec")</f>
        <v>Jan</v>
      </c>
      <c r="R869" s="41" t="n">
        <f aca="false">INT((K869-setMinDate)/7)+1</f>
        <v>3</v>
      </c>
      <c r="S869" s="41" t="n">
        <f aca="false">HOUR(L869)</f>
        <v>12</v>
      </c>
      <c r="T869" s="41" t="str">
        <f aca="false">IF(S869&lt;setMorningEnd,"Morning",IF(S869&lt;setAfternoonEnd,"Afternoon","Evening"))</f>
        <v>Afternoon</v>
      </c>
      <c r="U869" s="41" t="str">
        <f aca="false">IF(J869&gt;=setLarge,"Large",IF(J869&gt;=setMedium,"Medium","Small"))</f>
        <v>Small</v>
      </c>
      <c r="V869" s="41" t="str">
        <f aca="false">IF(P869&gt;=setExc,"Excellent",IF(P869&gt;=setGood,"Good",IF(P869&gt;=setAvg,"Average","Poor")))</f>
        <v>Poor</v>
      </c>
    </row>
    <row r="870" customFormat="false" ht="15" hidden="false" customHeight="false" outlineLevel="0" collapsed="false">
      <c r="A870" s="41" t="s">
        <v>1048</v>
      </c>
      <c r="B870" s="41" t="s">
        <v>180</v>
      </c>
      <c r="C870" s="41" t="s">
        <v>87</v>
      </c>
      <c r="D870" s="41" t="s">
        <v>104</v>
      </c>
      <c r="E870" s="41" t="s">
        <v>103</v>
      </c>
      <c r="F870" s="41" t="s">
        <v>76</v>
      </c>
      <c r="G870" s="42" t="n">
        <v>24.31</v>
      </c>
      <c r="H870" s="41" t="n">
        <v>3</v>
      </c>
      <c r="I870" s="42" t="n">
        <v>3.6465</v>
      </c>
      <c r="J870" s="42" t="n">
        <v>76.5765</v>
      </c>
      <c r="K870" s="43" t="n">
        <v>43473</v>
      </c>
      <c r="L870" s="44" t="n">
        <v>0.797916666666667</v>
      </c>
      <c r="M870" s="41" t="s">
        <v>99</v>
      </c>
      <c r="N870" s="42" t="n">
        <v>72.93</v>
      </c>
      <c r="O870" s="42" t="n">
        <v>3.6465</v>
      </c>
      <c r="P870" s="45" t="n">
        <v>4.3</v>
      </c>
      <c r="Q870" s="41" t="str">
        <f aca="false">CHOOSE(MONTH(K870),"Jan","Feb","Mar","Apr","May","Jun","Jul","Aug","Sep","Oct","Nov","Dec")</f>
        <v>Jan</v>
      </c>
      <c r="R870" s="41" t="n">
        <f aca="false">INT((K870-setMinDate)/7)+1</f>
        <v>2</v>
      </c>
      <c r="S870" s="41" t="n">
        <f aca="false">HOUR(L870)</f>
        <v>19</v>
      </c>
      <c r="T870" s="41" t="str">
        <f aca="false">IF(S870&lt;setMorningEnd,"Morning",IF(S870&lt;setAfternoonEnd,"Afternoon","Evening"))</f>
        <v>Evening</v>
      </c>
      <c r="U870" s="41" t="str">
        <f aca="false">IF(J870&gt;=setLarge,"Large",IF(J870&gt;=setMedium,"Medium","Small"))</f>
        <v>Small</v>
      </c>
      <c r="V870" s="41" t="str">
        <f aca="false">IF(P870&gt;=setExc,"Excellent",IF(P870&gt;=setGood,"Good",IF(P870&gt;=setAvg,"Average","Poor")))</f>
        <v>Poor</v>
      </c>
    </row>
    <row r="871" customFormat="false" ht="15" hidden="false" customHeight="false" outlineLevel="0" collapsed="false">
      <c r="A871" s="41" t="s">
        <v>1049</v>
      </c>
      <c r="B871" s="41" t="s">
        <v>178</v>
      </c>
      <c r="C871" s="41" t="s">
        <v>85</v>
      </c>
      <c r="D871" s="41" t="s">
        <v>105</v>
      </c>
      <c r="E871" s="41" t="s">
        <v>103</v>
      </c>
      <c r="F871" s="41" t="s">
        <v>77</v>
      </c>
      <c r="G871" s="42" t="n">
        <v>64.59</v>
      </c>
      <c r="H871" s="41" t="n">
        <v>4</v>
      </c>
      <c r="I871" s="42" t="n">
        <v>12.918</v>
      </c>
      <c r="J871" s="42" t="n">
        <v>271.278</v>
      </c>
      <c r="K871" s="43" t="n">
        <v>43471</v>
      </c>
      <c r="L871" s="44" t="n">
        <v>0.565972222222222</v>
      </c>
      <c r="M871" s="41" t="s">
        <v>98</v>
      </c>
      <c r="N871" s="42" t="n">
        <v>258.36</v>
      </c>
      <c r="O871" s="42" t="n">
        <v>12.918</v>
      </c>
      <c r="P871" s="45" t="n">
        <v>9.3</v>
      </c>
      <c r="Q871" s="41" t="str">
        <f aca="false">CHOOSE(MONTH(K871),"Jan","Feb","Mar","Apr","May","Jun","Jul","Aug","Sep","Oct","Nov","Dec")</f>
        <v>Jan</v>
      </c>
      <c r="R871" s="41" t="n">
        <f aca="false">INT((K871-setMinDate)/7)+1</f>
        <v>1</v>
      </c>
      <c r="S871" s="41" t="n">
        <f aca="false">HOUR(L871)</f>
        <v>13</v>
      </c>
      <c r="T871" s="41" t="str">
        <f aca="false">IF(S871&lt;setMorningEnd,"Morning",IF(S871&lt;setAfternoonEnd,"Afternoon","Evening"))</f>
        <v>Afternoon</v>
      </c>
      <c r="U871" s="41" t="str">
        <f aca="false">IF(J871&gt;=setLarge,"Large",IF(J871&gt;=setMedium,"Medium","Small"))</f>
        <v>Medium</v>
      </c>
      <c r="V871" s="41" t="str">
        <f aca="false">IF(P871&gt;=setExc,"Excellent",IF(P871&gt;=setGood,"Good",IF(P871&gt;=setAvg,"Average","Poor")))</f>
        <v>Excellent</v>
      </c>
    </row>
    <row r="872" customFormat="false" ht="15" hidden="false" customHeight="false" outlineLevel="0" collapsed="false">
      <c r="A872" s="41" t="s">
        <v>1050</v>
      </c>
      <c r="B872" s="41" t="s">
        <v>178</v>
      </c>
      <c r="C872" s="41" t="s">
        <v>85</v>
      </c>
      <c r="D872" s="41" t="s">
        <v>104</v>
      </c>
      <c r="E872" s="41" t="s">
        <v>103</v>
      </c>
      <c r="F872" s="41" t="s">
        <v>76</v>
      </c>
      <c r="G872" s="42" t="n">
        <v>24.82</v>
      </c>
      <c r="H872" s="41" t="n">
        <v>7</v>
      </c>
      <c r="I872" s="42" t="n">
        <v>8.687</v>
      </c>
      <c r="J872" s="42" t="n">
        <v>182.427</v>
      </c>
      <c r="K872" s="43" t="n">
        <v>43512</v>
      </c>
      <c r="L872" s="44" t="n">
        <v>0.439583333333333</v>
      </c>
      <c r="M872" s="41" t="s">
        <v>99</v>
      </c>
      <c r="N872" s="42" t="n">
        <v>173.74</v>
      </c>
      <c r="O872" s="42" t="n">
        <v>8.687</v>
      </c>
      <c r="P872" s="45" t="n">
        <v>7.1</v>
      </c>
      <c r="Q872" s="41" t="str">
        <f aca="false">CHOOSE(MONTH(K872),"Jan","Feb","Mar","Apr","May","Jun","Jul","Aug","Sep","Oct","Nov","Dec")</f>
        <v>Feb</v>
      </c>
      <c r="R872" s="41" t="n">
        <f aca="false">INT((K872-setMinDate)/7)+1</f>
        <v>7</v>
      </c>
      <c r="S872" s="41" t="n">
        <f aca="false">HOUR(L872)</f>
        <v>10</v>
      </c>
      <c r="T872" s="41" t="str">
        <f aca="false">IF(S872&lt;setMorningEnd,"Morning",IF(S872&lt;setAfternoonEnd,"Afternoon","Evening"))</f>
        <v>Morning</v>
      </c>
      <c r="U872" s="41" t="str">
        <f aca="false">IF(J872&gt;=setLarge,"Large",IF(J872&gt;=setMedium,"Medium","Small"))</f>
        <v>Small</v>
      </c>
      <c r="V872" s="41" t="str">
        <f aca="false">IF(P872&gt;=setExc,"Excellent",IF(P872&gt;=setGood,"Good",IF(P872&gt;=setAvg,"Average","Poor")))</f>
        <v>Good</v>
      </c>
    </row>
    <row r="873" customFormat="false" ht="15" hidden="false" customHeight="false" outlineLevel="0" collapsed="false">
      <c r="A873" s="41" t="s">
        <v>1051</v>
      </c>
      <c r="B873" s="41" t="s">
        <v>180</v>
      </c>
      <c r="C873" s="41" t="s">
        <v>87</v>
      </c>
      <c r="D873" s="41" t="s">
        <v>105</v>
      </c>
      <c r="E873" s="41" t="s">
        <v>103</v>
      </c>
      <c r="F873" s="41" t="s">
        <v>79</v>
      </c>
      <c r="G873" s="42" t="n">
        <v>56.5</v>
      </c>
      <c r="H873" s="41" t="n">
        <v>1</v>
      </c>
      <c r="I873" s="42" t="n">
        <v>2.825</v>
      </c>
      <c r="J873" s="42" t="n">
        <v>59.325</v>
      </c>
      <c r="K873" s="43" t="n">
        <v>43537</v>
      </c>
      <c r="L873" s="44" t="n">
        <v>0.65625</v>
      </c>
      <c r="M873" s="41" t="s">
        <v>98</v>
      </c>
      <c r="N873" s="42" t="n">
        <v>56.5</v>
      </c>
      <c r="O873" s="42" t="n">
        <v>2.825</v>
      </c>
      <c r="P873" s="45" t="n">
        <v>9.6</v>
      </c>
      <c r="Q873" s="41" t="str">
        <f aca="false">CHOOSE(MONTH(K873),"Jan","Feb","Mar","Apr","May","Jun","Jul","Aug","Sep","Oct","Nov","Dec")</f>
        <v>Mar</v>
      </c>
      <c r="R873" s="41" t="n">
        <f aca="false">INT((K873-setMinDate)/7)+1</f>
        <v>11</v>
      </c>
      <c r="S873" s="41" t="n">
        <f aca="false">HOUR(L873)</f>
        <v>15</v>
      </c>
      <c r="T873" s="41" t="str">
        <f aca="false">IF(S873&lt;setMorningEnd,"Morning",IF(S873&lt;setAfternoonEnd,"Afternoon","Evening"))</f>
        <v>Afternoon</v>
      </c>
      <c r="U873" s="41" t="str">
        <f aca="false">IF(J873&gt;=setLarge,"Large",IF(J873&gt;=setMedium,"Medium","Small"))</f>
        <v>Small</v>
      </c>
      <c r="V873" s="41" t="str">
        <f aca="false">IF(P873&gt;=setExc,"Excellent",IF(P873&gt;=setGood,"Good",IF(P873&gt;=setAvg,"Average","Poor")))</f>
        <v>Excellent</v>
      </c>
    </row>
    <row r="874" customFormat="false" ht="15" hidden="false" customHeight="false" outlineLevel="0" collapsed="false">
      <c r="A874" s="41" t="s">
        <v>1052</v>
      </c>
      <c r="B874" s="41" t="s">
        <v>189</v>
      </c>
      <c r="C874" s="41" t="s">
        <v>86</v>
      </c>
      <c r="D874" s="41" t="s">
        <v>104</v>
      </c>
      <c r="E874" s="41" t="s">
        <v>102</v>
      </c>
      <c r="F874" s="41" t="s">
        <v>78</v>
      </c>
      <c r="G874" s="42" t="n">
        <v>21.43</v>
      </c>
      <c r="H874" s="41" t="n">
        <v>10</v>
      </c>
      <c r="I874" s="42" t="n">
        <v>10.715</v>
      </c>
      <c r="J874" s="42" t="n">
        <v>225.015</v>
      </c>
      <c r="K874" s="43" t="n">
        <v>43493</v>
      </c>
      <c r="L874" s="44" t="n">
        <v>0.49375</v>
      </c>
      <c r="M874" s="41" t="s">
        <v>97</v>
      </c>
      <c r="N874" s="42" t="n">
        <v>214.3</v>
      </c>
      <c r="O874" s="42" t="n">
        <v>10.715</v>
      </c>
      <c r="P874" s="45" t="n">
        <v>6.2</v>
      </c>
      <c r="Q874" s="41" t="str">
        <f aca="false">CHOOSE(MONTH(K874),"Jan","Feb","Mar","Apr","May","Jun","Jul","Aug","Sep","Oct","Nov","Dec")</f>
        <v>Jan</v>
      </c>
      <c r="R874" s="41" t="n">
        <f aca="false">INT((K874-setMinDate)/7)+1</f>
        <v>4</v>
      </c>
      <c r="S874" s="41" t="n">
        <f aca="false">HOUR(L874)</f>
        <v>11</v>
      </c>
      <c r="T874" s="41" t="str">
        <f aca="false">IF(S874&lt;setMorningEnd,"Morning",IF(S874&lt;setAfternoonEnd,"Afternoon","Evening"))</f>
        <v>Morning</v>
      </c>
      <c r="U874" s="41" t="str">
        <f aca="false">IF(J874&gt;=setLarge,"Large",IF(J874&gt;=setMedium,"Medium","Small"))</f>
        <v>Small</v>
      </c>
      <c r="V874" s="41" t="str">
        <f aca="false">IF(P874&gt;=setExc,"Excellent",IF(P874&gt;=setGood,"Good",IF(P874&gt;=setAvg,"Average","Poor")))</f>
        <v>Average</v>
      </c>
    </row>
    <row r="875" customFormat="false" ht="15" hidden="false" customHeight="false" outlineLevel="0" collapsed="false">
      <c r="A875" s="41" t="s">
        <v>1053</v>
      </c>
      <c r="B875" s="41" t="s">
        <v>178</v>
      </c>
      <c r="C875" s="41" t="s">
        <v>85</v>
      </c>
      <c r="D875" s="41" t="s">
        <v>104</v>
      </c>
      <c r="E875" s="41" t="s">
        <v>103</v>
      </c>
      <c r="F875" s="41" t="s">
        <v>77</v>
      </c>
      <c r="G875" s="42" t="n">
        <v>89.06</v>
      </c>
      <c r="H875" s="41" t="n">
        <v>6</v>
      </c>
      <c r="I875" s="42" t="n">
        <v>26.718</v>
      </c>
      <c r="J875" s="42" t="n">
        <v>561.078</v>
      </c>
      <c r="K875" s="43" t="n">
        <v>43483</v>
      </c>
      <c r="L875" s="44" t="n">
        <v>0.726388888888889</v>
      </c>
      <c r="M875" s="41" t="s">
        <v>97</v>
      </c>
      <c r="N875" s="42" t="n">
        <v>534.36</v>
      </c>
      <c r="O875" s="42" t="n">
        <v>26.718</v>
      </c>
      <c r="P875" s="45" t="n">
        <v>9.9</v>
      </c>
      <c r="Q875" s="41" t="str">
        <f aca="false">CHOOSE(MONTH(K875),"Jan","Feb","Mar","Apr","May","Jun","Jul","Aug","Sep","Oct","Nov","Dec")</f>
        <v>Jan</v>
      </c>
      <c r="R875" s="41" t="n">
        <f aca="false">INT((K875-setMinDate)/7)+1</f>
        <v>3</v>
      </c>
      <c r="S875" s="41" t="n">
        <f aca="false">HOUR(L875)</f>
        <v>17</v>
      </c>
      <c r="T875" s="41" t="str">
        <f aca="false">IF(S875&lt;setMorningEnd,"Morning",IF(S875&lt;setAfternoonEnd,"Afternoon","Evening"))</f>
        <v>Evening</v>
      </c>
      <c r="U875" s="41" t="str">
        <f aca="false">IF(J875&gt;=setLarge,"Large",IF(J875&gt;=setMedium,"Medium","Small"))</f>
        <v>Medium</v>
      </c>
      <c r="V875" s="41" t="str">
        <f aca="false">IF(P875&gt;=setExc,"Excellent",IF(P875&gt;=setGood,"Good",IF(P875&gt;=setAvg,"Average","Poor")))</f>
        <v>Excellent</v>
      </c>
    </row>
    <row r="876" customFormat="false" ht="15" hidden="false" customHeight="false" outlineLevel="0" collapsed="false">
      <c r="A876" s="41" t="s">
        <v>1054</v>
      </c>
      <c r="B876" s="41" t="s">
        <v>178</v>
      </c>
      <c r="C876" s="41" t="s">
        <v>85</v>
      </c>
      <c r="D876" s="41" t="s">
        <v>104</v>
      </c>
      <c r="E876" s="41" t="s">
        <v>103</v>
      </c>
      <c r="F876" s="41" t="s">
        <v>80</v>
      </c>
      <c r="G876" s="42" t="n">
        <v>23.29</v>
      </c>
      <c r="H876" s="41" t="n">
        <v>4</v>
      </c>
      <c r="I876" s="42" t="n">
        <v>4.658</v>
      </c>
      <c r="J876" s="42" t="n">
        <v>97.818</v>
      </c>
      <c r="K876" s="43" t="n">
        <v>43543</v>
      </c>
      <c r="L876" s="44" t="n">
        <v>0.494444444444445</v>
      </c>
      <c r="M876" s="41" t="s">
        <v>99</v>
      </c>
      <c r="N876" s="42" t="n">
        <v>93.16</v>
      </c>
      <c r="O876" s="42" t="n">
        <v>4.658</v>
      </c>
      <c r="P876" s="45" t="n">
        <v>5.9</v>
      </c>
      <c r="Q876" s="41" t="str">
        <f aca="false">CHOOSE(MONTH(K876),"Jan","Feb","Mar","Apr","May","Jun","Jul","Aug","Sep","Oct","Nov","Dec")</f>
        <v>Mar</v>
      </c>
      <c r="R876" s="41" t="n">
        <f aca="false">INT((K876-setMinDate)/7)+1</f>
        <v>12</v>
      </c>
      <c r="S876" s="41" t="n">
        <f aca="false">HOUR(L876)</f>
        <v>11</v>
      </c>
      <c r="T876" s="41" t="str">
        <f aca="false">IF(S876&lt;setMorningEnd,"Morning",IF(S876&lt;setAfternoonEnd,"Afternoon","Evening"))</f>
        <v>Morning</v>
      </c>
      <c r="U876" s="41" t="str">
        <f aca="false">IF(J876&gt;=setLarge,"Large",IF(J876&gt;=setMedium,"Medium","Small"))</f>
        <v>Small</v>
      </c>
      <c r="V876" s="41" t="str">
        <f aca="false">IF(P876&gt;=setExc,"Excellent",IF(P876&gt;=setGood,"Good",IF(P876&gt;=setAvg,"Average","Poor")))</f>
        <v>Average</v>
      </c>
    </row>
    <row r="877" customFormat="false" ht="15" hidden="false" customHeight="false" outlineLevel="0" collapsed="false">
      <c r="A877" s="41" t="s">
        <v>1055</v>
      </c>
      <c r="B877" s="41" t="s">
        <v>180</v>
      </c>
      <c r="C877" s="41" t="s">
        <v>87</v>
      </c>
      <c r="D877" s="41" t="s">
        <v>105</v>
      </c>
      <c r="E877" s="41" t="s">
        <v>103</v>
      </c>
      <c r="F877" s="41" t="s">
        <v>80</v>
      </c>
      <c r="G877" s="42" t="n">
        <v>65.26</v>
      </c>
      <c r="H877" s="41" t="n">
        <v>8</v>
      </c>
      <c r="I877" s="42" t="n">
        <v>26.104</v>
      </c>
      <c r="J877" s="42" t="n">
        <v>548.184</v>
      </c>
      <c r="K877" s="43" t="n">
        <v>43539</v>
      </c>
      <c r="L877" s="44" t="n">
        <v>0.586111111111111</v>
      </c>
      <c r="M877" s="41" t="s">
        <v>98</v>
      </c>
      <c r="N877" s="42" t="n">
        <v>522.08</v>
      </c>
      <c r="O877" s="42" t="n">
        <v>26.104</v>
      </c>
      <c r="P877" s="45" t="n">
        <v>6.3</v>
      </c>
      <c r="Q877" s="41" t="str">
        <f aca="false">CHOOSE(MONTH(K877),"Jan","Feb","Mar","Apr","May","Jun","Jul","Aug","Sep","Oct","Nov","Dec")</f>
        <v>Mar</v>
      </c>
      <c r="R877" s="41" t="n">
        <f aca="false">INT((K877-setMinDate)/7)+1</f>
        <v>11</v>
      </c>
      <c r="S877" s="41" t="n">
        <f aca="false">HOUR(L877)</f>
        <v>14</v>
      </c>
      <c r="T877" s="41" t="str">
        <f aca="false">IF(S877&lt;setMorningEnd,"Morning",IF(S877&lt;setAfternoonEnd,"Afternoon","Evening"))</f>
        <v>Afternoon</v>
      </c>
      <c r="U877" s="41" t="str">
        <f aca="false">IF(J877&gt;=setLarge,"Large",IF(J877&gt;=setMedium,"Medium","Small"))</f>
        <v>Medium</v>
      </c>
      <c r="V877" s="41" t="str">
        <f aca="false">IF(P877&gt;=setExc,"Excellent",IF(P877&gt;=setGood,"Good",IF(P877&gt;=setAvg,"Average","Poor")))</f>
        <v>Average</v>
      </c>
    </row>
    <row r="878" customFormat="false" ht="15" hidden="false" customHeight="false" outlineLevel="0" collapsed="false">
      <c r="A878" s="41" t="s">
        <v>1056</v>
      </c>
      <c r="B878" s="41" t="s">
        <v>180</v>
      </c>
      <c r="C878" s="41" t="s">
        <v>87</v>
      </c>
      <c r="D878" s="41" t="s">
        <v>104</v>
      </c>
      <c r="E878" s="41" t="s">
        <v>103</v>
      </c>
      <c r="F878" s="41" t="s">
        <v>79</v>
      </c>
      <c r="G878" s="42" t="n">
        <v>52.35</v>
      </c>
      <c r="H878" s="41" t="n">
        <v>1</v>
      </c>
      <c r="I878" s="42" t="n">
        <v>2.6175</v>
      </c>
      <c r="J878" s="42" t="n">
        <v>54.9675</v>
      </c>
      <c r="K878" s="43" t="n">
        <v>43508</v>
      </c>
      <c r="L878" s="44" t="n">
        <v>0.742361111111111</v>
      </c>
      <c r="M878" s="41" t="s">
        <v>97</v>
      </c>
      <c r="N878" s="42" t="n">
        <v>52.35</v>
      </c>
      <c r="O878" s="42" t="n">
        <v>2.6175</v>
      </c>
      <c r="P878" s="45" t="n">
        <v>4</v>
      </c>
      <c r="Q878" s="41" t="str">
        <f aca="false">CHOOSE(MONTH(K878),"Jan","Feb","Mar","Apr","May","Jun","Jul","Aug","Sep","Oct","Nov","Dec")</f>
        <v>Feb</v>
      </c>
      <c r="R878" s="41" t="n">
        <f aca="false">INT((K878-setMinDate)/7)+1</f>
        <v>7</v>
      </c>
      <c r="S878" s="41" t="n">
        <f aca="false">HOUR(L878)</f>
        <v>17</v>
      </c>
      <c r="T878" s="41" t="str">
        <f aca="false">IF(S878&lt;setMorningEnd,"Morning",IF(S878&lt;setAfternoonEnd,"Afternoon","Evening"))</f>
        <v>Evening</v>
      </c>
      <c r="U878" s="41" t="str">
        <f aca="false">IF(J878&gt;=setLarge,"Large",IF(J878&gt;=setMedium,"Medium","Small"))</f>
        <v>Small</v>
      </c>
      <c r="V878" s="41" t="str">
        <f aca="false">IF(P878&gt;=setExc,"Excellent",IF(P878&gt;=setGood,"Good",IF(P878&gt;=setAvg,"Average","Poor")))</f>
        <v>Poor</v>
      </c>
    </row>
    <row r="879" customFormat="false" ht="15" hidden="false" customHeight="false" outlineLevel="0" collapsed="false">
      <c r="A879" s="41" t="s">
        <v>1057</v>
      </c>
      <c r="B879" s="41" t="s">
        <v>189</v>
      </c>
      <c r="C879" s="41" t="s">
        <v>86</v>
      </c>
      <c r="D879" s="41" t="s">
        <v>104</v>
      </c>
      <c r="E879" s="41" t="s">
        <v>103</v>
      </c>
      <c r="F879" s="41" t="s">
        <v>78</v>
      </c>
      <c r="G879" s="42" t="n">
        <v>39.75</v>
      </c>
      <c r="H879" s="41" t="n">
        <v>1</v>
      </c>
      <c r="I879" s="42" t="n">
        <v>1.9875</v>
      </c>
      <c r="J879" s="42" t="n">
        <v>41.7375</v>
      </c>
      <c r="K879" s="43" t="n">
        <v>43521</v>
      </c>
      <c r="L879" s="44" t="n">
        <v>0.846527777777778</v>
      </c>
      <c r="M879" s="41" t="s">
        <v>97</v>
      </c>
      <c r="N879" s="42" t="n">
        <v>39.75</v>
      </c>
      <c r="O879" s="42" t="n">
        <v>1.9875</v>
      </c>
      <c r="P879" s="45" t="n">
        <v>6.1</v>
      </c>
      <c r="Q879" s="41" t="str">
        <f aca="false">CHOOSE(MONTH(K879),"Jan","Feb","Mar","Apr","May","Jun","Jul","Aug","Sep","Oct","Nov","Dec")</f>
        <v>Feb</v>
      </c>
      <c r="R879" s="41" t="n">
        <f aca="false">INT((K879-setMinDate)/7)+1</f>
        <v>8</v>
      </c>
      <c r="S879" s="41" t="n">
        <f aca="false">HOUR(L879)</f>
        <v>20</v>
      </c>
      <c r="T879" s="41" t="str">
        <f aca="false">IF(S879&lt;setMorningEnd,"Morning",IF(S879&lt;setAfternoonEnd,"Afternoon","Evening"))</f>
        <v>Evening</v>
      </c>
      <c r="U879" s="41" t="str">
        <f aca="false">IF(J879&gt;=setLarge,"Large",IF(J879&gt;=setMedium,"Medium","Small"))</f>
        <v>Small</v>
      </c>
      <c r="V879" s="41" t="str">
        <f aca="false">IF(P879&gt;=setExc,"Excellent",IF(P879&gt;=setGood,"Good",IF(P879&gt;=setAvg,"Average","Poor")))</f>
        <v>Average</v>
      </c>
    </row>
    <row r="880" customFormat="false" ht="15" hidden="false" customHeight="false" outlineLevel="0" collapsed="false">
      <c r="A880" s="41" t="s">
        <v>1058</v>
      </c>
      <c r="B880" s="41" t="s">
        <v>178</v>
      </c>
      <c r="C880" s="41" t="s">
        <v>85</v>
      </c>
      <c r="D880" s="41" t="s">
        <v>105</v>
      </c>
      <c r="E880" s="41" t="s">
        <v>102</v>
      </c>
      <c r="F880" s="41" t="s">
        <v>78</v>
      </c>
      <c r="G880" s="42" t="n">
        <v>90.02</v>
      </c>
      <c r="H880" s="41" t="n">
        <v>8</v>
      </c>
      <c r="I880" s="42" t="n">
        <v>36.008</v>
      </c>
      <c r="J880" s="42" t="n">
        <v>756.168</v>
      </c>
      <c r="K880" s="43" t="n">
        <v>43545</v>
      </c>
      <c r="L880" s="44" t="n">
        <v>0.672222222222222</v>
      </c>
      <c r="M880" s="41" t="s">
        <v>99</v>
      </c>
      <c r="N880" s="42" t="n">
        <v>720.16</v>
      </c>
      <c r="O880" s="42" t="n">
        <v>36.008</v>
      </c>
      <c r="P880" s="45" t="n">
        <v>4.5</v>
      </c>
      <c r="Q880" s="41" t="str">
        <f aca="false">CHOOSE(MONTH(K880),"Jan","Feb","Mar","Apr","May","Jun","Jul","Aug","Sep","Oct","Nov","Dec")</f>
        <v>Mar</v>
      </c>
      <c r="R880" s="41" t="n">
        <f aca="false">INT((K880-setMinDate)/7)+1</f>
        <v>12</v>
      </c>
      <c r="S880" s="41" t="n">
        <f aca="false">HOUR(L880)</f>
        <v>16</v>
      </c>
      <c r="T880" s="41" t="str">
        <f aca="false">IF(S880&lt;setMorningEnd,"Morning",IF(S880&lt;setAfternoonEnd,"Afternoon","Evening"))</f>
        <v>Afternoon</v>
      </c>
      <c r="U880" s="41" t="str">
        <f aca="false">IF(J880&gt;=setLarge,"Large",IF(J880&gt;=setMedium,"Medium","Small"))</f>
        <v>Large</v>
      </c>
      <c r="V880" s="41" t="str">
        <f aca="false">IF(P880&gt;=setExc,"Excellent",IF(P880&gt;=setGood,"Good",IF(P880&gt;=setAvg,"Average","Poor")))</f>
        <v>Poor</v>
      </c>
    </row>
    <row r="881" customFormat="false" ht="15" hidden="false" customHeight="false" outlineLevel="0" collapsed="false">
      <c r="A881" s="41" t="s">
        <v>1059</v>
      </c>
      <c r="B881" s="41" t="s">
        <v>189</v>
      </c>
      <c r="C881" s="41" t="s">
        <v>86</v>
      </c>
      <c r="D881" s="41" t="s">
        <v>104</v>
      </c>
      <c r="E881" s="41" t="s">
        <v>102</v>
      </c>
      <c r="F881" s="41" t="s">
        <v>78</v>
      </c>
      <c r="G881" s="42" t="n">
        <v>12.1</v>
      </c>
      <c r="H881" s="41" t="n">
        <v>8</v>
      </c>
      <c r="I881" s="42" t="n">
        <v>4.84</v>
      </c>
      <c r="J881" s="42" t="n">
        <v>101.64</v>
      </c>
      <c r="K881" s="43" t="n">
        <v>43484</v>
      </c>
      <c r="L881" s="44" t="n">
        <v>0.428472222222222</v>
      </c>
      <c r="M881" s="41" t="s">
        <v>98</v>
      </c>
      <c r="N881" s="42" t="n">
        <v>96.8</v>
      </c>
      <c r="O881" s="42" t="n">
        <v>4.84</v>
      </c>
      <c r="P881" s="45" t="n">
        <v>8.6</v>
      </c>
      <c r="Q881" s="41" t="str">
        <f aca="false">CHOOSE(MONTH(K881),"Jan","Feb","Mar","Apr","May","Jun","Jul","Aug","Sep","Oct","Nov","Dec")</f>
        <v>Jan</v>
      </c>
      <c r="R881" s="41" t="n">
        <f aca="false">INT((K881-setMinDate)/7)+1</f>
        <v>3</v>
      </c>
      <c r="S881" s="41" t="n">
        <f aca="false">HOUR(L881)</f>
        <v>10</v>
      </c>
      <c r="T881" s="41" t="str">
        <f aca="false">IF(S881&lt;setMorningEnd,"Morning",IF(S881&lt;setAfternoonEnd,"Afternoon","Evening"))</f>
        <v>Morning</v>
      </c>
      <c r="U881" s="41" t="str">
        <f aca="false">IF(J881&gt;=setLarge,"Large",IF(J881&gt;=setMedium,"Medium","Small"))</f>
        <v>Small</v>
      </c>
      <c r="V881" s="41" t="str">
        <f aca="false">IF(P881&gt;=setExc,"Excellent",IF(P881&gt;=setGood,"Good",IF(P881&gt;=setAvg,"Average","Poor")))</f>
        <v>Good</v>
      </c>
    </row>
    <row r="882" customFormat="false" ht="15" hidden="false" customHeight="false" outlineLevel="0" collapsed="false">
      <c r="A882" s="41" t="s">
        <v>1060</v>
      </c>
      <c r="B882" s="41" t="s">
        <v>189</v>
      </c>
      <c r="C882" s="41" t="s">
        <v>86</v>
      </c>
      <c r="D882" s="41" t="s">
        <v>104</v>
      </c>
      <c r="E882" s="41" t="s">
        <v>102</v>
      </c>
      <c r="F882" s="41" t="s">
        <v>76</v>
      </c>
      <c r="G882" s="42" t="n">
        <v>33.21</v>
      </c>
      <c r="H882" s="41" t="n">
        <v>10</v>
      </c>
      <c r="I882" s="42" t="n">
        <v>16.605</v>
      </c>
      <c r="J882" s="42" t="n">
        <v>348.705</v>
      </c>
      <c r="K882" s="43" t="n">
        <v>43473</v>
      </c>
      <c r="L882" s="44" t="n">
        <v>0.600694444444444</v>
      </c>
      <c r="M882" s="41" t="s">
        <v>98</v>
      </c>
      <c r="N882" s="42" t="n">
        <v>332.1</v>
      </c>
      <c r="O882" s="42" t="n">
        <v>16.605</v>
      </c>
      <c r="P882" s="45" t="n">
        <v>6</v>
      </c>
      <c r="Q882" s="41" t="str">
        <f aca="false">CHOOSE(MONTH(K882),"Jan","Feb","Mar","Apr","May","Jun","Jul","Aug","Sep","Oct","Nov","Dec")</f>
        <v>Jan</v>
      </c>
      <c r="R882" s="41" t="n">
        <f aca="false">INT((K882-setMinDate)/7)+1</f>
        <v>2</v>
      </c>
      <c r="S882" s="41" t="n">
        <f aca="false">HOUR(L882)</f>
        <v>14</v>
      </c>
      <c r="T882" s="41" t="str">
        <f aca="false">IF(S882&lt;setMorningEnd,"Morning",IF(S882&lt;setAfternoonEnd,"Afternoon","Evening"))</f>
        <v>Afternoon</v>
      </c>
      <c r="U882" s="41" t="str">
        <f aca="false">IF(J882&gt;=setLarge,"Large",IF(J882&gt;=setMedium,"Medium","Small"))</f>
        <v>Medium</v>
      </c>
      <c r="V882" s="41" t="str">
        <f aca="false">IF(P882&gt;=setExc,"Excellent",IF(P882&gt;=setGood,"Good",IF(P882&gt;=setAvg,"Average","Poor")))</f>
        <v>Average</v>
      </c>
    </row>
    <row r="883" customFormat="false" ht="15" hidden="false" customHeight="false" outlineLevel="0" collapsed="false">
      <c r="A883" s="41" t="s">
        <v>1061</v>
      </c>
      <c r="B883" s="41" t="s">
        <v>180</v>
      </c>
      <c r="C883" s="41" t="s">
        <v>87</v>
      </c>
      <c r="D883" s="41" t="s">
        <v>104</v>
      </c>
      <c r="E883" s="41" t="s">
        <v>102</v>
      </c>
      <c r="F883" s="41" t="s">
        <v>79</v>
      </c>
      <c r="G883" s="42" t="n">
        <v>10.18</v>
      </c>
      <c r="H883" s="41" t="n">
        <v>8</v>
      </c>
      <c r="I883" s="42" t="n">
        <v>4.072</v>
      </c>
      <c r="J883" s="42" t="n">
        <v>85.512</v>
      </c>
      <c r="K883" s="43" t="n">
        <v>43554</v>
      </c>
      <c r="L883" s="44" t="n">
        <v>0.535416666666667</v>
      </c>
      <c r="M883" s="41" t="s">
        <v>99</v>
      </c>
      <c r="N883" s="42" t="n">
        <v>81.44</v>
      </c>
      <c r="O883" s="42" t="n">
        <v>4.072</v>
      </c>
      <c r="P883" s="45" t="n">
        <v>9.5</v>
      </c>
      <c r="Q883" s="41" t="str">
        <f aca="false">CHOOSE(MONTH(K883),"Jan","Feb","Mar","Apr","May","Jun","Jul","Aug","Sep","Oct","Nov","Dec")</f>
        <v>Mar</v>
      </c>
      <c r="R883" s="41" t="n">
        <f aca="false">INT((K883-setMinDate)/7)+1</f>
        <v>13</v>
      </c>
      <c r="S883" s="41" t="n">
        <f aca="false">HOUR(L883)</f>
        <v>12</v>
      </c>
      <c r="T883" s="41" t="str">
        <f aca="false">IF(S883&lt;setMorningEnd,"Morning",IF(S883&lt;setAfternoonEnd,"Afternoon","Evening"))</f>
        <v>Afternoon</v>
      </c>
      <c r="U883" s="41" t="str">
        <f aca="false">IF(J883&gt;=setLarge,"Large",IF(J883&gt;=setMedium,"Medium","Small"))</f>
        <v>Small</v>
      </c>
      <c r="V883" s="41" t="str">
        <f aca="false">IF(P883&gt;=setExc,"Excellent",IF(P883&gt;=setGood,"Good",IF(P883&gt;=setAvg,"Average","Poor")))</f>
        <v>Excellent</v>
      </c>
    </row>
    <row r="884" customFormat="false" ht="15" hidden="false" customHeight="false" outlineLevel="0" collapsed="false">
      <c r="A884" s="41" t="s">
        <v>1062</v>
      </c>
      <c r="B884" s="41" t="s">
        <v>189</v>
      </c>
      <c r="C884" s="41" t="s">
        <v>86</v>
      </c>
      <c r="D884" s="41" t="s">
        <v>104</v>
      </c>
      <c r="E884" s="41" t="s">
        <v>103</v>
      </c>
      <c r="F884" s="41" t="s">
        <v>77</v>
      </c>
      <c r="G884" s="42" t="n">
        <v>31.99</v>
      </c>
      <c r="H884" s="41" t="n">
        <v>10</v>
      </c>
      <c r="I884" s="42" t="n">
        <v>15.995</v>
      </c>
      <c r="J884" s="42" t="n">
        <v>335.895</v>
      </c>
      <c r="K884" s="43" t="n">
        <v>43516</v>
      </c>
      <c r="L884" s="44" t="n">
        <v>0.6375</v>
      </c>
      <c r="M884" s="41" t="s">
        <v>99</v>
      </c>
      <c r="N884" s="42" t="n">
        <v>319.9</v>
      </c>
      <c r="O884" s="42" t="n">
        <v>15.995</v>
      </c>
      <c r="P884" s="45" t="n">
        <v>9.9</v>
      </c>
      <c r="Q884" s="41" t="str">
        <f aca="false">CHOOSE(MONTH(K884),"Jan","Feb","Mar","Apr","May","Jun","Jul","Aug","Sep","Oct","Nov","Dec")</f>
        <v>Feb</v>
      </c>
      <c r="R884" s="41" t="n">
        <f aca="false">INT((K884-setMinDate)/7)+1</f>
        <v>8</v>
      </c>
      <c r="S884" s="41" t="n">
        <f aca="false">HOUR(L884)</f>
        <v>15</v>
      </c>
      <c r="T884" s="41" t="str">
        <f aca="false">IF(S884&lt;setMorningEnd,"Morning",IF(S884&lt;setAfternoonEnd,"Afternoon","Evening"))</f>
        <v>Afternoon</v>
      </c>
      <c r="U884" s="41" t="str">
        <f aca="false">IF(J884&gt;=setLarge,"Large",IF(J884&gt;=setMedium,"Medium","Small"))</f>
        <v>Medium</v>
      </c>
      <c r="V884" s="41" t="str">
        <f aca="false">IF(P884&gt;=setExc,"Excellent",IF(P884&gt;=setGood,"Good",IF(P884&gt;=setAvg,"Average","Poor")))</f>
        <v>Excellent</v>
      </c>
    </row>
    <row r="885" customFormat="false" ht="15" hidden="false" customHeight="false" outlineLevel="0" collapsed="false">
      <c r="A885" s="41" t="s">
        <v>1063</v>
      </c>
      <c r="B885" s="41" t="s">
        <v>178</v>
      </c>
      <c r="C885" s="41" t="s">
        <v>85</v>
      </c>
      <c r="D885" s="41" t="s">
        <v>104</v>
      </c>
      <c r="E885" s="41" t="s">
        <v>102</v>
      </c>
      <c r="F885" s="41" t="s">
        <v>80</v>
      </c>
      <c r="G885" s="42" t="n">
        <v>34.42</v>
      </c>
      <c r="H885" s="41" t="n">
        <v>6</v>
      </c>
      <c r="I885" s="42" t="n">
        <v>10.326</v>
      </c>
      <c r="J885" s="42" t="n">
        <v>216.846</v>
      </c>
      <c r="K885" s="43" t="n">
        <v>43554</v>
      </c>
      <c r="L885" s="44" t="n">
        <v>0.53125</v>
      </c>
      <c r="M885" s="41" t="s">
        <v>98</v>
      </c>
      <c r="N885" s="42" t="n">
        <v>206.52</v>
      </c>
      <c r="O885" s="42" t="n">
        <v>10.326</v>
      </c>
      <c r="P885" s="45" t="n">
        <v>7.5</v>
      </c>
      <c r="Q885" s="41" t="str">
        <f aca="false">CHOOSE(MONTH(K885),"Jan","Feb","Mar","Apr","May","Jun","Jul","Aug","Sep","Oct","Nov","Dec")</f>
        <v>Mar</v>
      </c>
      <c r="R885" s="41" t="n">
        <f aca="false">INT((K885-setMinDate)/7)+1</f>
        <v>13</v>
      </c>
      <c r="S885" s="41" t="n">
        <f aca="false">HOUR(L885)</f>
        <v>12</v>
      </c>
      <c r="T885" s="41" t="str">
        <f aca="false">IF(S885&lt;setMorningEnd,"Morning",IF(S885&lt;setAfternoonEnd,"Afternoon","Evening"))</f>
        <v>Afternoon</v>
      </c>
      <c r="U885" s="41" t="str">
        <f aca="false">IF(J885&gt;=setLarge,"Large",IF(J885&gt;=setMedium,"Medium","Small"))</f>
        <v>Small</v>
      </c>
      <c r="V885" s="41" t="str">
        <f aca="false">IF(P885&gt;=setExc,"Excellent",IF(P885&gt;=setGood,"Good",IF(P885&gt;=setAvg,"Average","Poor")))</f>
        <v>Good</v>
      </c>
    </row>
    <row r="886" customFormat="false" ht="15" hidden="false" customHeight="false" outlineLevel="0" collapsed="false">
      <c r="A886" s="41" t="s">
        <v>1064</v>
      </c>
      <c r="B886" s="41" t="s">
        <v>178</v>
      </c>
      <c r="C886" s="41" t="s">
        <v>85</v>
      </c>
      <c r="D886" s="41" t="s">
        <v>104</v>
      </c>
      <c r="E886" s="41" t="s">
        <v>102</v>
      </c>
      <c r="F886" s="41" t="s">
        <v>76</v>
      </c>
      <c r="G886" s="42" t="n">
        <v>83.34</v>
      </c>
      <c r="H886" s="41" t="n">
        <v>2</v>
      </c>
      <c r="I886" s="42" t="n">
        <v>8.334</v>
      </c>
      <c r="J886" s="42" t="n">
        <v>175.014</v>
      </c>
      <c r="K886" s="43" t="n">
        <v>43543</v>
      </c>
      <c r="L886" s="44" t="n">
        <v>0.567361111111111</v>
      </c>
      <c r="M886" s="41" t="s">
        <v>97</v>
      </c>
      <c r="N886" s="42" t="n">
        <v>166.68</v>
      </c>
      <c r="O886" s="42" t="n">
        <v>8.334</v>
      </c>
      <c r="P886" s="45" t="n">
        <v>7.6</v>
      </c>
      <c r="Q886" s="41" t="str">
        <f aca="false">CHOOSE(MONTH(K886),"Jan","Feb","Mar","Apr","May","Jun","Jul","Aug","Sep","Oct","Nov","Dec")</f>
        <v>Mar</v>
      </c>
      <c r="R886" s="41" t="n">
        <f aca="false">INT((K886-setMinDate)/7)+1</f>
        <v>12</v>
      </c>
      <c r="S886" s="41" t="n">
        <f aca="false">HOUR(L886)</f>
        <v>13</v>
      </c>
      <c r="T886" s="41" t="str">
        <f aca="false">IF(S886&lt;setMorningEnd,"Morning",IF(S886&lt;setAfternoonEnd,"Afternoon","Evening"))</f>
        <v>Afternoon</v>
      </c>
      <c r="U886" s="41" t="str">
        <f aca="false">IF(J886&gt;=setLarge,"Large",IF(J886&gt;=setMedium,"Medium","Small"))</f>
        <v>Small</v>
      </c>
      <c r="V886" s="41" t="str">
        <f aca="false">IF(P886&gt;=setExc,"Excellent",IF(P886&gt;=setGood,"Good",IF(P886&gt;=setAvg,"Average","Poor")))</f>
        <v>Good</v>
      </c>
    </row>
    <row r="887" customFormat="false" ht="15" hidden="false" customHeight="false" outlineLevel="0" collapsed="false">
      <c r="A887" s="41" t="s">
        <v>1065</v>
      </c>
      <c r="B887" s="41" t="s">
        <v>178</v>
      </c>
      <c r="C887" s="41" t="s">
        <v>85</v>
      </c>
      <c r="D887" s="41" t="s">
        <v>105</v>
      </c>
      <c r="E887" s="41" t="s">
        <v>103</v>
      </c>
      <c r="F887" s="41" t="s">
        <v>77</v>
      </c>
      <c r="G887" s="42" t="n">
        <v>45.58</v>
      </c>
      <c r="H887" s="41" t="n">
        <v>7</v>
      </c>
      <c r="I887" s="42" t="n">
        <v>15.953</v>
      </c>
      <c r="J887" s="42" t="n">
        <v>335.013</v>
      </c>
      <c r="K887" s="43" t="n">
        <v>43478</v>
      </c>
      <c r="L887" s="44" t="n">
        <v>0.41875</v>
      </c>
      <c r="M887" s="41" t="s">
        <v>97</v>
      </c>
      <c r="N887" s="42" t="n">
        <v>319.06</v>
      </c>
      <c r="O887" s="42" t="n">
        <v>15.953</v>
      </c>
      <c r="P887" s="45" t="n">
        <v>5</v>
      </c>
      <c r="Q887" s="41" t="str">
        <f aca="false">CHOOSE(MONTH(K887),"Jan","Feb","Mar","Apr","May","Jun","Jul","Aug","Sep","Oct","Nov","Dec")</f>
        <v>Jan</v>
      </c>
      <c r="R887" s="41" t="n">
        <f aca="false">INT((K887-setMinDate)/7)+1</f>
        <v>2</v>
      </c>
      <c r="S887" s="41" t="n">
        <f aca="false">HOUR(L887)</f>
        <v>10</v>
      </c>
      <c r="T887" s="41" t="str">
        <f aca="false">IF(S887&lt;setMorningEnd,"Morning",IF(S887&lt;setAfternoonEnd,"Afternoon","Evening"))</f>
        <v>Morning</v>
      </c>
      <c r="U887" s="41" t="str">
        <f aca="false">IF(J887&gt;=setLarge,"Large",IF(J887&gt;=setMedium,"Medium","Small"))</f>
        <v>Medium</v>
      </c>
      <c r="V887" s="41" t="str">
        <f aca="false">IF(P887&gt;=setExc,"Excellent",IF(P887&gt;=setGood,"Good",IF(P887&gt;=setAvg,"Average","Poor")))</f>
        <v>Average</v>
      </c>
    </row>
    <row r="888" customFormat="false" ht="15" hidden="false" customHeight="false" outlineLevel="0" collapsed="false">
      <c r="A888" s="41" t="s">
        <v>1066</v>
      </c>
      <c r="B888" s="41" t="s">
        <v>178</v>
      </c>
      <c r="C888" s="41" t="s">
        <v>85</v>
      </c>
      <c r="D888" s="41" t="s">
        <v>104</v>
      </c>
      <c r="E888" s="41" t="s">
        <v>103</v>
      </c>
      <c r="F888" s="41" t="s">
        <v>76</v>
      </c>
      <c r="G888" s="42" t="n">
        <v>87.9</v>
      </c>
      <c r="H888" s="41" t="n">
        <v>1</v>
      </c>
      <c r="I888" s="42" t="n">
        <v>4.395</v>
      </c>
      <c r="J888" s="42" t="n">
        <v>92.295</v>
      </c>
      <c r="K888" s="43" t="n">
        <v>43501</v>
      </c>
      <c r="L888" s="44" t="n">
        <v>0.820833333333333</v>
      </c>
      <c r="M888" s="41" t="s">
        <v>98</v>
      </c>
      <c r="N888" s="42" t="n">
        <v>87.9</v>
      </c>
      <c r="O888" s="42" t="n">
        <v>4.395</v>
      </c>
      <c r="P888" s="45" t="n">
        <v>6.7</v>
      </c>
      <c r="Q888" s="41" t="str">
        <f aca="false">CHOOSE(MONTH(K888),"Jan","Feb","Mar","Apr","May","Jun","Jul","Aug","Sep","Oct","Nov","Dec")</f>
        <v>Feb</v>
      </c>
      <c r="R888" s="41" t="n">
        <f aca="false">INT((K888-setMinDate)/7)+1</f>
        <v>6</v>
      </c>
      <c r="S888" s="41" t="n">
        <f aca="false">HOUR(L888)</f>
        <v>19</v>
      </c>
      <c r="T888" s="41" t="str">
        <f aca="false">IF(S888&lt;setMorningEnd,"Morning",IF(S888&lt;setAfternoonEnd,"Afternoon","Evening"))</f>
        <v>Evening</v>
      </c>
      <c r="U888" s="41" t="str">
        <f aca="false">IF(J888&gt;=setLarge,"Large",IF(J888&gt;=setMedium,"Medium","Small"))</f>
        <v>Small</v>
      </c>
      <c r="V888" s="41" t="str">
        <f aca="false">IF(P888&gt;=setExc,"Excellent",IF(P888&gt;=setGood,"Good",IF(P888&gt;=setAvg,"Average","Poor")))</f>
        <v>Average</v>
      </c>
    </row>
    <row r="889" customFormat="false" ht="15" hidden="false" customHeight="false" outlineLevel="0" collapsed="false">
      <c r="A889" s="41" t="s">
        <v>1067</v>
      </c>
      <c r="B889" s="41" t="s">
        <v>178</v>
      </c>
      <c r="C889" s="41" t="s">
        <v>85</v>
      </c>
      <c r="D889" s="41" t="s">
        <v>104</v>
      </c>
      <c r="E889" s="41" t="s">
        <v>102</v>
      </c>
      <c r="F889" s="41" t="s">
        <v>78</v>
      </c>
      <c r="G889" s="42" t="n">
        <v>73.47</v>
      </c>
      <c r="H889" s="41" t="n">
        <v>10</v>
      </c>
      <c r="I889" s="42" t="n">
        <v>36.735</v>
      </c>
      <c r="J889" s="42" t="n">
        <v>771.435</v>
      </c>
      <c r="K889" s="43" t="n">
        <v>43547</v>
      </c>
      <c r="L889" s="44" t="n">
        <v>0.551388888888889</v>
      </c>
      <c r="M889" s="41" t="s">
        <v>98</v>
      </c>
      <c r="N889" s="42" t="n">
        <v>734.7</v>
      </c>
      <c r="O889" s="42" t="n">
        <v>36.735</v>
      </c>
      <c r="P889" s="45" t="n">
        <v>9.5</v>
      </c>
      <c r="Q889" s="41" t="str">
        <f aca="false">CHOOSE(MONTH(K889),"Jan","Feb","Mar","Apr","May","Jun","Jul","Aug","Sep","Oct","Nov","Dec")</f>
        <v>Mar</v>
      </c>
      <c r="R889" s="41" t="n">
        <f aca="false">INT((K889-setMinDate)/7)+1</f>
        <v>12</v>
      </c>
      <c r="S889" s="41" t="n">
        <f aca="false">HOUR(L889)</f>
        <v>13</v>
      </c>
      <c r="T889" s="41" t="str">
        <f aca="false">IF(S889&lt;setMorningEnd,"Morning",IF(S889&lt;setAfternoonEnd,"Afternoon","Evening"))</f>
        <v>Afternoon</v>
      </c>
      <c r="U889" s="41" t="str">
        <f aca="false">IF(J889&gt;=setLarge,"Large",IF(J889&gt;=setMedium,"Medium","Small"))</f>
        <v>Large</v>
      </c>
      <c r="V889" s="41" t="str">
        <f aca="false">IF(P889&gt;=setExc,"Excellent",IF(P889&gt;=setGood,"Good",IF(P889&gt;=setAvg,"Average","Poor")))</f>
        <v>Excellent</v>
      </c>
    </row>
    <row r="890" customFormat="false" ht="15" hidden="false" customHeight="false" outlineLevel="0" collapsed="false">
      <c r="A890" s="41" t="s">
        <v>1068</v>
      </c>
      <c r="B890" s="41" t="s">
        <v>180</v>
      </c>
      <c r="C890" s="41" t="s">
        <v>87</v>
      </c>
      <c r="D890" s="41" t="s">
        <v>105</v>
      </c>
      <c r="E890" s="41" t="s">
        <v>102</v>
      </c>
      <c r="F890" s="41" t="s">
        <v>79</v>
      </c>
      <c r="G890" s="42" t="n">
        <v>12.19</v>
      </c>
      <c r="H890" s="41" t="n">
        <v>8</v>
      </c>
      <c r="I890" s="42" t="n">
        <v>4.876</v>
      </c>
      <c r="J890" s="42" t="n">
        <v>102.396</v>
      </c>
      <c r="K890" s="43" t="n">
        <v>43537</v>
      </c>
      <c r="L890" s="44" t="n">
        <v>0.532638888888889</v>
      </c>
      <c r="M890" s="41" t="s">
        <v>98</v>
      </c>
      <c r="N890" s="42" t="n">
        <v>97.52</v>
      </c>
      <c r="O890" s="42" t="n">
        <v>4.876</v>
      </c>
      <c r="P890" s="45" t="n">
        <v>6.8</v>
      </c>
      <c r="Q890" s="41" t="str">
        <f aca="false">CHOOSE(MONTH(K890),"Jan","Feb","Mar","Apr","May","Jun","Jul","Aug","Sep","Oct","Nov","Dec")</f>
        <v>Mar</v>
      </c>
      <c r="R890" s="41" t="n">
        <f aca="false">INT((K890-setMinDate)/7)+1</f>
        <v>11</v>
      </c>
      <c r="S890" s="41" t="n">
        <f aca="false">HOUR(L890)</f>
        <v>12</v>
      </c>
      <c r="T890" s="41" t="str">
        <f aca="false">IF(S890&lt;setMorningEnd,"Morning",IF(S890&lt;setAfternoonEnd,"Afternoon","Evening"))</f>
        <v>Afternoon</v>
      </c>
      <c r="U890" s="41" t="str">
        <f aca="false">IF(J890&gt;=setLarge,"Large",IF(J890&gt;=setMedium,"Medium","Small"))</f>
        <v>Small</v>
      </c>
      <c r="V890" s="41" t="str">
        <f aca="false">IF(P890&gt;=setExc,"Excellent",IF(P890&gt;=setGood,"Good",IF(P890&gt;=setAvg,"Average","Poor")))</f>
        <v>Average</v>
      </c>
    </row>
    <row r="891" customFormat="false" ht="15" hidden="false" customHeight="false" outlineLevel="0" collapsed="false">
      <c r="A891" s="41" t="s">
        <v>1069</v>
      </c>
      <c r="B891" s="41" t="s">
        <v>178</v>
      </c>
      <c r="C891" s="41" t="s">
        <v>85</v>
      </c>
      <c r="D891" s="41" t="s">
        <v>104</v>
      </c>
      <c r="E891" s="41" t="s">
        <v>103</v>
      </c>
      <c r="F891" s="41" t="s">
        <v>77</v>
      </c>
      <c r="G891" s="42" t="n">
        <v>76.92</v>
      </c>
      <c r="H891" s="41" t="n">
        <v>10</v>
      </c>
      <c r="I891" s="42" t="n">
        <v>38.46</v>
      </c>
      <c r="J891" s="42" t="n">
        <v>807.66</v>
      </c>
      <c r="K891" s="43" t="n">
        <v>43541</v>
      </c>
      <c r="L891" s="44" t="n">
        <v>0.828472222222222</v>
      </c>
      <c r="M891" s="41" t="s">
        <v>98</v>
      </c>
      <c r="N891" s="42" t="n">
        <v>769.2</v>
      </c>
      <c r="O891" s="42" t="n">
        <v>38.46</v>
      </c>
      <c r="P891" s="45" t="n">
        <v>5.6</v>
      </c>
      <c r="Q891" s="41" t="str">
        <f aca="false">CHOOSE(MONTH(K891),"Jan","Feb","Mar","Apr","May","Jun","Jul","Aug","Sep","Oct","Nov","Dec")</f>
        <v>Mar</v>
      </c>
      <c r="R891" s="41" t="n">
        <f aca="false">INT((K891-setMinDate)/7)+1</f>
        <v>11</v>
      </c>
      <c r="S891" s="41" t="n">
        <f aca="false">HOUR(L891)</f>
        <v>19</v>
      </c>
      <c r="T891" s="41" t="str">
        <f aca="false">IF(S891&lt;setMorningEnd,"Morning",IF(S891&lt;setAfternoonEnd,"Afternoon","Evening"))</f>
        <v>Evening</v>
      </c>
      <c r="U891" s="41" t="str">
        <f aca="false">IF(J891&gt;=setLarge,"Large",IF(J891&gt;=setMedium,"Medium","Small"))</f>
        <v>Large</v>
      </c>
      <c r="V891" s="41" t="str">
        <f aca="false">IF(P891&gt;=setExc,"Excellent",IF(P891&gt;=setGood,"Good",IF(P891&gt;=setAvg,"Average","Poor")))</f>
        <v>Average</v>
      </c>
    </row>
    <row r="892" customFormat="false" ht="15" hidden="false" customHeight="false" outlineLevel="0" collapsed="false">
      <c r="A892" s="41" t="s">
        <v>1070</v>
      </c>
      <c r="B892" s="41" t="s">
        <v>180</v>
      </c>
      <c r="C892" s="41" t="s">
        <v>87</v>
      </c>
      <c r="D892" s="41" t="s">
        <v>105</v>
      </c>
      <c r="E892" s="41" t="s">
        <v>102</v>
      </c>
      <c r="F892" s="41" t="s">
        <v>81</v>
      </c>
      <c r="G892" s="42" t="n">
        <v>83.66</v>
      </c>
      <c r="H892" s="41" t="n">
        <v>5</v>
      </c>
      <c r="I892" s="42" t="n">
        <v>20.915</v>
      </c>
      <c r="J892" s="42" t="n">
        <v>439.215</v>
      </c>
      <c r="K892" s="43" t="n">
        <v>43517</v>
      </c>
      <c r="L892" s="44" t="n">
        <v>0.434722222222222</v>
      </c>
      <c r="M892" s="41" t="s">
        <v>97</v>
      </c>
      <c r="N892" s="42" t="n">
        <v>418.3</v>
      </c>
      <c r="O892" s="42" t="n">
        <v>20.915</v>
      </c>
      <c r="P892" s="45" t="n">
        <v>7.2</v>
      </c>
      <c r="Q892" s="41" t="str">
        <f aca="false">CHOOSE(MONTH(K892),"Jan","Feb","Mar","Apr","May","Jun","Jul","Aug","Sep","Oct","Nov","Dec")</f>
        <v>Feb</v>
      </c>
      <c r="R892" s="41" t="n">
        <f aca="false">INT((K892-setMinDate)/7)+1</f>
        <v>8</v>
      </c>
      <c r="S892" s="41" t="n">
        <f aca="false">HOUR(L892)</f>
        <v>10</v>
      </c>
      <c r="T892" s="41" t="str">
        <f aca="false">IF(S892&lt;setMorningEnd,"Morning",IF(S892&lt;setAfternoonEnd,"Afternoon","Evening"))</f>
        <v>Morning</v>
      </c>
      <c r="U892" s="41" t="str">
        <f aca="false">IF(J892&gt;=setLarge,"Large",IF(J892&gt;=setMedium,"Medium","Small"))</f>
        <v>Medium</v>
      </c>
      <c r="V892" s="41" t="str">
        <f aca="false">IF(P892&gt;=setExc,"Excellent",IF(P892&gt;=setGood,"Good",IF(P892&gt;=setAvg,"Average","Poor")))</f>
        <v>Good</v>
      </c>
    </row>
    <row r="893" customFormat="false" ht="15" hidden="false" customHeight="false" outlineLevel="0" collapsed="false">
      <c r="A893" s="41" t="s">
        <v>1071</v>
      </c>
      <c r="B893" s="41" t="s">
        <v>189</v>
      </c>
      <c r="C893" s="41" t="s">
        <v>86</v>
      </c>
      <c r="D893" s="41" t="s">
        <v>105</v>
      </c>
      <c r="E893" s="41" t="s">
        <v>102</v>
      </c>
      <c r="F893" s="41" t="s">
        <v>78</v>
      </c>
      <c r="G893" s="42" t="n">
        <v>57.91</v>
      </c>
      <c r="H893" s="41" t="n">
        <v>8</v>
      </c>
      <c r="I893" s="42" t="n">
        <v>23.164</v>
      </c>
      <c r="J893" s="42" t="n">
        <v>486.444</v>
      </c>
      <c r="K893" s="43" t="n">
        <v>43503</v>
      </c>
      <c r="L893" s="44" t="n">
        <v>0.629166666666667</v>
      </c>
      <c r="M893" s="41" t="s">
        <v>97</v>
      </c>
      <c r="N893" s="42" t="n">
        <v>463.28</v>
      </c>
      <c r="O893" s="42" t="n">
        <v>23.164</v>
      </c>
      <c r="P893" s="45" t="n">
        <v>8.1</v>
      </c>
      <c r="Q893" s="41" t="str">
        <f aca="false">CHOOSE(MONTH(K893),"Jan","Feb","Mar","Apr","May","Jun","Jul","Aug","Sep","Oct","Nov","Dec")</f>
        <v>Feb</v>
      </c>
      <c r="R893" s="41" t="n">
        <f aca="false">INT((K893-setMinDate)/7)+1</f>
        <v>6</v>
      </c>
      <c r="S893" s="41" t="n">
        <f aca="false">HOUR(L893)</f>
        <v>15</v>
      </c>
      <c r="T893" s="41" t="str">
        <f aca="false">IF(S893&lt;setMorningEnd,"Morning",IF(S893&lt;setAfternoonEnd,"Afternoon","Evening"))</f>
        <v>Afternoon</v>
      </c>
      <c r="U893" s="41" t="str">
        <f aca="false">IF(J893&gt;=setLarge,"Large",IF(J893&gt;=setMedium,"Medium","Small"))</f>
        <v>Medium</v>
      </c>
      <c r="V893" s="41" t="str">
        <f aca="false">IF(P893&gt;=setExc,"Excellent",IF(P893&gt;=setGood,"Good",IF(P893&gt;=setAvg,"Average","Poor")))</f>
        <v>Good</v>
      </c>
    </row>
    <row r="894" customFormat="false" ht="15" hidden="false" customHeight="false" outlineLevel="0" collapsed="false">
      <c r="A894" s="41" t="s">
        <v>1072</v>
      </c>
      <c r="B894" s="41" t="s">
        <v>180</v>
      </c>
      <c r="C894" s="41" t="s">
        <v>87</v>
      </c>
      <c r="D894" s="41" t="s">
        <v>104</v>
      </c>
      <c r="E894" s="41" t="s">
        <v>102</v>
      </c>
      <c r="F894" s="41" t="s">
        <v>79</v>
      </c>
      <c r="G894" s="42" t="n">
        <v>92.49</v>
      </c>
      <c r="H894" s="41" t="n">
        <v>5</v>
      </c>
      <c r="I894" s="42" t="n">
        <v>23.1225</v>
      </c>
      <c r="J894" s="42" t="n">
        <v>485.5725</v>
      </c>
      <c r="K894" s="43" t="n">
        <v>43526</v>
      </c>
      <c r="L894" s="44" t="n">
        <v>0.690972222222222</v>
      </c>
      <c r="M894" s="41" t="s">
        <v>99</v>
      </c>
      <c r="N894" s="42" t="n">
        <v>462.45</v>
      </c>
      <c r="O894" s="42" t="n">
        <v>23.1225</v>
      </c>
      <c r="P894" s="45" t="n">
        <v>8.6</v>
      </c>
      <c r="Q894" s="41" t="str">
        <f aca="false">CHOOSE(MONTH(K894),"Jan","Feb","Mar","Apr","May","Jun","Jul","Aug","Sep","Oct","Nov","Dec")</f>
        <v>Mar</v>
      </c>
      <c r="R894" s="41" t="n">
        <f aca="false">INT((K894-setMinDate)/7)+1</f>
        <v>9</v>
      </c>
      <c r="S894" s="41" t="n">
        <f aca="false">HOUR(L894)</f>
        <v>16</v>
      </c>
      <c r="T894" s="41" t="str">
        <f aca="false">IF(S894&lt;setMorningEnd,"Morning",IF(S894&lt;setAfternoonEnd,"Afternoon","Evening"))</f>
        <v>Afternoon</v>
      </c>
      <c r="U894" s="41" t="str">
        <f aca="false">IF(J894&gt;=setLarge,"Large",IF(J894&gt;=setMedium,"Medium","Small"))</f>
        <v>Medium</v>
      </c>
      <c r="V894" s="41" t="str">
        <f aca="false">IF(P894&gt;=setExc,"Excellent",IF(P894&gt;=setGood,"Good",IF(P894&gt;=setAvg,"Average","Poor")))</f>
        <v>Good</v>
      </c>
    </row>
    <row r="895" customFormat="false" ht="15" hidden="false" customHeight="false" outlineLevel="0" collapsed="false">
      <c r="A895" s="41" t="s">
        <v>1073</v>
      </c>
      <c r="B895" s="41" t="s">
        <v>189</v>
      </c>
      <c r="C895" s="41" t="s">
        <v>86</v>
      </c>
      <c r="D895" s="41" t="s">
        <v>105</v>
      </c>
      <c r="E895" s="41" t="s">
        <v>103</v>
      </c>
      <c r="F895" s="41" t="s">
        <v>78</v>
      </c>
      <c r="G895" s="42" t="n">
        <v>28.38</v>
      </c>
      <c r="H895" s="41" t="n">
        <v>5</v>
      </c>
      <c r="I895" s="42" t="n">
        <v>7.095</v>
      </c>
      <c r="J895" s="42" t="n">
        <v>148.995</v>
      </c>
      <c r="K895" s="43" t="n">
        <v>43530</v>
      </c>
      <c r="L895" s="44" t="n">
        <v>0.872916666666667</v>
      </c>
      <c r="M895" s="41" t="s">
        <v>97</v>
      </c>
      <c r="N895" s="42" t="n">
        <v>141.9</v>
      </c>
      <c r="O895" s="42" t="n">
        <v>7.095</v>
      </c>
      <c r="P895" s="45" t="n">
        <v>9.4</v>
      </c>
      <c r="Q895" s="41" t="str">
        <f aca="false">CHOOSE(MONTH(K895),"Jan","Feb","Mar","Apr","May","Jun","Jul","Aug","Sep","Oct","Nov","Dec")</f>
        <v>Mar</v>
      </c>
      <c r="R895" s="41" t="n">
        <f aca="false">INT((K895-setMinDate)/7)+1</f>
        <v>10</v>
      </c>
      <c r="S895" s="41" t="n">
        <f aca="false">HOUR(L895)</f>
        <v>20</v>
      </c>
      <c r="T895" s="41" t="str">
        <f aca="false">IF(S895&lt;setMorningEnd,"Morning",IF(S895&lt;setAfternoonEnd,"Afternoon","Evening"))</f>
        <v>Evening</v>
      </c>
      <c r="U895" s="41" t="str">
        <f aca="false">IF(J895&gt;=setLarge,"Large",IF(J895&gt;=setMedium,"Medium","Small"))</f>
        <v>Small</v>
      </c>
      <c r="V895" s="41" t="str">
        <f aca="false">IF(P895&gt;=setExc,"Excellent",IF(P895&gt;=setGood,"Good",IF(P895&gt;=setAvg,"Average","Poor")))</f>
        <v>Excellent</v>
      </c>
    </row>
    <row r="896" customFormat="false" ht="15" hidden="false" customHeight="false" outlineLevel="0" collapsed="false">
      <c r="A896" s="41" t="s">
        <v>1074</v>
      </c>
      <c r="B896" s="41" t="s">
        <v>189</v>
      </c>
      <c r="C896" s="41" t="s">
        <v>86</v>
      </c>
      <c r="D896" s="41" t="s">
        <v>104</v>
      </c>
      <c r="E896" s="41" t="s">
        <v>103</v>
      </c>
      <c r="F896" s="41" t="s">
        <v>78</v>
      </c>
      <c r="G896" s="42" t="n">
        <v>50.45</v>
      </c>
      <c r="H896" s="41" t="n">
        <v>6</v>
      </c>
      <c r="I896" s="42" t="n">
        <v>15.135</v>
      </c>
      <c r="J896" s="42" t="n">
        <v>317.835</v>
      </c>
      <c r="K896" s="43" t="n">
        <v>43502</v>
      </c>
      <c r="L896" s="44" t="n">
        <v>0.636111111111111</v>
      </c>
      <c r="M896" s="41" t="s">
        <v>99</v>
      </c>
      <c r="N896" s="42" t="n">
        <v>302.7</v>
      </c>
      <c r="O896" s="42" t="n">
        <v>15.135</v>
      </c>
      <c r="P896" s="45" t="n">
        <v>8.9</v>
      </c>
      <c r="Q896" s="41" t="str">
        <f aca="false">CHOOSE(MONTH(K896),"Jan","Feb","Mar","Apr","May","Jun","Jul","Aug","Sep","Oct","Nov","Dec")</f>
        <v>Feb</v>
      </c>
      <c r="R896" s="41" t="n">
        <f aca="false">INT((K896-setMinDate)/7)+1</f>
        <v>6</v>
      </c>
      <c r="S896" s="41" t="n">
        <f aca="false">HOUR(L896)</f>
        <v>15</v>
      </c>
      <c r="T896" s="41" t="str">
        <f aca="false">IF(S896&lt;setMorningEnd,"Morning",IF(S896&lt;setAfternoonEnd,"Afternoon","Evening"))</f>
        <v>Afternoon</v>
      </c>
      <c r="U896" s="41" t="str">
        <f aca="false">IF(J896&gt;=setLarge,"Large",IF(J896&gt;=setMedium,"Medium","Small"))</f>
        <v>Medium</v>
      </c>
      <c r="V896" s="41" t="str">
        <f aca="false">IF(P896&gt;=setExc,"Excellent",IF(P896&gt;=setGood,"Good",IF(P896&gt;=setAvg,"Average","Poor")))</f>
        <v>Good</v>
      </c>
    </row>
    <row r="897" customFormat="false" ht="15" hidden="false" customHeight="false" outlineLevel="0" collapsed="false">
      <c r="A897" s="41" t="s">
        <v>1075</v>
      </c>
      <c r="B897" s="41" t="s">
        <v>189</v>
      </c>
      <c r="C897" s="41" t="s">
        <v>86</v>
      </c>
      <c r="D897" s="41" t="s">
        <v>105</v>
      </c>
      <c r="E897" s="41" t="s">
        <v>103</v>
      </c>
      <c r="F897" s="41" t="s">
        <v>81</v>
      </c>
      <c r="G897" s="42" t="n">
        <v>99.16</v>
      </c>
      <c r="H897" s="41" t="n">
        <v>8</v>
      </c>
      <c r="I897" s="42" t="n">
        <v>39.664</v>
      </c>
      <c r="J897" s="42" t="n">
        <v>832.944</v>
      </c>
      <c r="K897" s="43" t="n">
        <v>43493</v>
      </c>
      <c r="L897" s="44" t="n">
        <v>0.740972222222222</v>
      </c>
      <c r="M897" s="41" t="s">
        <v>99</v>
      </c>
      <c r="N897" s="42" t="n">
        <v>793.28</v>
      </c>
      <c r="O897" s="42" t="n">
        <v>39.664</v>
      </c>
      <c r="P897" s="45" t="n">
        <v>4.2</v>
      </c>
      <c r="Q897" s="41" t="str">
        <f aca="false">CHOOSE(MONTH(K897),"Jan","Feb","Mar","Apr","May","Jun","Jul","Aug","Sep","Oct","Nov","Dec")</f>
        <v>Jan</v>
      </c>
      <c r="R897" s="41" t="n">
        <f aca="false">INT((K897-setMinDate)/7)+1</f>
        <v>4</v>
      </c>
      <c r="S897" s="41" t="n">
        <f aca="false">HOUR(L897)</f>
        <v>17</v>
      </c>
      <c r="T897" s="41" t="str">
        <f aca="false">IF(S897&lt;setMorningEnd,"Morning",IF(S897&lt;setAfternoonEnd,"Afternoon","Evening"))</f>
        <v>Evening</v>
      </c>
      <c r="U897" s="41" t="str">
        <f aca="false">IF(J897&gt;=setLarge,"Large",IF(J897&gt;=setMedium,"Medium","Small"))</f>
        <v>Large</v>
      </c>
      <c r="V897" s="41" t="str">
        <f aca="false">IF(P897&gt;=setExc,"Excellent",IF(P897&gt;=setGood,"Good",IF(P897&gt;=setAvg,"Average","Poor")))</f>
        <v>Poor</v>
      </c>
    </row>
    <row r="898" customFormat="false" ht="15" hidden="false" customHeight="false" outlineLevel="0" collapsed="false">
      <c r="A898" s="41" t="s">
        <v>1076</v>
      </c>
      <c r="B898" s="41" t="s">
        <v>180</v>
      </c>
      <c r="C898" s="41" t="s">
        <v>87</v>
      </c>
      <c r="D898" s="41" t="s">
        <v>105</v>
      </c>
      <c r="E898" s="41" t="s">
        <v>103</v>
      </c>
      <c r="F898" s="41" t="s">
        <v>79</v>
      </c>
      <c r="G898" s="42" t="n">
        <v>60.74</v>
      </c>
      <c r="H898" s="41" t="n">
        <v>7</v>
      </c>
      <c r="I898" s="42" t="n">
        <v>21.259</v>
      </c>
      <c r="J898" s="42" t="n">
        <v>446.439</v>
      </c>
      <c r="K898" s="43" t="n">
        <v>43483</v>
      </c>
      <c r="L898" s="44" t="n">
        <v>0.682638888888889</v>
      </c>
      <c r="M898" s="41" t="s">
        <v>98</v>
      </c>
      <c r="N898" s="42" t="n">
        <v>425.18</v>
      </c>
      <c r="O898" s="42" t="n">
        <v>21.259</v>
      </c>
      <c r="P898" s="45" t="n">
        <v>5</v>
      </c>
      <c r="Q898" s="41" t="str">
        <f aca="false">CHOOSE(MONTH(K898),"Jan","Feb","Mar","Apr","May","Jun","Jul","Aug","Sep","Oct","Nov","Dec")</f>
        <v>Jan</v>
      </c>
      <c r="R898" s="41" t="n">
        <f aca="false">INT((K898-setMinDate)/7)+1</f>
        <v>3</v>
      </c>
      <c r="S898" s="41" t="n">
        <f aca="false">HOUR(L898)</f>
        <v>16</v>
      </c>
      <c r="T898" s="41" t="str">
        <f aca="false">IF(S898&lt;setMorningEnd,"Morning",IF(S898&lt;setAfternoonEnd,"Afternoon","Evening"))</f>
        <v>Afternoon</v>
      </c>
      <c r="U898" s="41" t="str">
        <f aca="false">IF(J898&gt;=setLarge,"Large",IF(J898&gt;=setMedium,"Medium","Small"))</f>
        <v>Medium</v>
      </c>
      <c r="V898" s="41" t="str">
        <f aca="false">IF(P898&gt;=setExc,"Excellent",IF(P898&gt;=setGood,"Good",IF(P898&gt;=setAvg,"Average","Poor")))</f>
        <v>Average</v>
      </c>
    </row>
    <row r="899" customFormat="false" ht="15" hidden="false" customHeight="false" outlineLevel="0" collapsed="false">
      <c r="A899" s="41" t="s">
        <v>1077</v>
      </c>
      <c r="B899" s="41" t="s">
        <v>180</v>
      </c>
      <c r="C899" s="41" t="s">
        <v>87</v>
      </c>
      <c r="D899" s="41" t="s">
        <v>104</v>
      </c>
      <c r="E899" s="41" t="s">
        <v>102</v>
      </c>
      <c r="F899" s="41" t="s">
        <v>76</v>
      </c>
      <c r="G899" s="42" t="n">
        <v>47.27</v>
      </c>
      <c r="H899" s="41" t="n">
        <v>6</v>
      </c>
      <c r="I899" s="42" t="n">
        <v>14.181</v>
      </c>
      <c r="J899" s="42" t="n">
        <v>297.801</v>
      </c>
      <c r="K899" s="43" t="n">
        <v>43501</v>
      </c>
      <c r="L899" s="44" t="n">
        <v>0.428472222222222</v>
      </c>
      <c r="M899" s="41" t="s">
        <v>97</v>
      </c>
      <c r="N899" s="42" t="n">
        <v>283.62</v>
      </c>
      <c r="O899" s="42" t="n">
        <v>14.181</v>
      </c>
      <c r="P899" s="45" t="n">
        <v>8.8</v>
      </c>
      <c r="Q899" s="41" t="str">
        <f aca="false">CHOOSE(MONTH(K899),"Jan","Feb","Mar","Apr","May","Jun","Jul","Aug","Sep","Oct","Nov","Dec")</f>
        <v>Feb</v>
      </c>
      <c r="R899" s="41" t="n">
        <f aca="false">INT((K899-setMinDate)/7)+1</f>
        <v>6</v>
      </c>
      <c r="S899" s="41" t="n">
        <f aca="false">HOUR(L899)</f>
        <v>10</v>
      </c>
      <c r="T899" s="41" t="str">
        <f aca="false">IF(S899&lt;setMorningEnd,"Morning",IF(S899&lt;setAfternoonEnd,"Afternoon","Evening"))</f>
        <v>Morning</v>
      </c>
      <c r="U899" s="41" t="str">
        <f aca="false">IF(J899&gt;=setLarge,"Large",IF(J899&gt;=setMedium,"Medium","Small"))</f>
        <v>Medium</v>
      </c>
      <c r="V899" s="41" t="str">
        <f aca="false">IF(P899&gt;=setExc,"Excellent",IF(P899&gt;=setGood,"Good",IF(P899&gt;=setAvg,"Average","Poor")))</f>
        <v>Good</v>
      </c>
    </row>
    <row r="900" customFormat="false" ht="15" hidden="false" customHeight="false" outlineLevel="0" collapsed="false">
      <c r="A900" s="41" t="s">
        <v>1078</v>
      </c>
      <c r="B900" s="41" t="s">
        <v>180</v>
      </c>
      <c r="C900" s="41" t="s">
        <v>87</v>
      </c>
      <c r="D900" s="41" t="s">
        <v>104</v>
      </c>
      <c r="E900" s="41" t="s">
        <v>103</v>
      </c>
      <c r="F900" s="41" t="s">
        <v>81</v>
      </c>
      <c r="G900" s="42" t="n">
        <v>85.6</v>
      </c>
      <c r="H900" s="41" t="n">
        <v>7</v>
      </c>
      <c r="I900" s="42" t="n">
        <v>29.96</v>
      </c>
      <c r="J900" s="42" t="n">
        <v>629.16</v>
      </c>
      <c r="K900" s="43" t="n">
        <v>43526</v>
      </c>
      <c r="L900" s="44" t="n">
        <v>0.576388888888889</v>
      </c>
      <c r="M900" s="41" t="s">
        <v>97</v>
      </c>
      <c r="N900" s="42" t="n">
        <v>599.2</v>
      </c>
      <c r="O900" s="42" t="n">
        <v>29.96</v>
      </c>
      <c r="P900" s="45" t="n">
        <v>5.3</v>
      </c>
      <c r="Q900" s="41" t="str">
        <f aca="false">CHOOSE(MONTH(K900),"Jan","Feb","Mar","Apr","May","Jun","Jul","Aug","Sep","Oct","Nov","Dec")</f>
        <v>Mar</v>
      </c>
      <c r="R900" s="41" t="n">
        <f aca="false">INT((K900-setMinDate)/7)+1</f>
        <v>9</v>
      </c>
      <c r="S900" s="41" t="n">
        <f aca="false">HOUR(L900)</f>
        <v>13</v>
      </c>
      <c r="T900" s="41" t="str">
        <f aca="false">IF(S900&lt;setMorningEnd,"Morning",IF(S900&lt;setAfternoonEnd,"Afternoon","Evening"))</f>
        <v>Afternoon</v>
      </c>
      <c r="U900" s="41" t="str">
        <f aca="false">IF(J900&gt;=setLarge,"Large",IF(J900&gt;=setMedium,"Medium","Small"))</f>
        <v>Large</v>
      </c>
      <c r="V900" s="41" t="str">
        <f aca="false">IF(P900&gt;=setExc,"Excellent",IF(P900&gt;=setGood,"Good",IF(P900&gt;=setAvg,"Average","Poor")))</f>
        <v>Average</v>
      </c>
    </row>
    <row r="901" customFormat="false" ht="15" hidden="false" customHeight="false" outlineLevel="0" collapsed="false">
      <c r="A901" s="41" t="s">
        <v>1079</v>
      </c>
      <c r="B901" s="41" t="s">
        <v>178</v>
      </c>
      <c r="C901" s="41" t="s">
        <v>85</v>
      </c>
      <c r="D901" s="41" t="s">
        <v>104</v>
      </c>
      <c r="E901" s="41" t="s">
        <v>103</v>
      </c>
      <c r="F901" s="41" t="s">
        <v>76</v>
      </c>
      <c r="G901" s="42" t="n">
        <v>35.04</v>
      </c>
      <c r="H901" s="41" t="n">
        <v>9</v>
      </c>
      <c r="I901" s="42" t="n">
        <v>15.768</v>
      </c>
      <c r="J901" s="42" t="n">
        <v>331.128</v>
      </c>
      <c r="K901" s="43" t="n">
        <v>43505</v>
      </c>
      <c r="L901" s="44" t="n">
        <v>0.803472222222222</v>
      </c>
      <c r="M901" s="41" t="s">
        <v>98</v>
      </c>
      <c r="N901" s="42" t="n">
        <v>315.36</v>
      </c>
      <c r="O901" s="42" t="n">
        <v>15.768</v>
      </c>
      <c r="P901" s="45" t="n">
        <v>4.6</v>
      </c>
      <c r="Q901" s="41" t="str">
        <f aca="false">CHOOSE(MONTH(K901),"Jan","Feb","Mar","Apr","May","Jun","Jul","Aug","Sep","Oct","Nov","Dec")</f>
        <v>Feb</v>
      </c>
      <c r="R901" s="41" t="n">
        <f aca="false">INT((K901-setMinDate)/7)+1</f>
        <v>6</v>
      </c>
      <c r="S901" s="41" t="n">
        <f aca="false">HOUR(L901)</f>
        <v>19</v>
      </c>
      <c r="T901" s="41" t="str">
        <f aca="false">IF(S901&lt;setMorningEnd,"Morning",IF(S901&lt;setAfternoonEnd,"Afternoon","Evening"))</f>
        <v>Evening</v>
      </c>
      <c r="U901" s="41" t="str">
        <f aca="false">IF(J901&gt;=setLarge,"Large",IF(J901&gt;=setMedium,"Medium","Small"))</f>
        <v>Medium</v>
      </c>
      <c r="V901" s="41" t="str">
        <f aca="false">IF(P901&gt;=setExc,"Excellent",IF(P901&gt;=setGood,"Good",IF(P901&gt;=setAvg,"Average","Poor")))</f>
        <v>Poor</v>
      </c>
    </row>
    <row r="902" customFormat="false" ht="15" hidden="false" customHeight="false" outlineLevel="0" collapsed="false">
      <c r="A902" s="41" t="s">
        <v>1080</v>
      </c>
      <c r="B902" s="41" t="s">
        <v>180</v>
      </c>
      <c r="C902" s="41" t="s">
        <v>87</v>
      </c>
      <c r="D902" s="41" t="s">
        <v>104</v>
      </c>
      <c r="E902" s="41" t="s">
        <v>102</v>
      </c>
      <c r="F902" s="41" t="s">
        <v>78</v>
      </c>
      <c r="G902" s="42" t="n">
        <v>44.84</v>
      </c>
      <c r="H902" s="41" t="n">
        <v>9</v>
      </c>
      <c r="I902" s="42" t="n">
        <v>20.178</v>
      </c>
      <c r="J902" s="42" t="n">
        <v>423.738</v>
      </c>
      <c r="K902" s="43" t="n">
        <v>43479</v>
      </c>
      <c r="L902" s="44" t="n">
        <v>0.583333333333333</v>
      </c>
      <c r="M902" s="41" t="s">
        <v>99</v>
      </c>
      <c r="N902" s="42" t="n">
        <v>403.56</v>
      </c>
      <c r="O902" s="42" t="n">
        <v>20.178</v>
      </c>
      <c r="P902" s="45" t="n">
        <v>7.5</v>
      </c>
      <c r="Q902" s="41" t="str">
        <f aca="false">CHOOSE(MONTH(K902),"Jan","Feb","Mar","Apr","May","Jun","Jul","Aug","Sep","Oct","Nov","Dec")</f>
        <v>Jan</v>
      </c>
      <c r="R902" s="41" t="n">
        <f aca="false">INT((K902-setMinDate)/7)+1</f>
        <v>2</v>
      </c>
      <c r="S902" s="41" t="n">
        <f aca="false">HOUR(L902)</f>
        <v>14</v>
      </c>
      <c r="T902" s="41" t="str">
        <f aca="false">IF(S902&lt;setMorningEnd,"Morning",IF(S902&lt;setAfternoonEnd,"Afternoon","Evening"))</f>
        <v>Afternoon</v>
      </c>
      <c r="U902" s="41" t="str">
        <f aca="false">IF(J902&gt;=setLarge,"Large",IF(J902&gt;=setMedium,"Medium","Small"))</f>
        <v>Medium</v>
      </c>
      <c r="V902" s="41" t="str">
        <f aca="false">IF(P902&gt;=setExc,"Excellent",IF(P902&gt;=setGood,"Good",IF(P902&gt;=setAvg,"Average","Poor")))</f>
        <v>Good</v>
      </c>
    </row>
    <row r="903" customFormat="false" ht="15" hidden="false" customHeight="false" outlineLevel="0" collapsed="false">
      <c r="A903" s="41" t="s">
        <v>1081</v>
      </c>
      <c r="B903" s="41" t="s">
        <v>189</v>
      </c>
      <c r="C903" s="41" t="s">
        <v>86</v>
      </c>
      <c r="D903" s="41" t="s">
        <v>105</v>
      </c>
      <c r="E903" s="41" t="s">
        <v>103</v>
      </c>
      <c r="F903" s="41" t="s">
        <v>80</v>
      </c>
      <c r="G903" s="42" t="n">
        <v>45.97</v>
      </c>
      <c r="H903" s="41" t="n">
        <v>4</v>
      </c>
      <c r="I903" s="42" t="n">
        <v>9.194</v>
      </c>
      <c r="J903" s="42" t="n">
        <v>193.074</v>
      </c>
      <c r="K903" s="43" t="n">
        <v>43505</v>
      </c>
      <c r="L903" s="44" t="n">
        <v>0.501388888888889</v>
      </c>
      <c r="M903" s="41" t="s">
        <v>98</v>
      </c>
      <c r="N903" s="42" t="n">
        <v>183.88</v>
      </c>
      <c r="O903" s="42" t="n">
        <v>9.194</v>
      </c>
      <c r="P903" s="45" t="n">
        <v>5.1</v>
      </c>
      <c r="Q903" s="41" t="str">
        <f aca="false">CHOOSE(MONTH(K903),"Jan","Feb","Mar","Apr","May","Jun","Jul","Aug","Sep","Oct","Nov","Dec")</f>
        <v>Feb</v>
      </c>
      <c r="R903" s="41" t="n">
        <f aca="false">INT((K903-setMinDate)/7)+1</f>
        <v>6</v>
      </c>
      <c r="S903" s="41" t="n">
        <f aca="false">HOUR(L903)</f>
        <v>12</v>
      </c>
      <c r="T903" s="41" t="str">
        <f aca="false">IF(S903&lt;setMorningEnd,"Morning",IF(S903&lt;setAfternoonEnd,"Afternoon","Evening"))</f>
        <v>Afternoon</v>
      </c>
      <c r="U903" s="41" t="str">
        <f aca="false">IF(J903&gt;=setLarge,"Large",IF(J903&gt;=setMedium,"Medium","Small"))</f>
        <v>Small</v>
      </c>
      <c r="V903" s="41" t="str">
        <f aca="false">IF(P903&gt;=setExc,"Excellent",IF(P903&gt;=setGood,"Good",IF(P903&gt;=setAvg,"Average","Poor")))</f>
        <v>Average</v>
      </c>
    </row>
    <row r="904" customFormat="false" ht="15" hidden="false" customHeight="false" outlineLevel="0" collapsed="false">
      <c r="A904" s="41" t="s">
        <v>1082</v>
      </c>
      <c r="B904" s="41" t="s">
        <v>178</v>
      </c>
      <c r="C904" s="41" t="s">
        <v>85</v>
      </c>
      <c r="D904" s="41" t="s">
        <v>104</v>
      </c>
      <c r="E904" s="41" t="s">
        <v>102</v>
      </c>
      <c r="F904" s="41" t="s">
        <v>81</v>
      </c>
      <c r="G904" s="42" t="n">
        <v>27.73</v>
      </c>
      <c r="H904" s="41" t="n">
        <v>5</v>
      </c>
      <c r="I904" s="42" t="n">
        <v>6.9325</v>
      </c>
      <c r="J904" s="42" t="n">
        <v>145.5825</v>
      </c>
      <c r="K904" s="43" t="n">
        <v>43550</v>
      </c>
      <c r="L904" s="44" t="n">
        <v>0.847916666666667</v>
      </c>
      <c r="M904" s="41" t="s">
        <v>99</v>
      </c>
      <c r="N904" s="42" t="n">
        <v>138.65</v>
      </c>
      <c r="O904" s="42" t="n">
        <v>6.9325</v>
      </c>
      <c r="P904" s="45" t="n">
        <v>4.2</v>
      </c>
      <c r="Q904" s="41" t="str">
        <f aca="false">CHOOSE(MONTH(K904),"Jan","Feb","Mar","Apr","May","Jun","Jul","Aug","Sep","Oct","Nov","Dec")</f>
        <v>Mar</v>
      </c>
      <c r="R904" s="41" t="n">
        <f aca="false">INT((K904-setMinDate)/7)+1</f>
        <v>13</v>
      </c>
      <c r="S904" s="41" t="n">
        <f aca="false">HOUR(L904)</f>
        <v>20</v>
      </c>
      <c r="T904" s="41" t="str">
        <f aca="false">IF(S904&lt;setMorningEnd,"Morning",IF(S904&lt;setAfternoonEnd,"Afternoon","Evening"))</f>
        <v>Evening</v>
      </c>
      <c r="U904" s="41" t="str">
        <f aca="false">IF(J904&gt;=setLarge,"Large",IF(J904&gt;=setMedium,"Medium","Small"))</f>
        <v>Small</v>
      </c>
      <c r="V904" s="41" t="str">
        <f aca="false">IF(P904&gt;=setExc,"Excellent",IF(P904&gt;=setGood,"Good",IF(P904&gt;=setAvg,"Average","Poor")))</f>
        <v>Poor</v>
      </c>
    </row>
    <row r="905" customFormat="false" ht="15" hidden="false" customHeight="false" outlineLevel="0" collapsed="false">
      <c r="A905" s="41" t="s">
        <v>1083</v>
      </c>
      <c r="B905" s="41" t="s">
        <v>178</v>
      </c>
      <c r="C905" s="41" t="s">
        <v>85</v>
      </c>
      <c r="D905" s="41" t="s">
        <v>105</v>
      </c>
      <c r="E905" s="41" t="s">
        <v>103</v>
      </c>
      <c r="F905" s="41" t="s">
        <v>76</v>
      </c>
      <c r="G905" s="42" t="n">
        <v>11.53</v>
      </c>
      <c r="H905" s="41" t="n">
        <v>7</v>
      </c>
      <c r="I905" s="42" t="n">
        <v>4.0355</v>
      </c>
      <c r="J905" s="42" t="n">
        <v>84.7455</v>
      </c>
      <c r="K905" s="43" t="n">
        <v>43493</v>
      </c>
      <c r="L905" s="44" t="n">
        <v>0.732638888888889</v>
      </c>
      <c r="M905" s="41" t="s">
        <v>97</v>
      </c>
      <c r="N905" s="42" t="n">
        <v>80.71</v>
      </c>
      <c r="O905" s="42" t="n">
        <v>4.0355</v>
      </c>
      <c r="P905" s="45" t="n">
        <v>8.1</v>
      </c>
      <c r="Q905" s="41" t="str">
        <f aca="false">CHOOSE(MONTH(K905),"Jan","Feb","Mar","Apr","May","Jun","Jul","Aug","Sep","Oct","Nov","Dec")</f>
        <v>Jan</v>
      </c>
      <c r="R905" s="41" t="n">
        <f aca="false">INT((K905-setMinDate)/7)+1</f>
        <v>4</v>
      </c>
      <c r="S905" s="41" t="n">
        <f aca="false">HOUR(L905)</f>
        <v>17</v>
      </c>
      <c r="T905" s="41" t="str">
        <f aca="false">IF(S905&lt;setMorningEnd,"Morning",IF(S905&lt;setAfternoonEnd,"Afternoon","Evening"))</f>
        <v>Evening</v>
      </c>
      <c r="U905" s="41" t="str">
        <f aca="false">IF(J905&gt;=setLarge,"Large",IF(J905&gt;=setMedium,"Medium","Small"))</f>
        <v>Small</v>
      </c>
      <c r="V905" s="41" t="str">
        <f aca="false">IF(P905&gt;=setExc,"Excellent",IF(P905&gt;=setGood,"Good",IF(P905&gt;=setAvg,"Average","Poor")))</f>
        <v>Good</v>
      </c>
    </row>
    <row r="906" customFormat="false" ht="15" hidden="false" customHeight="false" outlineLevel="0" collapsed="false">
      <c r="A906" s="41" t="s">
        <v>1084</v>
      </c>
      <c r="B906" s="41" t="s">
        <v>180</v>
      </c>
      <c r="C906" s="41" t="s">
        <v>87</v>
      </c>
      <c r="D906" s="41" t="s">
        <v>105</v>
      </c>
      <c r="E906" s="41" t="s">
        <v>102</v>
      </c>
      <c r="F906" s="41" t="s">
        <v>81</v>
      </c>
      <c r="G906" s="42" t="n">
        <v>58.32</v>
      </c>
      <c r="H906" s="41" t="n">
        <v>2</v>
      </c>
      <c r="I906" s="42" t="n">
        <v>5.832</v>
      </c>
      <c r="J906" s="42" t="n">
        <v>122.472</v>
      </c>
      <c r="K906" s="43" t="n">
        <v>43510</v>
      </c>
      <c r="L906" s="44" t="n">
        <v>0.529166666666667</v>
      </c>
      <c r="M906" s="41" t="s">
        <v>98</v>
      </c>
      <c r="N906" s="42" t="n">
        <v>116.64</v>
      </c>
      <c r="O906" s="42" t="n">
        <v>5.832</v>
      </c>
      <c r="P906" s="45" t="n">
        <v>6</v>
      </c>
      <c r="Q906" s="41" t="str">
        <f aca="false">CHOOSE(MONTH(K906),"Jan","Feb","Mar","Apr","May","Jun","Jul","Aug","Sep","Oct","Nov","Dec")</f>
        <v>Feb</v>
      </c>
      <c r="R906" s="41" t="n">
        <f aca="false">INT((K906-setMinDate)/7)+1</f>
        <v>7</v>
      </c>
      <c r="S906" s="41" t="n">
        <f aca="false">HOUR(L906)</f>
        <v>12</v>
      </c>
      <c r="T906" s="41" t="str">
        <f aca="false">IF(S906&lt;setMorningEnd,"Morning",IF(S906&lt;setAfternoonEnd,"Afternoon","Evening"))</f>
        <v>Afternoon</v>
      </c>
      <c r="U906" s="41" t="str">
        <f aca="false">IF(J906&gt;=setLarge,"Large",IF(J906&gt;=setMedium,"Medium","Small"))</f>
        <v>Small</v>
      </c>
      <c r="V906" s="41" t="str">
        <f aca="false">IF(P906&gt;=setExc,"Excellent",IF(P906&gt;=setGood,"Good",IF(P906&gt;=setAvg,"Average","Poor")))</f>
        <v>Average</v>
      </c>
    </row>
    <row r="907" customFormat="false" ht="15" hidden="false" customHeight="false" outlineLevel="0" collapsed="false">
      <c r="A907" s="41" t="s">
        <v>1085</v>
      </c>
      <c r="B907" s="41" t="s">
        <v>180</v>
      </c>
      <c r="C907" s="41" t="s">
        <v>87</v>
      </c>
      <c r="D907" s="41" t="s">
        <v>104</v>
      </c>
      <c r="E907" s="41" t="s">
        <v>102</v>
      </c>
      <c r="F907" s="41" t="s">
        <v>80</v>
      </c>
      <c r="G907" s="42" t="n">
        <v>78.38</v>
      </c>
      <c r="H907" s="41" t="n">
        <v>4</v>
      </c>
      <c r="I907" s="42" t="n">
        <v>15.676</v>
      </c>
      <c r="J907" s="42" t="n">
        <v>329.196</v>
      </c>
      <c r="K907" s="43" t="n">
        <v>43548</v>
      </c>
      <c r="L907" s="44" t="n">
        <v>0.747222222222222</v>
      </c>
      <c r="M907" s="41" t="s">
        <v>97</v>
      </c>
      <c r="N907" s="42" t="n">
        <v>313.52</v>
      </c>
      <c r="O907" s="42" t="n">
        <v>15.676</v>
      </c>
      <c r="P907" s="45" t="n">
        <v>7.9</v>
      </c>
      <c r="Q907" s="41" t="str">
        <f aca="false">CHOOSE(MONTH(K907),"Jan","Feb","Mar","Apr","May","Jun","Jul","Aug","Sep","Oct","Nov","Dec")</f>
        <v>Mar</v>
      </c>
      <c r="R907" s="41" t="n">
        <f aca="false">INT((K907-setMinDate)/7)+1</f>
        <v>12</v>
      </c>
      <c r="S907" s="41" t="n">
        <f aca="false">HOUR(L907)</f>
        <v>17</v>
      </c>
      <c r="T907" s="41" t="str">
        <f aca="false">IF(S907&lt;setMorningEnd,"Morning",IF(S907&lt;setAfternoonEnd,"Afternoon","Evening"))</f>
        <v>Evening</v>
      </c>
      <c r="U907" s="41" t="str">
        <f aca="false">IF(J907&gt;=setLarge,"Large",IF(J907&gt;=setMedium,"Medium","Small"))</f>
        <v>Medium</v>
      </c>
      <c r="V907" s="41" t="str">
        <f aca="false">IF(P907&gt;=setExc,"Excellent",IF(P907&gt;=setGood,"Good",IF(P907&gt;=setAvg,"Average","Poor")))</f>
        <v>Good</v>
      </c>
    </row>
    <row r="908" customFormat="false" ht="15" hidden="false" customHeight="false" outlineLevel="0" collapsed="false">
      <c r="A908" s="41" t="s">
        <v>1086</v>
      </c>
      <c r="B908" s="41" t="s">
        <v>180</v>
      </c>
      <c r="C908" s="41" t="s">
        <v>87</v>
      </c>
      <c r="D908" s="41" t="s">
        <v>105</v>
      </c>
      <c r="E908" s="41" t="s">
        <v>103</v>
      </c>
      <c r="F908" s="41" t="s">
        <v>81</v>
      </c>
      <c r="G908" s="42" t="n">
        <v>84.61</v>
      </c>
      <c r="H908" s="41" t="n">
        <v>10</v>
      </c>
      <c r="I908" s="42" t="n">
        <v>42.305</v>
      </c>
      <c r="J908" s="42" t="n">
        <v>888.405</v>
      </c>
      <c r="K908" s="43" t="n">
        <v>43505</v>
      </c>
      <c r="L908" s="44" t="n">
        <v>0.790277777777778</v>
      </c>
      <c r="M908" s="41" t="s">
        <v>99</v>
      </c>
      <c r="N908" s="42" t="n">
        <v>846.1</v>
      </c>
      <c r="O908" s="42" t="n">
        <v>42.305</v>
      </c>
      <c r="P908" s="45" t="n">
        <v>8.8</v>
      </c>
      <c r="Q908" s="41" t="str">
        <f aca="false">CHOOSE(MONTH(K908),"Jan","Feb","Mar","Apr","May","Jun","Jul","Aug","Sep","Oct","Nov","Dec")</f>
        <v>Feb</v>
      </c>
      <c r="R908" s="41" t="n">
        <f aca="false">INT((K908-setMinDate)/7)+1</f>
        <v>6</v>
      </c>
      <c r="S908" s="41" t="n">
        <f aca="false">HOUR(L908)</f>
        <v>18</v>
      </c>
      <c r="T908" s="41" t="str">
        <f aca="false">IF(S908&lt;setMorningEnd,"Morning",IF(S908&lt;setAfternoonEnd,"Afternoon","Evening"))</f>
        <v>Evening</v>
      </c>
      <c r="U908" s="41" t="str">
        <f aca="false">IF(J908&gt;=setLarge,"Large",IF(J908&gt;=setMedium,"Medium","Small"))</f>
        <v>Large</v>
      </c>
      <c r="V908" s="41" t="str">
        <f aca="false">IF(P908&gt;=setExc,"Excellent",IF(P908&gt;=setGood,"Good",IF(P908&gt;=setAvg,"Average","Poor")))</f>
        <v>Good</v>
      </c>
    </row>
    <row r="909" customFormat="false" ht="15" hidden="false" customHeight="false" outlineLevel="0" collapsed="false">
      <c r="A909" s="41" t="s">
        <v>1087</v>
      </c>
      <c r="B909" s="41" t="s">
        <v>189</v>
      </c>
      <c r="C909" s="41" t="s">
        <v>86</v>
      </c>
      <c r="D909" s="41" t="s">
        <v>105</v>
      </c>
      <c r="E909" s="41" t="s">
        <v>102</v>
      </c>
      <c r="F909" s="41" t="s">
        <v>81</v>
      </c>
      <c r="G909" s="42" t="n">
        <v>82.88</v>
      </c>
      <c r="H909" s="41" t="n">
        <v>5</v>
      </c>
      <c r="I909" s="42" t="n">
        <v>20.72</v>
      </c>
      <c r="J909" s="42" t="n">
        <v>435.12</v>
      </c>
      <c r="K909" s="43" t="n">
        <v>43548</v>
      </c>
      <c r="L909" s="44" t="n">
        <v>0.588888888888889</v>
      </c>
      <c r="M909" s="41" t="s">
        <v>99</v>
      </c>
      <c r="N909" s="42" t="n">
        <v>414.4</v>
      </c>
      <c r="O909" s="42" t="n">
        <v>20.72</v>
      </c>
      <c r="P909" s="45" t="n">
        <v>6.6</v>
      </c>
      <c r="Q909" s="41" t="str">
        <f aca="false">CHOOSE(MONTH(K909),"Jan","Feb","Mar","Apr","May","Jun","Jul","Aug","Sep","Oct","Nov","Dec")</f>
        <v>Mar</v>
      </c>
      <c r="R909" s="41" t="n">
        <f aca="false">INT((K909-setMinDate)/7)+1</f>
        <v>12</v>
      </c>
      <c r="S909" s="41" t="n">
        <f aca="false">HOUR(L909)</f>
        <v>14</v>
      </c>
      <c r="T909" s="41" t="str">
        <f aca="false">IF(S909&lt;setMorningEnd,"Morning",IF(S909&lt;setAfternoonEnd,"Afternoon","Evening"))</f>
        <v>Afternoon</v>
      </c>
      <c r="U909" s="41" t="str">
        <f aca="false">IF(J909&gt;=setLarge,"Large",IF(J909&gt;=setMedium,"Medium","Small"))</f>
        <v>Medium</v>
      </c>
      <c r="V909" s="41" t="str">
        <f aca="false">IF(P909&gt;=setExc,"Excellent",IF(P909&gt;=setGood,"Good",IF(P909&gt;=setAvg,"Average","Poor")))</f>
        <v>Average</v>
      </c>
    </row>
    <row r="910" customFormat="false" ht="15" hidden="false" customHeight="false" outlineLevel="0" collapsed="false">
      <c r="A910" s="41" t="s">
        <v>1088</v>
      </c>
      <c r="B910" s="41" t="s">
        <v>178</v>
      </c>
      <c r="C910" s="41" t="s">
        <v>85</v>
      </c>
      <c r="D910" s="41" t="s">
        <v>104</v>
      </c>
      <c r="E910" s="41" t="s">
        <v>102</v>
      </c>
      <c r="F910" s="41" t="s">
        <v>76</v>
      </c>
      <c r="G910" s="42" t="n">
        <v>79.54</v>
      </c>
      <c r="H910" s="41" t="n">
        <v>2</v>
      </c>
      <c r="I910" s="42" t="n">
        <v>7.954</v>
      </c>
      <c r="J910" s="42" t="n">
        <v>167.034</v>
      </c>
      <c r="K910" s="43" t="n">
        <v>43551</v>
      </c>
      <c r="L910" s="44" t="n">
        <v>0.6875</v>
      </c>
      <c r="M910" s="41" t="s">
        <v>98</v>
      </c>
      <c r="N910" s="42" t="n">
        <v>159.08</v>
      </c>
      <c r="O910" s="42" t="n">
        <v>7.954</v>
      </c>
      <c r="P910" s="45" t="n">
        <v>6.2</v>
      </c>
      <c r="Q910" s="41" t="str">
        <f aca="false">CHOOSE(MONTH(K910),"Jan","Feb","Mar","Apr","May","Jun","Jul","Aug","Sep","Oct","Nov","Dec")</f>
        <v>Mar</v>
      </c>
      <c r="R910" s="41" t="n">
        <f aca="false">INT((K910-setMinDate)/7)+1</f>
        <v>13</v>
      </c>
      <c r="S910" s="41" t="n">
        <f aca="false">HOUR(L910)</f>
        <v>16</v>
      </c>
      <c r="T910" s="41" t="str">
        <f aca="false">IF(S910&lt;setMorningEnd,"Morning",IF(S910&lt;setAfternoonEnd,"Afternoon","Evening"))</f>
        <v>Afternoon</v>
      </c>
      <c r="U910" s="41" t="str">
        <f aca="false">IF(J910&gt;=setLarge,"Large",IF(J910&gt;=setMedium,"Medium","Small"))</f>
        <v>Small</v>
      </c>
      <c r="V910" s="41" t="str">
        <f aca="false">IF(P910&gt;=setExc,"Excellent",IF(P910&gt;=setGood,"Good",IF(P910&gt;=setAvg,"Average","Poor")))</f>
        <v>Average</v>
      </c>
    </row>
    <row r="911" customFormat="false" ht="15" hidden="false" customHeight="false" outlineLevel="0" collapsed="false">
      <c r="A911" s="41" t="s">
        <v>1089</v>
      </c>
      <c r="B911" s="41" t="s">
        <v>189</v>
      </c>
      <c r="C911" s="41" t="s">
        <v>86</v>
      </c>
      <c r="D911" s="41" t="s">
        <v>105</v>
      </c>
      <c r="E911" s="41" t="s">
        <v>102</v>
      </c>
      <c r="F911" s="41" t="s">
        <v>80</v>
      </c>
      <c r="G911" s="42" t="n">
        <v>49.01</v>
      </c>
      <c r="H911" s="41" t="n">
        <v>10</v>
      </c>
      <c r="I911" s="42" t="n">
        <v>24.505</v>
      </c>
      <c r="J911" s="42" t="n">
        <v>514.605</v>
      </c>
      <c r="K911" s="43" t="n">
        <v>43492</v>
      </c>
      <c r="L911" s="44" t="n">
        <v>0.447222222222222</v>
      </c>
      <c r="M911" s="41" t="s">
        <v>99</v>
      </c>
      <c r="N911" s="42" t="n">
        <v>490.1</v>
      </c>
      <c r="O911" s="42" t="n">
        <v>24.505</v>
      </c>
      <c r="P911" s="45" t="n">
        <v>4.2</v>
      </c>
      <c r="Q911" s="41" t="str">
        <f aca="false">CHOOSE(MONTH(K911),"Jan","Feb","Mar","Apr","May","Jun","Jul","Aug","Sep","Oct","Nov","Dec")</f>
        <v>Jan</v>
      </c>
      <c r="R911" s="41" t="n">
        <f aca="false">INT((K911-setMinDate)/7)+1</f>
        <v>4</v>
      </c>
      <c r="S911" s="41" t="n">
        <f aca="false">HOUR(L911)</f>
        <v>10</v>
      </c>
      <c r="T911" s="41" t="str">
        <f aca="false">IF(S911&lt;setMorningEnd,"Morning",IF(S911&lt;setAfternoonEnd,"Afternoon","Evening"))</f>
        <v>Morning</v>
      </c>
      <c r="U911" s="41" t="str">
        <f aca="false">IF(J911&gt;=setLarge,"Large",IF(J911&gt;=setMedium,"Medium","Small"))</f>
        <v>Medium</v>
      </c>
      <c r="V911" s="41" t="str">
        <f aca="false">IF(P911&gt;=setExc,"Excellent",IF(P911&gt;=setGood,"Good",IF(P911&gt;=setAvg,"Average","Poor")))</f>
        <v>Poor</v>
      </c>
    </row>
    <row r="912" customFormat="false" ht="15" hidden="false" customHeight="false" outlineLevel="0" collapsed="false">
      <c r="A912" s="41" t="s">
        <v>1090</v>
      </c>
      <c r="B912" s="41" t="s">
        <v>189</v>
      </c>
      <c r="C912" s="41" t="s">
        <v>86</v>
      </c>
      <c r="D912" s="41" t="s">
        <v>104</v>
      </c>
      <c r="E912" s="41" t="s">
        <v>102</v>
      </c>
      <c r="F912" s="41" t="s">
        <v>76</v>
      </c>
      <c r="G912" s="42" t="n">
        <v>29.15</v>
      </c>
      <c r="H912" s="41" t="n">
        <v>3</v>
      </c>
      <c r="I912" s="42" t="n">
        <v>4.3725</v>
      </c>
      <c r="J912" s="42" t="n">
        <v>91.8225</v>
      </c>
      <c r="K912" s="43" t="n">
        <v>43551</v>
      </c>
      <c r="L912" s="44" t="n">
        <v>0.853472222222222</v>
      </c>
      <c r="M912" s="41" t="s">
        <v>99</v>
      </c>
      <c r="N912" s="42" t="n">
        <v>87.45</v>
      </c>
      <c r="O912" s="42" t="n">
        <v>4.3725</v>
      </c>
      <c r="P912" s="45" t="n">
        <v>7.3</v>
      </c>
      <c r="Q912" s="41" t="str">
        <f aca="false">CHOOSE(MONTH(K912),"Jan","Feb","Mar","Apr","May","Jun","Jul","Aug","Sep","Oct","Nov","Dec")</f>
        <v>Mar</v>
      </c>
      <c r="R912" s="41" t="n">
        <f aca="false">INT((K912-setMinDate)/7)+1</f>
        <v>13</v>
      </c>
      <c r="S912" s="41" t="n">
        <f aca="false">HOUR(L912)</f>
        <v>20</v>
      </c>
      <c r="T912" s="41" t="str">
        <f aca="false">IF(S912&lt;setMorningEnd,"Morning",IF(S912&lt;setAfternoonEnd,"Afternoon","Evening"))</f>
        <v>Evening</v>
      </c>
      <c r="U912" s="41" t="str">
        <f aca="false">IF(J912&gt;=setLarge,"Large",IF(J912&gt;=setMedium,"Medium","Small"))</f>
        <v>Small</v>
      </c>
      <c r="V912" s="41" t="str">
        <f aca="false">IF(P912&gt;=setExc,"Excellent",IF(P912&gt;=setGood,"Good",IF(P912&gt;=setAvg,"Average","Poor")))</f>
        <v>Good</v>
      </c>
    </row>
    <row r="913" customFormat="false" ht="15" hidden="false" customHeight="false" outlineLevel="0" collapsed="false">
      <c r="A913" s="41" t="s">
        <v>1091</v>
      </c>
      <c r="B913" s="41" t="s">
        <v>180</v>
      </c>
      <c r="C913" s="41" t="s">
        <v>87</v>
      </c>
      <c r="D913" s="41" t="s">
        <v>105</v>
      </c>
      <c r="E913" s="41" t="s">
        <v>102</v>
      </c>
      <c r="F913" s="41" t="s">
        <v>78</v>
      </c>
      <c r="G913" s="42" t="n">
        <v>56.13</v>
      </c>
      <c r="H913" s="41" t="n">
        <v>4</v>
      </c>
      <c r="I913" s="42" t="n">
        <v>11.226</v>
      </c>
      <c r="J913" s="42" t="n">
        <v>235.746</v>
      </c>
      <c r="K913" s="43" t="n">
        <v>43484</v>
      </c>
      <c r="L913" s="44" t="n">
        <v>0.488194444444444</v>
      </c>
      <c r="M913" s="41" t="s">
        <v>98</v>
      </c>
      <c r="N913" s="42" t="n">
        <v>224.52</v>
      </c>
      <c r="O913" s="42" t="n">
        <v>11.226</v>
      </c>
      <c r="P913" s="45" t="n">
        <v>8.6</v>
      </c>
      <c r="Q913" s="41" t="str">
        <f aca="false">CHOOSE(MONTH(K913),"Jan","Feb","Mar","Apr","May","Jun","Jul","Aug","Sep","Oct","Nov","Dec")</f>
        <v>Jan</v>
      </c>
      <c r="R913" s="41" t="n">
        <f aca="false">INT((K913-setMinDate)/7)+1</f>
        <v>3</v>
      </c>
      <c r="S913" s="41" t="n">
        <f aca="false">HOUR(L913)</f>
        <v>11</v>
      </c>
      <c r="T913" s="41" t="str">
        <f aca="false">IF(S913&lt;setMorningEnd,"Morning",IF(S913&lt;setAfternoonEnd,"Afternoon","Evening"))</f>
        <v>Morning</v>
      </c>
      <c r="U913" s="41" t="str">
        <f aca="false">IF(J913&gt;=setLarge,"Large",IF(J913&gt;=setMedium,"Medium","Small"))</f>
        <v>Small</v>
      </c>
      <c r="V913" s="41" t="str">
        <f aca="false">IF(P913&gt;=setExc,"Excellent",IF(P913&gt;=setGood,"Good",IF(P913&gt;=setAvg,"Average","Poor")))</f>
        <v>Good</v>
      </c>
    </row>
    <row r="914" customFormat="false" ht="15" hidden="false" customHeight="false" outlineLevel="0" collapsed="false">
      <c r="A914" s="41" t="s">
        <v>1092</v>
      </c>
      <c r="B914" s="41" t="s">
        <v>178</v>
      </c>
      <c r="C914" s="41" t="s">
        <v>85</v>
      </c>
      <c r="D914" s="41" t="s">
        <v>105</v>
      </c>
      <c r="E914" s="41" t="s">
        <v>102</v>
      </c>
      <c r="F914" s="41" t="s">
        <v>80</v>
      </c>
      <c r="G914" s="42" t="n">
        <v>93.12</v>
      </c>
      <c r="H914" s="41" t="n">
        <v>8</v>
      </c>
      <c r="I914" s="42" t="n">
        <v>37.248</v>
      </c>
      <c r="J914" s="42" t="n">
        <v>782.208</v>
      </c>
      <c r="K914" s="43" t="n">
        <v>43503</v>
      </c>
      <c r="L914" s="44" t="n">
        <v>0.422916666666667</v>
      </c>
      <c r="M914" s="41" t="s">
        <v>97</v>
      </c>
      <c r="N914" s="42" t="n">
        <v>744.96</v>
      </c>
      <c r="O914" s="42" t="n">
        <v>37.248</v>
      </c>
      <c r="P914" s="45" t="n">
        <v>6.8</v>
      </c>
      <c r="Q914" s="41" t="str">
        <f aca="false">CHOOSE(MONTH(K914),"Jan","Feb","Mar","Apr","May","Jun","Jul","Aug","Sep","Oct","Nov","Dec")</f>
        <v>Feb</v>
      </c>
      <c r="R914" s="41" t="n">
        <f aca="false">INT((K914-setMinDate)/7)+1</f>
        <v>6</v>
      </c>
      <c r="S914" s="41" t="n">
        <f aca="false">HOUR(L914)</f>
        <v>10</v>
      </c>
      <c r="T914" s="41" t="str">
        <f aca="false">IF(S914&lt;setMorningEnd,"Morning",IF(S914&lt;setAfternoonEnd,"Afternoon","Evening"))</f>
        <v>Morning</v>
      </c>
      <c r="U914" s="41" t="str">
        <f aca="false">IF(J914&gt;=setLarge,"Large",IF(J914&gt;=setMedium,"Medium","Small"))</f>
        <v>Large</v>
      </c>
      <c r="V914" s="41" t="str">
        <f aca="false">IF(P914&gt;=setExc,"Excellent",IF(P914&gt;=setGood,"Good",IF(P914&gt;=setAvg,"Average","Poor")))</f>
        <v>Average</v>
      </c>
    </row>
    <row r="915" customFormat="false" ht="15" hidden="false" customHeight="false" outlineLevel="0" collapsed="false">
      <c r="A915" s="41" t="s">
        <v>1093</v>
      </c>
      <c r="B915" s="41" t="s">
        <v>178</v>
      </c>
      <c r="C915" s="41" t="s">
        <v>85</v>
      </c>
      <c r="D915" s="41" t="s">
        <v>104</v>
      </c>
      <c r="E915" s="41" t="s">
        <v>103</v>
      </c>
      <c r="F915" s="41" t="s">
        <v>79</v>
      </c>
      <c r="G915" s="42" t="n">
        <v>51.34</v>
      </c>
      <c r="H915" s="41" t="n">
        <v>8</v>
      </c>
      <c r="I915" s="42" t="n">
        <v>20.536</v>
      </c>
      <c r="J915" s="42" t="n">
        <v>431.256</v>
      </c>
      <c r="K915" s="43" t="n">
        <v>43496</v>
      </c>
      <c r="L915" s="44" t="n">
        <v>0.416666666666667</v>
      </c>
      <c r="M915" s="41" t="s">
        <v>98</v>
      </c>
      <c r="N915" s="42" t="n">
        <v>410.72</v>
      </c>
      <c r="O915" s="42" t="n">
        <v>20.536</v>
      </c>
      <c r="P915" s="45" t="n">
        <v>7.6</v>
      </c>
      <c r="Q915" s="41" t="str">
        <f aca="false">CHOOSE(MONTH(K915),"Jan","Feb","Mar","Apr","May","Jun","Jul","Aug","Sep","Oct","Nov","Dec")</f>
        <v>Jan</v>
      </c>
      <c r="R915" s="41" t="n">
        <f aca="false">INT((K915-setMinDate)/7)+1</f>
        <v>5</v>
      </c>
      <c r="S915" s="41" t="n">
        <f aca="false">HOUR(L915)</f>
        <v>10</v>
      </c>
      <c r="T915" s="41" t="str">
        <f aca="false">IF(S915&lt;setMorningEnd,"Morning",IF(S915&lt;setAfternoonEnd,"Afternoon","Evening"))</f>
        <v>Morning</v>
      </c>
      <c r="U915" s="41" t="str">
        <f aca="false">IF(J915&gt;=setLarge,"Large",IF(J915&gt;=setMedium,"Medium","Small"))</f>
        <v>Medium</v>
      </c>
      <c r="V915" s="41" t="str">
        <f aca="false">IF(P915&gt;=setExc,"Excellent",IF(P915&gt;=setGood,"Good",IF(P915&gt;=setAvg,"Average","Poor")))</f>
        <v>Good</v>
      </c>
    </row>
    <row r="916" customFormat="false" ht="15" hidden="false" customHeight="false" outlineLevel="0" collapsed="false">
      <c r="A916" s="41" t="s">
        <v>1094</v>
      </c>
      <c r="B916" s="41" t="s">
        <v>178</v>
      </c>
      <c r="C916" s="41" t="s">
        <v>85</v>
      </c>
      <c r="D916" s="41" t="s">
        <v>104</v>
      </c>
      <c r="E916" s="41" t="s">
        <v>102</v>
      </c>
      <c r="F916" s="41" t="s">
        <v>76</v>
      </c>
      <c r="G916" s="42" t="n">
        <v>99.6</v>
      </c>
      <c r="H916" s="41" t="n">
        <v>3</v>
      </c>
      <c r="I916" s="42" t="n">
        <v>14.94</v>
      </c>
      <c r="J916" s="42" t="n">
        <v>313.74</v>
      </c>
      <c r="K916" s="43" t="n">
        <v>43521</v>
      </c>
      <c r="L916" s="44" t="n">
        <v>0.78125</v>
      </c>
      <c r="M916" s="41" t="s">
        <v>97</v>
      </c>
      <c r="N916" s="42" t="n">
        <v>298.8</v>
      </c>
      <c r="O916" s="42" t="n">
        <v>14.94</v>
      </c>
      <c r="P916" s="45" t="n">
        <v>5.8</v>
      </c>
      <c r="Q916" s="41" t="str">
        <f aca="false">CHOOSE(MONTH(K916),"Jan","Feb","Mar","Apr","May","Jun","Jul","Aug","Sep","Oct","Nov","Dec")</f>
        <v>Feb</v>
      </c>
      <c r="R916" s="41" t="n">
        <f aca="false">INT((K916-setMinDate)/7)+1</f>
        <v>8</v>
      </c>
      <c r="S916" s="41" t="n">
        <f aca="false">HOUR(L916)</f>
        <v>18</v>
      </c>
      <c r="T916" s="41" t="str">
        <f aca="false">IF(S916&lt;setMorningEnd,"Morning",IF(S916&lt;setAfternoonEnd,"Afternoon","Evening"))</f>
        <v>Evening</v>
      </c>
      <c r="U916" s="41" t="str">
        <f aca="false">IF(J916&gt;=setLarge,"Large",IF(J916&gt;=setMedium,"Medium","Small"))</f>
        <v>Medium</v>
      </c>
      <c r="V916" s="41" t="str">
        <f aca="false">IF(P916&gt;=setExc,"Excellent",IF(P916&gt;=setGood,"Good",IF(P916&gt;=setAvg,"Average","Poor")))</f>
        <v>Average</v>
      </c>
    </row>
    <row r="917" customFormat="false" ht="15" hidden="false" customHeight="false" outlineLevel="0" collapsed="false">
      <c r="A917" s="41" t="s">
        <v>1095</v>
      </c>
      <c r="B917" s="41" t="s">
        <v>180</v>
      </c>
      <c r="C917" s="41" t="s">
        <v>87</v>
      </c>
      <c r="D917" s="41" t="s">
        <v>105</v>
      </c>
      <c r="E917" s="41" t="s">
        <v>102</v>
      </c>
      <c r="F917" s="41" t="s">
        <v>78</v>
      </c>
      <c r="G917" s="42" t="n">
        <v>35.49</v>
      </c>
      <c r="H917" s="41" t="n">
        <v>6</v>
      </c>
      <c r="I917" s="42" t="n">
        <v>10.647</v>
      </c>
      <c r="J917" s="42" t="n">
        <v>223.587</v>
      </c>
      <c r="K917" s="43" t="n">
        <v>43498</v>
      </c>
      <c r="L917" s="44" t="n">
        <v>0.527777777777778</v>
      </c>
      <c r="M917" s="41" t="s">
        <v>97</v>
      </c>
      <c r="N917" s="42" t="n">
        <v>212.94</v>
      </c>
      <c r="O917" s="42" t="n">
        <v>10.647</v>
      </c>
      <c r="P917" s="45" t="n">
        <v>4.1</v>
      </c>
      <c r="Q917" s="41" t="str">
        <f aca="false">CHOOSE(MONTH(K917),"Jan","Feb","Mar","Apr","May","Jun","Jul","Aug","Sep","Oct","Nov","Dec")</f>
        <v>Feb</v>
      </c>
      <c r="R917" s="41" t="n">
        <f aca="false">INT((K917-setMinDate)/7)+1</f>
        <v>5</v>
      </c>
      <c r="S917" s="41" t="n">
        <f aca="false">HOUR(L917)</f>
        <v>12</v>
      </c>
      <c r="T917" s="41" t="str">
        <f aca="false">IF(S917&lt;setMorningEnd,"Morning",IF(S917&lt;setAfternoonEnd,"Afternoon","Evening"))</f>
        <v>Afternoon</v>
      </c>
      <c r="U917" s="41" t="str">
        <f aca="false">IF(J917&gt;=setLarge,"Large",IF(J917&gt;=setMedium,"Medium","Small"))</f>
        <v>Small</v>
      </c>
      <c r="V917" s="41" t="str">
        <f aca="false">IF(P917&gt;=setExc,"Excellent",IF(P917&gt;=setGood,"Good",IF(P917&gt;=setAvg,"Average","Poor")))</f>
        <v>Poor</v>
      </c>
    </row>
    <row r="918" customFormat="false" ht="15" hidden="false" customHeight="false" outlineLevel="0" collapsed="false">
      <c r="A918" s="41" t="s">
        <v>1096</v>
      </c>
      <c r="B918" s="41" t="s">
        <v>180</v>
      </c>
      <c r="C918" s="41" t="s">
        <v>87</v>
      </c>
      <c r="D918" s="41" t="s">
        <v>104</v>
      </c>
      <c r="E918" s="41" t="s">
        <v>103</v>
      </c>
      <c r="F918" s="41" t="s">
        <v>77</v>
      </c>
      <c r="G918" s="42" t="n">
        <v>42.85</v>
      </c>
      <c r="H918" s="41" t="n">
        <v>1</v>
      </c>
      <c r="I918" s="42" t="n">
        <v>2.1425</v>
      </c>
      <c r="J918" s="42" t="n">
        <v>44.9925</v>
      </c>
      <c r="K918" s="43" t="n">
        <v>43538</v>
      </c>
      <c r="L918" s="44" t="n">
        <v>0.65</v>
      </c>
      <c r="M918" s="41" t="s">
        <v>99</v>
      </c>
      <c r="N918" s="42" t="n">
        <v>42.85</v>
      </c>
      <c r="O918" s="42" t="n">
        <v>2.1425</v>
      </c>
      <c r="P918" s="45" t="n">
        <v>9.3</v>
      </c>
      <c r="Q918" s="41" t="str">
        <f aca="false">CHOOSE(MONTH(K918),"Jan","Feb","Mar","Apr","May","Jun","Jul","Aug","Sep","Oct","Nov","Dec")</f>
        <v>Mar</v>
      </c>
      <c r="R918" s="41" t="n">
        <f aca="false">INT((K918-setMinDate)/7)+1</f>
        <v>11</v>
      </c>
      <c r="S918" s="41" t="n">
        <f aca="false">HOUR(L918)</f>
        <v>15</v>
      </c>
      <c r="T918" s="41" t="str">
        <f aca="false">IF(S918&lt;setMorningEnd,"Morning",IF(S918&lt;setAfternoonEnd,"Afternoon","Evening"))</f>
        <v>Afternoon</v>
      </c>
      <c r="U918" s="41" t="str">
        <f aca="false">IF(J918&gt;=setLarge,"Large",IF(J918&gt;=setMedium,"Medium","Small"))</f>
        <v>Small</v>
      </c>
      <c r="V918" s="41" t="str">
        <f aca="false">IF(P918&gt;=setExc,"Excellent",IF(P918&gt;=setGood,"Good",IF(P918&gt;=setAvg,"Average","Poor")))</f>
        <v>Excellent</v>
      </c>
    </row>
    <row r="919" customFormat="false" ht="15" hidden="false" customHeight="false" outlineLevel="0" collapsed="false">
      <c r="A919" s="41" t="s">
        <v>1097</v>
      </c>
      <c r="B919" s="41" t="s">
        <v>178</v>
      </c>
      <c r="C919" s="41" t="s">
        <v>85</v>
      </c>
      <c r="D919" s="41" t="s">
        <v>105</v>
      </c>
      <c r="E919" s="41" t="s">
        <v>102</v>
      </c>
      <c r="F919" s="41" t="s">
        <v>79</v>
      </c>
      <c r="G919" s="42" t="n">
        <v>94.67</v>
      </c>
      <c r="H919" s="41" t="n">
        <v>4</v>
      </c>
      <c r="I919" s="42" t="n">
        <v>18.934</v>
      </c>
      <c r="J919" s="42" t="n">
        <v>397.614</v>
      </c>
      <c r="K919" s="43" t="n">
        <v>43535</v>
      </c>
      <c r="L919" s="44" t="n">
        <v>0.502777777777778</v>
      </c>
      <c r="M919" s="41" t="s">
        <v>97</v>
      </c>
      <c r="N919" s="42" t="n">
        <v>378.68</v>
      </c>
      <c r="O919" s="42" t="n">
        <v>18.934</v>
      </c>
      <c r="P919" s="45" t="n">
        <v>6.8</v>
      </c>
      <c r="Q919" s="41" t="str">
        <f aca="false">CHOOSE(MONTH(K919),"Jan","Feb","Mar","Apr","May","Jun","Jul","Aug","Sep","Oct","Nov","Dec")</f>
        <v>Mar</v>
      </c>
      <c r="R919" s="41" t="n">
        <f aca="false">INT((K919-setMinDate)/7)+1</f>
        <v>10</v>
      </c>
      <c r="S919" s="41" t="n">
        <f aca="false">HOUR(L919)</f>
        <v>12</v>
      </c>
      <c r="T919" s="41" t="str">
        <f aca="false">IF(S919&lt;setMorningEnd,"Morning",IF(S919&lt;setAfternoonEnd,"Afternoon","Evening"))</f>
        <v>Afternoon</v>
      </c>
      <c r="U919" s="41" t="str">
        <f aca="false">IF(J919&gt;=setLarge,"Large",IF(J919&gt;=setMedium,"Medium","Small"))</f>
        <v>Medium</v>
      </c>
      <c r="V919" s="41" t="str">
        <f aca="false">IF(P919&gt;=setExc,"Excellent",IF(P919&gt;=setGood,"Good",IF(P919&gt;=setAvg,"Average","Poor")))</f>
        <v>Average</v>
      </c>
    </row>
    <row r="920" customFormat="false" ht="15" hidden="false" customHeight="false" outlineLevel="0" collapsed="false">
      <c r="A920" s="41" t="s">
        <v>1098</v>
      </c>
      <c r="B920" s="41" t="s">
        <v>189</v>
      </c>
      <c r="C920" s="41" t="s">
        <v>86</v>
      </c>
      <c r="D920" s="41" t="s">
        <v>105</v>
      </c>
      <c r="E920" s="41" t="s">
        <v>103</v>
      </c>
      <c r="F920" s="41" t="s">
        <v>80</v>
      </c>
      <c r="G920" s="42" t="n">
        <v>68.97</v>
      </c>
      <c r="H920" s="41" t="n">
        <v>3</v>
      </c>
      <c r="I920" s="42" t="n">
        <v>10.3455</v>
      </c>
      <c r="J920" s="42" t="n">
        <v>217.2555</v>
      </c>
      <c r="K920" s="43" t="n">
        <v>43518</v>
      </c>
      <c r="L920" s="44" t="n">
        <v>0.476388888888889</v>
      </c>
      <c r="M920" s="41" t="s">
        <v>98</v>
      </c>
      <c r="N920" s="42" t="n">
        <v>206.91</v>
      </c>
      <c r="O920" s="42" t="n">
        <v>10.3455</v>
      </c>
      <c r="P920" s="45" t="n">
        <v>8.7</v>
      </c>
      <c r="Q920" s="41" t="str">
        <f aca="false">CHOOSE(MONTH(K920),"Jan","Feb","Mar","Apr","May","Jun","Jul","Aug","Sep","Oct","Nov","Dec")</f>
        <v>Feb</v>
      </c>
      <c r="R920" s="41" t="n">
        <f aca="false">INT((K920-setMinDate)/7)+1</f>
        <v>8</v>
      </c>
      <c r="S920" s="41" t="n">
        <f aca="false">HOUR(L920)</f>
        <v>11</v>
      </c>
      <c r="T920" s="41" t="str">
        <f aca="false">IF(S920&lt;setMorningEnd,"Morning",IF(S920&lt;setAfternoonEnd,"Afternoon","Evening"))</f>
        <v>Morning</v>
      </c>
      <c r="U920" s="41" t="str">
        <f aca="false">IF(J920&gt;=setLarge,"Large",IF(J920&gt;=setMedium,"Medium","Small"))</f>
        <v>Small</v>
      </c>
      <c r="V920" s="41" t="str">
        <f aca="false">IF(P920&gt;=setExc,"Excellent",IF(P920&gt;=setGood,"Good",IF(P920&gt;=setAvg,"Average","Poor")))</f>
        <v>Good</v>
      </c>
    </row>
    <row r="921" customFormat="false" ht="15" hidden="false" customHeight="false" outlineLevel="0" collapsed="false">
      <c r="A921" s="41" t="s">
        <v>1099</v>
      </c>
      <c r="B921" s="41" t="s">
        <v>189</v>
      </c>
      <c r="C921" s="41" t="s">
        <v>86</v>
      </c>
      <c r="D921" s="41" t="s">
        <v>104</v>
      </c>
      <c r="E921" s="41" t="s">
        <v>102</v>
      </c>
      <c r="F921" s="41" t="s">
        <v>78</v>
      </c>
      <c r="G921" s="42" t="n">
        <v>26.26</v>
      </c>
      <c r="H921" s="41" t="n">
        <v>3</v>
      </c>
      <c r="I921" s="42" t="n">
        <v>3.939</v>
      </c>
      <c r="J921" s="42" t="n">
        <v>82.719</v>
      </c>
      <c r="K921" s="43" t="n">
        <v>43526</v>
      </c>
      <c r="L921" s="44" t="n">
        <v>0.525</v>
      </c>
      <c r="M921" s="41" t="s">
        <v>98</v>
      </c>
      <c r="N921" s="42" t="n">
        <v>78.78</v>
      </c>
      <c r="O921" s="42" t="n">
        <v>3.939</v>
      </c>
      <c r="P921" s="45" t="n">
        <v>6.3</v>
      </c>
      <c r="Q921" s="41" t="str">
        <f aca="false">CHOOSE(MONTH(K921),"Jan","Feb","Mar","Apr","May","Jun","Jul","Aug","Sep","Oct","Nov","Dec")</f>
        <v>Mar</v>
      </c>
      <c r="R921" s="41" t="n">
        <f aca="false">INT((K921-setMinDate)/7)+1</f>
        <v>9</v>
      </c>
      <c r="S921" s="41" t="n">
        <f aca="false">HOUR(L921)</f>
        <v>12</v>
      </c>
      <c r="T921" s="41" t="str">
        <f aca="false">IF(S921&lt;setMorningEnd,"Morning",IF(S921&lt;setAfternoonEnd,"Afternoon","Evening"))</f>
        <v>Afternoon</v>
      </c>
      <c r="U921" s="41" t="str">
        <f aca="false">IF(J921&gt;=setLarge,"Large",IF(J921&gt;=setMedium,"Medium","Small"))</f>
        <v>Small</v>
      </c>
      <c r="V921" s="41" t="str">
        <f aca="false">IF(P921&gt;=setExc,"Excellent",IF(P921&gt;=setGood,"Good",IF(P921&gt;=setAvg,"Average","Poor")))</f>
        <v>Average</v>
      </c>
    </row>
    <row r="922" customFormat="false" ht="15" hidden="false" customHeight="false" outlineLevel="0" collapsed="false">
      <c r="A922" s="41" t="s">
        <v>1100</v>
      </c>
      <c r="B922" s="41" t="s">
        <v>180</v>
      </c>
      <c r="C922" s="41" t="s">
        <v>87</v>
      </c>
      <c r="D922" s="41" t="s">
        <v>104</v>
      </c>
      <c r="E922" s="41" t="s">
        <v>102</v>
      </c>
      <c r="F922" s="41" t="s">
        <v>80</v>
      </c>
      <c r="G922" s="42" t="n">
        <v>35.79</v>
      </c>
      <c r="H922" s="41" t="n">
        <v>9</v>
      </c>
      <c r="I922" s="42" t="n">
        <v>16.1055</v>
      </c>
      <c r="J922" s="42" t="n">
        <v>338.2155</v>
      </c>
      <c r="K922" s="43" t="n">
        <v>43534</v>
      </c>
      <c r="L922" s="44" t="n">
        <v>0.629166666666667</v>
      </c>
      <c r="M922" s="41" t="s">
        <v>99</v>
      </c>
      <c r="N922" s="42" t="n">
        <v>322.11</v>
      </c>
      <c r="O922" s="42" t="n">
        <v>16.1055</v>
      </c>
      <c r="P922" s="45" t="n">
        <v>5.1</v>
      </c>
      <c r="Q922" s="41" t="str">
        <f aca="false">CHOOSE(MONTH(K922),"Jan","Feb","Mar","Apr","May","Jun","Jul","Aug","Sep","Oct","Nov","Dec")</f>
        <v>Mar</v>
      </c>
      <c r="R922" s="41" t="n">
        <f aca="false">INT((K922-setMinDate)/7)+1</f>
        <v>10</v>
      </c>
      <c r="S922" s="41" t="n">
        <f aca="false">HOUR(L922)</f>
        <v>15</v>
      </c>
      <c r="T922" s="41" t="str">
        <f aca="false">IF(S922&lt;setMorningEnd,"Morning",IF(S922&lt;setAfternoonEnd,"Afternoon","Evening"))</f>
        <v>Afternoon</v>
      </c>
      <c r="U922" s="41" t="str">
        <f aca="false">IF(J922&gt;=setLarge,"Large",IF(J922&gt;=setMedium,"Medium","Small"))</f>
        <v>Medium</v>
      </c>
      <c r="V922" s="41" t="str">
        <f aca="false">IF(P922&gt;=setExc,"Excellent",IF(P922&gt;=setGood,"Good",IF(P922&gt;=setAvg,"Average","Poor")))</f>
        <v>Average</v>
      </c>
    </row>
    <row r="923" customFormat="false" ht="15" hidden="false" customHeight="false" outlineLevel="0" collapsed="false">
      <c r="A923" s="41" t="s">
        <v>1101</v>
      </c>
      <c r="B923" s="41" t="s">
        <v>189</v>
      </c>
      <c r="C923" s="41" t="s">
        <v>86</v>
      </c>
      <c r="D923" s="41" t="s">
        <v>105</v>
      </c>
      <c r="E923" s="41" t="s">
        <v>102</v>
      </c>
      <c r="F923" s="41" t="s">
        <v>80</v>
      </c>
      <c r="G923" s="42" t="n">
        <v>16.37</v>
      </c>
      <c r="H923" s="41" t="n">
        <v>6</v>
      </c>
      <c r="I923" s="42" t="n">
        <v>4.911</v>
      </c>
      <c r="J923" s="42" t="n">
        <v>103.131</v>
      </c>
      <c r="K923" s="43" t="n">
        <v>43504</v>
      </c>
      <c r="L923" s="44" t="n">
        <v>0.456944444444444</v>
      </c>
      <c r="M923" s="41" t="s">
        <v>97</v>
      </c>
      <c r="N923" s="42" t="n">
        <v>98.22</v>
      </c>
      <c r="O923" s="42" t="n">
        <v>4.911</v>
      </c>
      <c r="P923" s="45" t="n">
        <v>7</v>
      </c>
      <c r="Q923" s="41" t="str">
        <f aca="false">CHOOSE(MONTH(K923),"Jan","Feb","Mar","Apr","May","Jun","Jul","Aug","Sep","Oct","Nov","Dec")</f>
        <v>Feb</v>
      </c>
      <c r="R923" s="41" t="n">
        <f aca="false">INT((K923-setMinDate)/7)+1</f>
        <v>6</v>
      </c>
      <c r="S923" s="41" t="n">
        <f aca="false">HOUR(L923)</f>
        <v>10</v>
      </c>
      <c r="T923" s="41" t="str">
        <f aca="false">IF(S923&lt;setMorningEnd,"Morning",IF(S923&lt;setAfternoonEnd,"Afternoon","Evening"))</f>
        <v>Morning</v>
      </c>
      <c r="U923" s="41" t="str">
        <f aca="false">IF(J923&gt;=setLarge,"Large",IF(J923&gt;=setMedium,"Medium","Small"))</f>
        <v>Small</v>
      </c>
      <c r="V923" s="41" t="str">
        <f aca="false">IF(P923&gt;=setExc,"Excellent",IF(P923&gt;=setGood,"Good",IF(P923&gt;=setAvg,"Average","Poor")))</f>
        <v>Good</v>
      </c>
    </row>
    <row r="924" customFormat="false" ht="15" hidden="false" customHeight="false" outlineLevel="0" collapsed="false">
      <c r="A924" s="41" t="s">
        <v>1102</v>
      </c>
      <c r="B924" s="41" t="s">
        <v>180</v>
      </c>
      <c r="C924" s="41" t="s">
        <v>87</v>
      </c>
      <c r="D924" s="41" t="s">
        <v>104</v>
      </c>
      <c r="E924" s="41" t="s">
        <v>102</v>
      </c>
      <c r="F924" s="41" t="s">
        <v>80</v>
      </c>
      <c r="G924" s="42" t="n">
        <v>12.73</v>
      </c>
      <c r="H924" s="41" t="n">
        <v>2</v>
      </c>
      <c r="I924" s="42" t="n">
        <v>1.273</v>
      </c>
      <c r="J924" s="42" t="n">
        <v>26.733</v>
      </c>
      <c r="K924" s="43" t="n">
        <v>43518</v>
      </c>
      <c r="L924" s="44" t="n">
        <v>0.506944444444444</v>
      </c>
      <c r="M924" s="41" t="s">
        <v>99</v>
      </c>
      <c r="N924" s="42" t="n">
        <v>25.46</v>
      </c>
      <c r="O924" s="42" t="n">
        <v>1.273</v>
      </c>
      <c r="P924" s="45" t="n">
        <v>5.2</v>
      </c>
      <c r="Q924" s="41" t="str">
        <f aca="false">CHOOSE(MONTH(K924),"Jan","Feb","Mar","Apr","May","Jun","Jul","Aug","Sep","Oct","Nov","Dec")</f>
        <v>Feb</v>
      </c>
      <c r="R924" s="41" t="n">
        <f aca="false">INT((K924-setMinDate)/7)+1</f>
        <v>8</v>
      </c>
      <c r="S924" s="41" t="n">
        <f aca="false">HOUR(L924)</f>
        <v>12</v>
      </c>
      <c r="T924" s="41" t="str">
        <f aca="false">IF(S924&lt;setMorningEnd,"Morning",IF(S924&lt;setAfternoonEnd,"Afternoon","Evening"))</f>
        <v>Afternoon</v>
      </c>
      <c r="U924" s="41" t="str">
        <f aca="false">IF(J924&gt;=setLarge,"Large",IF(J924&gt;=setMedium,"Medium","Small"))</f>
        <v>Small</v>
      </c>
      <c r="V924" s="41" t="str">
        <f aca="false">IF(P924&gt;=setExc,"Excellent",IF(P924&gt;=setGood,"Good",IF(P924&gt;=setAvg,"Average","Poor")))</f>
        <v>Average</v>
      </c>
    </row>
    <row r="925" customFormat="false" ht="15" hidden="false" customHeight="false" outlineLevel="0" collapsed="false">
      <c r="A925" s="41" t="s">
        <v>1103</v>
      </c>
      <c r="B925" s="41" t="s">
        <v>180</v>
      </c>
      <c r="C925" s="41" t="s">
        <v>87</v>
      </c>
      <c r="D925" s="41" t="s">
        <v>105</v>
      </c>
      <c r="E925" s="41" t="s">
        <v>102</v>
      </c>
      <c r="F925" s="41" t="s">
        <v>77</v>
      </c>
      <c r="G925" s="42" t="n">
        <v>83.14</v>
      </c>
      <c r="H925" s="41" t="n">
        <v>7</v>
      </c>
      <c r="I925" s="42" t="n">
        <v>29.099</v>
      </c>
      <c r="J925" s="42" t="n">
        <v>611.079</v>
      </c>
      <c r="K925" s="43" t="n">
        <v>43475</v>
      </c>
      <c r="L925" s="44" t="n">
        <v>0.438194444444444</v>
      </c>
      <c r="M925" s="41" t="s">
        <v>99</v>
      </c>
      <c r="N925" s="42" t="n">
        <v>581.98</v>
      </c>
      <c r="O925" s="42" t="n">
        <v>29.099</v>
      </c>
      <c r="P925" s="45" t="n">
        <v>6.6</v>
      </c>
      <c r="Q925" s="41" t="str">
        <f aca="false">CHOOSE(MONTH(K925),"Jan","Feb","Mar","Apr","May","Jun","Jul","Aug","Sep","Oct","Nov","Dec")</f>
        <v>Jan</v>
      </c>
      <c r="R925" s="41" t="n">
        <f aca="false">INT((K925-setMinDate)/7)+1</f>
        <v>2</v>
      </c>
      <c r="S925" s="41" t="n">
        <f aca="false">HOUR(L925)</f>
        <v>10</v>
      </c>
      <c r="T925" s="41" t="str">
        <f aca="false">IF(S925&lt;setMorningEnd,"Morning",IF(S925&lt;setAfternoonEnd,"Afternoon","Evening"))</f>
        <v>Morning</v>
      </c>
      <c r="U925" s="41" t="str">
        <f aca="false">IF(J925&gt;=setLarge,"Large",IF(J925&gt;=setMedium,"Medium","Small"))</f>
        <v>Large</v>
      </c>
      <c r="V925" s="41" t="str">
        <f aca="false">IF(P925&gt;=setExc,"Excellent",IF(P925&gt;=setGood,"Good",IF(P925&gt;=setAvg,"Average","Poor")))</f>
        <v>Average</v>
      </c>
    </row>
    <row r="926" customFormat="false" ht="15" hidden="false" customHeight="false" outlineLevel="0" collapsed="false">
      <c r="A926" s="41" t="s">
        <v>1104</v>
      </c>
      <c r="B926" s="41" t="s">
        <v>180</v>
      </c>
      <c r="C926" s="41" t="s">
        <v>87</v>
      </c>
      <c r="D926" s="41" t="s">
        <v>104</v>
      </c>
      <c r="E926" s="41" t="s">
        <v>102</v>
      </c>
      <c r="F926" s="41" t="s">
        <v>77</v>
      </c>
      <c r="G926" s="42" t="n">
        <v>35.22</v>
      </c>
      <c r="H926" s="41" t="n">
        <v>6</v>
      </c>
      <c r="I926" s="42" t="n">
        <v>10.566</v>
      </c>
      <c r="J926" s="42" t="n">
        <v>221.886</v>
      </c>
      <c r="K926" s="43" t="n">
        <v>43538</v>
      </c>
      <c r="L926" s="44" t="n">
        <v>0.575694444444444</v>
      </c>
      <c r="M926" s="41" t="s">
        <v>98</v>
      </c>
      <c r="N926" s="42" t="n">
        <v>211.32</v>
      </c>
      <c r="O926" s="42" t="n">
        <v>10.566</v>
      </c>
      <c r="P926" s="45" t="n">
        <v>6.5</v>
      </c>
      <c r="Q926" s="41" t="str">
        <f aca="false">CHOOSE(MONTH(K926),"Jan","Feb","Mar","Apr","May","Jun","Jul","Aug","Sep","Oct","Nov","Dec")</f>
        <v>Mar</v>
      </c>
      <c r="R926" s="41" t="n">
        <f aca="false">INT((K926-setMinDate)/7)+1</f>
        <v>11</v>
      </c>
      <c r="S926" s="41" t="n">
        <f aca="false">HOUR(L926)</f>
        <v>13</v>
      </c>
      <c r="T926" s="41" t="str">
        <f aca="false">IF(S926&lt;setMorningEnd,"Morning",IF(S926&lt;setAfternoonEnd,"Afternoon","Evening"))</f>
        <v>Afternoon</v>
      </c>
      <c r="U926" s="41" t="str">
        <f aca="false">IF(J926&gt;=setLarge,"Large",IF(J926&gt;=setMedium,"Medium","Small"))</f>
        <v>Small</v>
      </c>
      <c r="V926" s="41" t="str">
        <f aca="false">IF(P926&gt;=setExc,"Excellent",IF(P926&gt;=setGood,"Good",IF(P926&gt;=setAvg,"Average","Poor")))</f>
        <v>Average</v>
      </c>
    </row>
    <row r="927" customFormat="false" ht="15" hidden="false" customHeight="false" outlineLevel="0" collapsed="false">
      <c r="A927" s="41" t="s">
        <v>1105</v>
      </c>
      <c r="B927" s="41" t="s">
        <v>189</v>
      </c>
      <c r="C927" s="41" t="s">
        <v>86</v>
      </c>
      <c r="D927" s="41" t="s">
        <v>105</v>
      </c>
      <c r="E927" s="41" t="s">
        <v>102</v>
      </c>
      <c r="F927" s="41" t="s">
        <v>78</v>
      </c>
      <c r="G927" s="42" t="n">
        <v>13.78</v>
      </c>
      <c r="H927" s="41" t="n">
        <v>4</v>
      </c>
      <c r="I927" s="42" t="n">
        <v>2.756</v>
      </c>
      <c r="J927" s="42" t="n">
        <v>57.876</v>
      </c>
      <c r="K927" s="43" t="n">
        <v>43475</v>
      </c>
      <c r="L927" s="44" t="n">
        <v>0.465277777777778</v>
      </c>
      <c r="M927" s="41" t="s">
        <v>98</v>
      </c>
      <c r="N927" s="42" t="n">
        <v>55.12</v>
      </c>
      <c r="O927" s="42" t="n">
        <v>2.756</v>
      </c>
      <c r="P927" s="45" t="n">
        <v>9</v>
      </c>
      <c r="Q927" s="41" t="str">
        <f aca="false">CHOOSE(MONTH(K927),"Jan","Feb","Mar","Apr","May","Jun","Jul","Aug","Sep","Oct","Nov","Dec")</f>
        <v>Jan</v>
      </c>
      <c r="R927" s="41" t="n">
        <f aca="false">INT((K927-setMinDate)/7)+1</f>
        <v>2</v>
      </c>
      <c r="S927" s="41" t="n">
        <f aca="false">HOUR(L927)</f>
        <v>11</v>
      </c>
      <c r="T927" s="41" t="str">
        <f aca="false">IF(S927&lt;setMorningEnd,"Morning",IF(S927&lt;setAfternoonEnd,"Afternoon","Evening"))</f>
        <v>Morning</v>
      </c>
      <c r="U927" s="41" t="str">
        <f aca="false">IF(J927&gt;=setLarge,"Large",IF(J927&gt;=setMedium,"Medium","Small"))</f>
        <v>Small</v>
      </c>
      <c r="V927" s="41" t="str">
        <f aca="false">IF(P927&gt;=setExc,"Excellent",IF(P927&gt;=setGood,"Good",IF(P927&gt;=setAvg,"Average","Poor")))</f>
        <v>Excellent</v>
      </c>
    </row>
    <row r="928" customFormat="false" ht="15" hidden="false" customHeight="false" outlineLevel="0" collapsed="false">
      <c r="A928" s="41" t="s">
        <v>1106</v>
      </c>
      <c r="B928" s="41" t="s">
        <v>189</v>
      </c>
      <c r="C928" s="41" t="s">
        <v>86</v>
      </c>
      <c r="D928" s="41" t="s">
        <v>104</v>
      </c>
      <c r="E928" s="41" t="s">
        <v>103</v>
      </c>
      <c r="F928" s="41" t="s">
        <v>77</v>
      </c>
      <c r="G928" s="42" t="n">
        <v>88.31</v>
      </c>
      <c r="H928" s="41" t="n">
        <v>1</v>
      </c>
      <c r="I928" s="42" t="n">
        <v>4.4155</v>
      </c>
      <c r="J928" s="42" t="n">
        <v>92.7255</v>
      </c>
      <c r="K928" s="43" t="n">
        <v>43511</v>
      </c>
      <c r="L928" s="44" t="n">
        <v>0.734722222222222</v>
      </c>
      <c r="M928" s="41" t="s">
        <v>99</v>
      </c>
      <c r="N928" s="42" t="n">
        <v>88.31</v>
      </c>
      <c r="O928" s="42" t="n">
        <v>4.4155</v>
      </c>
      <c r="P928" s="45" t="n">
        <v>5.2</v>
      </c>
      <c r="Q928" s="41" t="str">
        <f aca="false">CHOOSE(MONTH(K928),"Jan","Feb","Mar","Apr","May","Jun","Jul","Aug","Sep","Oct","Nov","Dec")</f>
        <v>Feb</v>
      </c>
      <c r="R928" s="41" t="n">
        <f aca="false">INT((K928-setMinDate)/7)+1</f>
        <v>7</v>
      </c>
      <c r="S928" s="41" t="n">
        <f aca="false">HOUR(L928)</f>
        <v>17</v>
      </c>
      <c r="T928" s="41" t="str">
        <f aca="false">IF(S928&lt;setMorningEnd,"Morning",IF(S928&lt;setAfternoonEnd,"Afternoon","Evening"))</f>
        <v>Evening</v>
      </c>
      <c r="U928" s="41" t="str">
        <f aca="false">IF(J928&gt;=setLarge,"Large",IF(J928&gt;=setMedium,"Medium","Small"))</f>
        <v>Small</v>
      </c>
      <c r="V928" s="41" t="str">
        <f aca="false">IF(P928&gt;=setExc,"Excellent",IF(P928&gt;=setGood,"Good",IF(P928&gt;=setAvg,"Average","Poor")))</f>
        <v>Average</v>
      </c>
    </row>
    <row r="929" customFormat="false" ht="15" hidden="false" customHeight="false" outlineLevel="0" collapsed="false">
      <c r="A929" s="41" t="s">
        <v>1107</v>
      </c>
      <c r="B929" s="41" t="s">
        <v>178</v>
      </c>
      <c r="C929" s="41" t="s">
        <v>85</v>
      </c>
      <c r="D929" s="41" t="s">
        <v>104</v>
      </c>
      <c r="E929" s="41" t="s">
        <v>102</v>
      </c>
      <c r="F929" s="41" t="s">
        <v>81</v>
      </c>
      <c r="G929" s="42" t="n">
        <v>39.62</v>
      </c>
      <c r="H929" s="41" t="n">
        <v>9</v>
      </c>
      <c r="I929" s="42" t="n">
        <v>17.829</v>
      </c>
      <c r="J929" s="42" t="n">
        <v>374.409</v>
      </c>
      <c r="K929" s="43" t="n">
        <v>43478</v>
      </c>
      <c r="L929" s="44" t="n">
        <v>0.745833333333333</v>
      </c>
      <c r="M929" s="41" t="s">
        <v>99</v>
      </c>
      <c r="N929" s="42" t="n">
        <v>356.58</v>
      </c>
      <c r="O929" s="42" t="n">
        <v>17.829</v>
      </c>
      <c r="P929" s="45" t="n">
        <v>6.8</v>
      </c>
      <c r="Q929" s="41" t="str">
        <f aca="false">CHOOSE(MONTH(K929),"Jan","Feb","Mar","Apr","May","Jun","Jul","Aug","Sep","Oct","Nov","Dec")</f>
        <v>Jan</v>
      </c>
      <c r="R929" s="41" t="n">
        <f aca="false">INT((K929-setMinDate)/7)+1</f>
        <v>2</v>
      </c>
      <c r="S929" s="41" t="n">
        <f aca="false">HOUR(L929)</f>
        <v>17</v>
      </c>
      <c r="T929" s="41" t="str">
        <f aca="false">IF(S929&lt;setMorningEnd,"Morning",IF(S929&lt;setAfternoonEnd,"Afternoon","Evening"))</f>
        <v>Evening</v>
      </c>
      <c r="U929" s="41" t="str">
        <f aca="false">IF(J929&gt;=setLarge,"Large",IF(J929&gt;=setMedium,"Medium","Small"))</f>
        <v>Medium</v>
      </c>
      <c r="V929" s="41" t="str">
        <f aca="false">IF(P929&gt;=setExc,"Excellent",IF(P929&gt;=setGood,"Good",IF(P929&gt;=setAvg,"Average","Poor")))</f>
        <v>Average</v>
      </c>
    </row>
    <row r="930" customFormat="false" ht="15" hidden="false" customHeight="false" outlineLevel="0" collapsed="false">
      <c r="A930" s="41" t="s">
        <v>1108</v>
      </c>
      <c r="B930" s="41" t="s">
        <v>189</v>
      </c>
      <c r="C930" s="41" t="s">
        <v>86</v>
      </c>
      <c r="D930" s="41" t="s">
        <v>105</v>
      </c>
      <c r="E930" s="41" t="s">
        <v>102</v>
      </c>
      <c r="F930" s="41" t="s">
        <v>78</v>
      </c>
      <c r="G930" s="42" t="n">
        <v>88.25</v>
      </c>
      <c r="H930" s="41" t="n">
        <v>9</v>
      </c>
      <c r="I930" s="42" t="n">
        <v>39.7125</v>
      </c>
      <c r="J930" s="42" t="n">
        <v>833.9625</v>
      </c>
      <c r="K930" s="43" t="n">
        <v>43511</v>
      </c>
      <c r="L930" s="44" t="n">
        <v>0.86875</v>
      </c>
      <c r="M930" s="41" t="s">
        <v>99</v>
      </c>
      <c r="N930" s="42" t="n">
        <v>794.25</v>
      </c>
      <c r="O930" s="42" t="n">
        <v>39.7125</v>
      </c>
      <c r="P930" s="45" t="n">
        <v>7.6</v>
      </c>
      <c r="Q930" s="41" t="str">
        <f aca="false">CHOOSE(MONTH(K930),"Jan","Feb","Mar","Apr","May","Jun","Jul","Aug","Sep","Oct","Nov","Dec")</f>
        <v>Feb</v>
      </c>
      <c r="R930" s="41" t="n">
        <f aca="false">INT((K930-setMinDate)/7)+1</f>
        <v>7</v>
      </c>
      <c r="S930" s="41" t="n">
        <f aca="false">HOUR(L930)</f>
        <v>20</v>
      </c>
      <c r="T930" s="41" t="str">
        <f aca="false">IF(S930&lt;setMorningEnd,"Morning",IF(S930&lt;setAfternoonEnd,"Afternoon","Evening"))</f>
        <v>Evening</v>
      </c>
      <c r="U930" s="41" t="str">
        <f aca="false">IF(J930&gt;=setLarge,"Large",IF(J930&gt;=setMedium,"Medium","Small"))</f>
        <v>Large</v>
      </c>
      <c r="V930" s="41" t="str">
        <f aca="false">IF(P930&gt;=setExc,"Excellent",IF(P930&gt;=setGood,"Good",IF(P930&gt;=setAvg,"Average","Poor")))</f>
        <v>Good</v>
      </c>
    </row>
    <row r="931" customFormat="false" ht="15" hidden="false" customHeight="false" outlineLevel="0" collapsed="false">
      <c r="A931" s="41" t="s">
        <v>1109</v>
      </c>
      <c r="B931" s="41" t="s">
        <v>189</v>
      </c>
      <c r="C931" s="41" t="s">
        <v>86</v>
      </c>
      <c r="D931" s="41" t="s">
        <v>105</v>
      </c>
      <c r="E931" s="41" t="s">
        <v>103</v>
      </c>
      <c r="F931" s="41" t="s">
        <v>77</v>
      </c>
      <c r="G931" s="42" t="n">
        <v>25.31</v>
      </c>
      <c r="H931" s="41" t="n">
        <v>2</v>
      </c>
      <c r="I931" s="42" t="n">
        <v>2.531</v>
      </c>
      <c r="J931" s="42" t="n">
        <v>53.151</v>
      </c>
      <c r="K931" s="43" t="n">
        <v>43526</v>
      </c>
      <c r="L931" s="44" t="n">
        <v>0.809722222222222</v>
      </c>
      <c r="M931" s="41" t="s">
        <v>98</v>
      </c>
      <c r="N931" s="42" t="n">
        <v>50.62</v>
      </c>
      <c r="O931" s="42" t="n">
        <v>2.531</v>
      </c>
      <c r="P931" s="45" t="n">
        <v>7.2</v>
      </c>
      <c r="Q931" s="41" t="str">
        <f aca="false">CHOOSE(MONTH(K931),"Jan","Feb","Mar","Apr","May","Jun","Jul","Aug","Sep","Oct","Nov","Dec")</f>
        <v>Mar</v>
      </c>
      <c r="R931" s="41" t="n">
        <f aca="false">INT((K931-setMinDate)/7)+1</f>
        <v>9</v>
      </c>
      <c r="S931" s="41" t="n">
        <f aca="false">HOUR(L931)</f>
        <v>19</v>
      </c>
      <c r="T931" s="41" t="str">
        <f aca="false">IF(S931&lt;setMorningEnd,"Morning",IF(S931&lt;setAfternoonEnd,"Afternoon","Evening"))</f>
        <v>Evening</v>
      </c>
      <c r="U931" s="41" t="str">
        <f aca="false">IF(J931&gt;=setLarge,"Large",IF(J931&gt;=setMedium,"Medium","Small"))</f>
        <v>Small</v>
      </c>
      <c r="V931" s="41" t="str">
        <f aca="false">IF(P931&gt;=setExc,"Excellent",IF(P931&gt;=setGood,"Good",IF(P931&gt;=setAvg,"Average","Poor")))</f>
        <v>Good</v>
      </c>
    </row>
    <row r="932" customFormat="false" ht="15" hidden="false" customHeight="false" outlineLevel="0" collapsed="false">
      <c r="A932" s="41" t="s">
        <v>1110</v>
      </c>
      <c r="B932" s="41" t="s">
        <v>189</v>
      </c>
      <c r="C932" s="41" t="s">
        <v>86</v>
      </c>
      <c r="D932" s="41" t="s">
        <v>105</v>
      </c>
      <c r="E932" s="41" t="s">
        <v>103</v>
      </c>
      <c r="F932" s="41" t="s">
        <v>80</v>
      </c>
      <c r="G932" s="42" t="n">
        <v>99.92</v>
      </c>
      <c r="H932" s="41" t="n">
        <v>6</v>
      </c>
      <c r="I932" s="42" t="n">
        <v>29.976</v>
      </c>
      <c r="J932" s="42" t="n">
        <v>629.496</v>
      </c>
      <c r="K932" s="43" t="n">
        <v>43548</v>
      </c>
      <c r="L932" s="44" t="n">
        <v>0.564583333333333</v>
      </c>
      <c r="M932" s="41" t="s">
        <v>98</v>
      </c>
      <c r="N932" s="42" t="n">
        <v>599.52</v>
      </c>
      <c r="O932" s="42" t="n">
        <v>29.976</v>
      </c>
      <c r="P932" s="45" t="n">
        <v>7.1</v>
      </c>
      <c r="Q932" s="41" t="str">
        <f aca="false">CHOOSE(MONTH(K932),"Jan","Feb","Mar","Apr","May","Jun","Jul","Aug","Sep","Oct","Nov","Dec")</f>
        <v>Mar</v>
      </c>
      <c r="R932" s="41" t="n">
        <f aca="false">INT((K932-setMinDate)/7)+1</f>
        <v>12</v>
      </c>
      <c r="S932" s="41" t="n">
        <f aca="false">HOUR(L932)</f>
        <v>13</v>
      </c>
      <c r="T932" s="41" t="str">
        <f aca="false">IF(S932&lt;setMorningEnd,"Morning",IF(S932&lt;setAfternoonEnd,"Afternoon","Evening"))</f>
        <v>Afternoon</v>
      </c>
      <c r="U932" s="41" t="str">
        <f aca="false">IF(J932&gt;=setLarge,"Large",IF(J932&gt;=setMedium,"Medium","Small"))</f>
        <v>Large</v>
      </c>
      <c r="V932" s="41" t="str">
        <f aca="false">IF(P932&gt;=setExc,"Excellent",IF(P932&gt;=setGood,"Good",IF(P932&gt;=setAvg,"Average","Poor")))</f>
        <v>Good</v>
      </c>
    </row>
    <row r="933" customFormat="false" ht="15" hidden="false" customHeight="false" outlineLevel="0" collapsed="false">
      <c r="A933" s="41" t="s">
        <v>1111</v>
      </c>
      <c r="B933" s="41" t="s">
        <v>180</v>
      </c>
      <c r="C933" s="41" t="s">
        <v>87</v>
      </c>
      <c r="D933" s="41" t="s">
        <v>104</v>
      </c>
      <c r="E933" s="41" t="s">
        <v>102</v>
      </c>
      <c r="F933" s="41" t="s">
        <v>79</v>
      </c>
      <c r="G933" s="42" t="n">
        <v>83.35</v>
      </c>
      <c r="H933" s="41" t="n">
        <v>2</v>
      </c>
      <c r="I933" s="42" t="n">
        <v>8.335</v>
      </c>
      <c r="J933" s="42" t="n">
        <v>175.035</v>
      </c>
      <c r="K933" s="43" t="n">
        <v>43498</v>
      </c>
      <c r="L933" s="44" t="n">
        <v>0.586805555555556</v>
      </c>
      <c r="M933" s="41" t="s">
        <v>99</v>
      </c>
      <c r="N933" s="42" t="n">
        <v>166.7</v>
      </c>
      <c r="O933" s="42" t="n">
        <v>8.335</v>
      </c>
      <c r="P933" s="45" t="n">
        <v>9.5</v>
      </c>
      <c r="Q933" s="41" t="str">
        <f aca="false">CHOOSE(MONTH(K933),"Jan","Feb","Mar","Apr","May","Jun","Jul","Aug","Sep","Oct","Nov","Dec")</f>
        <v>Feb</v>
      </c>
      <c r="R933" s="41" t="n">
        <f aca="false">INT((K933-setMinDate)/7)+1</f>
        <v>5</v>
      </c>
      <c r="S933" s="41" t="n">
        <f aca="false">HOUR(L933)</f>
        <v>14</v>
      </c>
      <c r="T933" s="41" t="str">
        <f aca="false">IF(S933&lt;setMorningEnd,"Morning",IF(S933&lt;setAfternoonEnd,"Afternoon","Evening"))</f>
        <v>Afternoon</v>
      </c>
      <c r="U933" s="41" t="str">
        <f aca="false">IF(J933&gt;=setLarge,"Large",IF(J933&gt;=setMedium,"Medium","Small"))</f>
        <v>Small</v>
      </c>
      <c r="V933" s="41" t="str">
        <f aca="false">IF(P933&gt;=setExc,"Excellent",IF(P933&gt;=setGood,"Good",IF(P933&gt;=setAvg,"Average","Poor")))</f>
        <v>Excellent</v>
      </c>
    </row>
    <row r="934" customFormat="false" ht="15" hidden="false" customHeight="false" outlineLevel="0" collapsed="false">
      <c r="A934" s="41" t="s">
        <v>1112</v>
      </c>
      <c r="B934" s="41" t="s">
        <v>178</v>
      </c>
      <c r="C934" s="41" t="s">
        <v>85</v>
      </c>
      <c r="D934" s="41" t="s">
        <v>105</v>
      </c>
      <c r="E934" s="41" t="s">
        <v>102</v>
      </c>
      <c r="F934" s="41" t="s">
        <v>76</v>
      </c>
      <c r="G934" s="42" t="n">
        <v>74.44</v>
      </c>
      <c r="H934" s="41" t="n">
        <v>10</v>
      </c>
      <c r="I934" s="42" t="n">
        <v>37.22</v>
      </c>
      <c r="J934" s="42" t="n">
        <v>781.62</v>
      </c>
      <c r="K934" s="43" t="n">
        <v>43523</v>
      </c>
      <c r="L934" s="44" t="n">
        <v>0.486111111111111</v>
      </c>
      <c r="M934" s="41" t="s">
        <v>98</v>
      </c>
      <c r="N934" s="42" t="n">
        <v>744.4</v>
      </c>
      <c r="O934" s="42" t="n">
        <v>37.22</v>
      </c>
      <c r="P934" s="45" t="n">
        <v>5.1</v>
      </c>
      <c r="Q934" s="41" t="str">
        <f aca="false">CHOOSE(MONTH(K934),"Jan","Feb","Mar","Apr","May","Jun","Jul","Aug","Sep","Oct","Nov","Dec")</f>
        <v>Feb</v>
      </c>
      <c r="R934" s="41" t="n">
        <f aca="false">INT((K934-setMinDate)/7)+1</f>
        <v>9</v>
      </c>
      <c r="S934" s="41" t="n">
        <f aca="false">HOUR(L934)</f>
        <v>11</v>
      </c>
      <c r="T934" s="41" t="str">
        <f aca="false">IF(S934&lt;setMorningEnd,"Morning",IF(S934&lt;setAfternoonEnd,"Afternoon","Evening"))</f>
        <v>Morning</v>
      </c>
      <c r="U934" s="41" t="str">
        <f aca="false">IF(J934&gt;=setLarge,"Large",IF(J934&gt;=setMedium,"Medium","Small"))</f>
        <v>Large</v>
      </c>
      <c r="V934" s="41" t="str">
        <f aca="false">IF(P934&gt;=setExc,"Excellent",IF(P934&gt;=setGood,"Good",IF(P934&gt;=setAvg,"Average","Poor")))</f>
        <v>Average</v>
      </c>
    </row>
    <row r="935" customFormat="false" ht="15" hidden="false" customHeight="false" outlineLevel="0" collapsed="false">
      <c r="A935" s="41" t="s">
        <v>1113</v>
      </c>
      <c r="B935" s="41" t="s">
        <v>180</v>
      </c>
      <c r="C935" s="41" t="s">
        <v>87</v>
      </c>
      <c r="D935" s="41" t="s">
        <v>105</v>
      </c>
      <c r="E935" s="41" t="s">
        <v>103</v>
      </c>
      <c r="F935" s="41" t="s">
        <v>81</v>
      </c>
      <c r="G935" s="42" t="n">
        <v>64.08</v>
      </c>
      <c r="H935" s="41" t="n">
        <v>7</v>
      </c>
      <c r="I935" s="42" t="n">
        <v>22.428</v>
      </c>
      <c r="J935" s="42" t="n">
        <v>470.988</v>
      </c>
      <c r="K935" s="43" t="n">
        <v>43485</v>
      </c>
      <c r="L935" s="44" t="n">
        <v>0.51875</v>
      </c>
      <c r="M935" s="41" t="s">
        <v>98</v>
      </c>
      <c r="N935" s="42" t="n">
        <v>448.56</v>
      </c>
      <c r="O935" s="42" t="n">
        <v>22.428</v>
      </c>
      <c r="P935" s="45" t="n">
        <v>7.6</v>
      </c>
      <c r="Q935" s="41" t="str">
        <f aca="false">CHOOSE(MONTH(K935),"Jan","Feb","Mar","Apr","May","Jun","Jul","Aug","Sep","Oct","Nov","Dec")</f>
        <v>Jan</v>
      </c>
      <c r="R935" s="41" t="n">
        <f aca="false">INT((K935-setMinDate)/7)+1</f>
        <v>3</v>
      </c>
      <c r="S935" s="41" t="n">
        <f aca="false">HOUR(L935)</f>
        <v>12</v>
      </c>
      <c r="T935" s="41" t="str">
        <f aca="false">IF(S935&lt;setMorningEnd,"Morning",IF(S935&lt;setAfternoonEnd,"Afternoon","Evening"))</f>
        <v>Afternoon</v>
      </c>
      <c r="U935" s="41" t="str">
        <f aca="false">IF(J935&gt;=setLarge,"Large",IF(J935&gt;=setMedium,"Medium","Small"))</f>
        <v>Medium</v>
      </c>
      <c r="V935" s="41" t="str">
        <f aca="false">IF(P935&gt;=setExc,"Excellent",IF(P935&gt;=setGood,"Good",IF(P935&gt;=setAvg,"Average","Poor")))</f>
        <v>Good</v>
      </c>
    </row>
    <row r="936" customFormat="false" ht="15" hidden="false" customHeight="false" outlineLevel="0" collapsed="false">
      <c r="A936" s="41" t="s">
        <v>1114</v>
      </c>
      <c r="B936" s="41" t="s">
        <v>189</v>
      </c>
      <c r="C936" s="41" t="s">
        <v>86</v>
      </c>
      <c r="D936" s="41" t="s">
        <v>105</v>
      </c>
      <c r="E936" s="41" t="s">
        <v>102</v>
      </c>
      <c r="F936" s="41" t="s">
        <v>80</v>
      </c>
      <c r="G936" s="42" t="n">
        <v>63.15</v>
      </c>
      <c r="H936" s="41" t="n">
        <v>6</v>
      </c>
      <c r="I936" s="42" t="n">
        <v>18.945</v>
      </c>
      <c r="J936" s="42" t="n">
        <v>397.845</v>
      </c>
      <c r="K936" s="43" t="n">
        <v>43468</v>
      </c>
      <c r="L936" s="44" t="n">
        <v>0.85</v>
      </c>
      <c r="M936" s="41" t="s">
        <v>98</v>
      </c>
      <c r="N936" s="42" t="n">
        <v>378.9</v>
      </c>
      <c r="O936" s="42" t="n">
        <v>18.945</v>
      </c>
      <c r="P936" s="45" t="n">
        <v>9.8</v>
      </c>
      <c r="Q936" s="41" t="str">
        <f aca="false">CHOOSE(MONTH(K936),"Jan","Feb","Mar","Apr","May","Jun","Jul","Aug","Sep","Oct","Nov","Dec")</f>
        <v>Jan</v>
      </c>
      <c r="R936" s="41" t="n">
        <f aca="false">INT((K936-setMinDate)/7)+1</f>
        <v>1</v>
      </c>
      <c r="S936" s="41" t="n">
        <f aca="false">HOUR(L936)</f>
        <v>20</v>
      </c>
      <c r="T936" s="41" t="str">
        <f aca="false">IF(S936&lt;setMorningEnd,"Morning",IF(S936&lt;setAfternoonEnd,"Afternoon","Evening"))</f>
        <v>Evening</v>
      </c>
      <c r="U936" s="41" t="str">
        <f aca="false">IF(J936&gt;=setLarge,"Large",IF(J936&gt;=setMedium,"Medium","Small"))</f>
        <v>Medium</v>
      </c>
      <c r="V936" s="41" t="str">
        <f aca="false">IF(P936&gt;=setExc,"Excellent",IF(P936&gt;=setGood,"Good",IF(P936&gt;=setAvg,"Average","Poor")))</f>
        <v>Excellent</v>
      </c>
    </row>
    <row r="937" customFormat="false" ht="15" hidden="false" customHeight="false" outlineLevel="0" collapsed="false">
      <c r="A937" s="41" t="s">
        <v>1115</v>
      </c>
      <c r="B937" s="41" t="s">
        <v>180</v>
      </c>
      <c r="C937" s="41" t="s">
        <v>87</v>
      </c>
      <c r="D937" s="41" t="s">
        <v>104</v>
      </c>
      <c r="E937" s="41" t="s">
        <v>103</v>
      </c>
      <c r="F937" s="41" t="s">
        <v>80</v>
      </c>
      <c r="G937" s="42" t="n">
        <v>85.72</v>
      </c>
      <c r="H937" s="41" t="n">
        <v>3</v>
      </c>
      <c r="I937" s="42" t="n">
        <v>12.858</v>
      </c>
      <c r="J937" s="42" t="n">
        <v>270.018</v>
      </c>
      <c r="K937" s="43" t="n">
        <v>43489</v>
      </c>
      <c r="L937" s="44" t="n">
        <v>0.874305555555556</v>
      </c>
      <c r="M937" s="41" t="s">
        <v>98</v>
      </c>
      <c r="N937" s="42" t="n">
        <v>257.16</v>
      </c>
      <c r="O937" s="42" t="n">
        <v>12.858</v>
      </c>
      <c r="P937" s="45" t="n">
        <v>5.1</v>
      </c>
      <c r="Q937" s="41" t="str">
        <f aca="false">CHOOSE(MONTH(K937),"Jan","Feb","Mar","Apr","May","Jun","Jul","Aug","Sep","Oct","Nov","Dec")</f>
        <v>Jan</v>
      </c>
      <c r="R937" s="41" t="n">
        <f aca="false">INT((K937-setMinDate)/7)+1</f>
        <v>4</v>
      </c>
      <c r="S937" s="41" t="n">
        <f aca="false">HOUR(L937)</f>
        <v>20</v>
      </c>
      <c r="T937" s="41" t="str">
        <f aca="false">IF(S937&lt;setMorningEnd,"Morning",IF(S937&lt;setAfternoonEnd,"Afternoon","Evening"))</f>
        <v>Evening</v>
      </c>
      <c r="U937" s="41" t="str">
        <f aca="false">IF(J937&gt;=setLarge,"Large",IF(J937&gt;=setMedium,"Medium","Small"))</f>
        <v>Medium</v>
      </c>
      <c r="V937" s="41" t="str">
        <f aca="false">IF(P937&gt;=setExc,"Excellent",IF(P937&gt;=setGood,"Good",IF(P937&gt;=setAvg,"Average","Poor")))</f>
        <v>Average</v>
      </c>
    </row>
    <row r="938" customFormat="false" ht="15" hidden="false" customHeight="false" outlineLevel="0" collapsed="false">
      <c r="A938" s="41" t="s">
        <v>1116</v>
      </c>
      <c r="B938" s="41" t="s">
        <v>180</v>
      </c>
      <c r="C938" s="41" t="s">
        <v>87</v>
      </c>
      <c r="D938" s="41" t="s">
        <v>105</v>
      </c>
      <c r="E938" s="41" t="s">
        <v>102</v>
      </c>
      <c r="F938" s="41" t="s">
        <v>81</v>
      </c>
      <c r="G938" s="42" t="n">
        <v>78.89</v>
      </c>
      <c r="H938" s="41" t="n">
        <v>7</v>
      </c>
      <c r="I938" s="42" t="n">
        <v>27.6115</v>
      </c>
      <c r="J938" s="42" t="n">
        <v>579.8415</v>
      </c>
      <c r="K938" s="43" t="n">
        <v>43470</v>
      </c>
      <c r="L938" s="44" t="n">
        <v>0.825</v>
      </c>
      <c r="M938" s="41" t="s">
        <v>98</v>
      </c>
      <c r="N938" s="42" t="n">
        <v>552.23</v>
      </c>
      <c r="O938" s="42" t="n">
        <v>27.6115</v>
      </c>
      <c r="P938" s="45" t="n">
        <v>7.5</v>
      </c>
      <c r="Q938" s="41" t="str">
        <f aca="false">CHOOSE(MONTH(K938),"Jan","Feb","Mar","Apr","May","Jun","Jul","Aug","Sep","Oct","Nov","Dec")</f>
        <v>Jan</v>
      </c>
      <c r="R938" s="41" t="n">
        <f aca="false">INT((K938-setMinDate)/7)+1</f>
        <v>1</v>
      </c>
      <c r="S938" s="41" t="n">
        <f aca="false">HOUR(L938)</f>
        <v>19</v>
      </c>
      <c r="T938" s="41" t="str">
        <f aca="false">IF(S938&lt;setMorningEnd,"Morning",IF(S938&lt;setAfternoonEnd,"Afternoon","Evening"))</f>
        <v>Evening</v>
      </c>
      <c r="U938" s="41" t="str">
        <f aca="false">IF(J938&gt;=setLarge,"Large",IF(J938&gt;=setMedium,"Medium","Small"))</f>
        <v>Medium</v>
      </c>
      <c r="V938" s="41" t="str">
        <f aca="false">IF(P938&gt;=setExc,"Excellent",IF(P938&gt;=setGood,"Good",IF(P938&gt;=setAvg,"Average","Poor")))</f>
        <v>Good</v>
      </c>
    </row>
    <row r="939" customFormat="false" ht="15" hidden="false" customHeight="false" outlineLevel="0" collapsed="false">
      <c r="A939" s="41" t="s">
        <v>1117</v>
      </c>
      <c r="B939" s="41" t="s">
        <v>178</v>
      </c>
      <c r="C939" s="41" t="s">
        <v>85</v>
      </c>
      <c r="D939" s="41" t="s">
        <v>105</v>
      </c>
      <c r="E939" s="41" t="s">
        <v>102</v>
      </c>
      <c r="F939" s="41" t="s">
        <v>77</v>
      </c>
      <c r="G939" s="42" t="n">
        <v>89.48</v>
      </c>
      <c r="H939" s="41" t="n">
        <v>5</v>
      </c>
      <c r="I939" s="42" t="n">
        <v>22.37</v>
      </c>
      <c r="J939" s="42" t="n">
        <v>469.77</v>
      </c>
      <c r="K939" s="43" t="n">
        <v>43554</v>
      </c>
      <c r="L939" s="44" t="n">
        <v>0.429166666666667</v>
      </c>
      <c r="M939" s="41" t="s">
        <v>97</v>
      </c>
      <c r="N939" s="42" t="n">
        <v>447.4</v>
      </c>
      <c r="O939" s="42" t="n">
        <v>22.37</v>
      </c>
      <c r="P939" s="45" t="n">
        <v>7.4</v>
      </c>
      <c r="Q939" s="41" t="str">
        <f aca="false">CHOOSE(MONTH(K939),"Jan","Feb","Mar","Apr","May","Jun","Jul","Aug","Sep","Oct","Nov","Dec")</f>
        <v>Mar</v>
      </c>
      <c r="R939" s="41" t="n">
        <f aca="false">INT((K939-setMinDate)/7)+1</f>
        <v>13</v>
      </c>
      <c r="S939" s="41" t="n">
        <f aca="false">HOUR(L939)</f>
        <v>10</v>
      </c>
      <c r="T939" s="41" t="str">
        <f aca="false">IF(S939&lt;setMorningEnd,"Morning",IF(S939&lt;setAfternoonEnd,"Afternoon","Evening"))</f>
        <v>Morning</v>
      </c>
      <c r="U939" s="41" t="str">
        <f aca="false">IF(J939&gt;=setLarge,"Large",IF(J939&gt;=setMedium,"Medium","Small"))</f>
        <v>Medium</v>
      </c>
      <c r="V939" s="41" t="str">
        <f aca="false">IF(P939&gt;=setExc,"Excellent",IF(P939&gt;=setGood,"Good",IF(P939&gt;=setAvg,"Average","Poor")))</f>
        <v>Good</v>
      </c>
    </row>
    <row r="940" customFormat="false" ht="15" hidden="false" customHeight="false" outlineLevel="0" collapsed="false">
      <c r="A940" s="41" t="s">
        <v>1118</v>
      </c>
      <c r="B940" s="41" t="s">
        <v>178</v>
      </c>
      <c r="C940" s="41" t="s">
        <v>85</v>
      </c>
      <c r="D940" s="41" t="s">
        <v>104</v>
      </c>
      <c r="E940" s="41" t="s">
        <v>102</v>
      </c>
      <c r="F940" s="41" t="s">
        <v>81</v>
      </c>
      <c r="G940" s="42" t="n">
        <v>92.09</v>
      </c>
      <c r="H940" s="41" t="n">
        <v>3</v>
      </c>
      <c r="I940" s="42" t="n">
        <v>13.8135</v>
      </c>
      <c r="J940" s="42" t="n">
        <v>290.0835</v>
      </c>
      <c r="K940" s="43" t="n">
        <v>43513</v>
      </c>
      <c r="L940" s="44" t="n">
        <v>0.685416666666667</v>
      </c>
      <c r="M940" s="41" t="s">
        <v>97</v>
      </c>
      <c r="N940" s="42" t="n">
        <v>276.27</v>
      </c>
      <c r="O940" s="42" t="n">
        <v>13.8135</v>
      </c>
      <c r="P940" s="45" t="n">
        <v>4.2</v>
      </c>
      <c r="Q940" s="41" t="str">
        <f aca="false">CHOOSE(MONTH(K940),"Jan","Feb","Mar","Apr","May","Jun","Jul","Aug","Sep","Oct","Nov","Dec")</f>
        <v>Feb</v>
      </c>
      <c r="R940" s="41" t="n">
        <f aca="false">INT((K940-setMinDate)/7)+1</f>
        <v>7</v>
      </c>
      <c r="S940" s="41" t="n">
        <f aca="false">HOUR(L940)</f>
        <v>16</v>
      </c>
      <c r="T940" s="41" t="str">
        <f aca="false">IF(S940&lt;setMorningEnd,"Morning",IF(S940&lt;setAfternoonEnd,"Afternoon","Evening"))</f>
        <v>Afternoon</v>
      </c>
      <c r="U940" s="41" t="str">
        <f aca="false">IF(J940&gt;=setLarge,"Large",IF(J940&gt;=setMedium,"Medium","Small"))</f>
        <v>Medium</v>
      </c>
      <c r="V940" s="41" t="str">
        <f aca="false">IF(P940&gt;=setExc,"Excellent",IF(P940&gt;=setGood,"Good",IF(P940&gt;=setAvg,"Average","Poor")))</f>
        <v>Poor</v>
      </c>
    </row>
    <row r="941" customFormat="false" ht="15" hidden="false" customHeight="false" outlineLevel="0" collapsed="false">
      <c r="A941" s="41" t="s">
        <v>1119</v>
      </c>
      <c r="B941" s="41" t="s">
        <v>180</v>
      </c>
      <c r="C941" s="41" t="s">
        <v>87</v>
      </c>
      <c r="D941" s="41" t="s">
        <v>105</v>
      </c>
      <c r="E941" s="41" t="s">
        <v>102</v>
      </c>
      <c r="F941" s="41" t="s">
        <v>76</v>
      </c>
      <c r="G941" s="42" t="n">
        <v>57.29</v>
      </c>
      <c r="H941" s="41" t="n">
        <v>6</v>
      </c>
      <c r="I941" s="42" t="n">
        <v>17.187</v>
      </c>
      <c r="J941" s="42" t="n">
        <v>360.927</v>
      </c>
      <c r="K941" s="43" t="n">
        <v>43545</v>
      </c>
      <c r="L941" s="44" t="n">
        <v>0.711111111111111</v>
      </c>
      <c r="M941" s="41" t="s">
        <v>98</v>
      </c>
      <c r="N941" s="42" t="n">
        <v>343.74</v>
      </c>
      <c r="O941" s="42" t="n">
        <v>17.187</v>
      </c>
      <c r="P941" s="45" t="n">
        <v>5.9</v>
      </c>
      <c r="Q941" s="41" t="str">
        <f aca="false">CHOOSE(MONTH(K941),"Jan","Feb","Mar","Apr","May","Jun","Jul","Aug","Sep","Oct","Nov","Dec")</f>
        <v>Mar</v>
      </c>
      <c r="R941" s="41" t="n">
        <f aca="false">INT((K941-setMinDate)/7)+1</f>
        <v>12</v>
      </c>
      <c r="S941" s="41" t="n">
        <f aca="false">HOUR(L941)</f>
        <v>17</v>
      </c>
      <c r="T941" s="41" t="str">
        <f aca="false">IF(S941&lt;setMorningEnd,"Morning",IF(S941&lt;setAfternoonEnd,"Afternoon","Evening"))</f>
        <v>Evening</v>
      </c>
      <c r="U941" s="41" t="str">
        <f aca="false">IF(J941&gt;=setLarge,"Large",IF(J941&gt;=setMedium,"Medium","Small"))</f>
        <v>Medium</v>
      </c>
      <c r="V941" s="41" t="str">
        <f aca="false">IF(P941&gt;=setExc,"Excellent",IF(P941&gt;=setGood,"Good",IF(P941&gt;=setAvg,"Average","Poor")))</f>
        <v>Average</v>
      </c>
    </row>
    <row r="942" customFormat="false" ht="15" hidden="false" customHeight="false" outlineLevel="0" collapsed="false">
      <c r="A942" s="41" t="s">
        <v>1120</v>
      </c>
      <c r="B942" s="41" t="s">
        <v>178</v>
      </c>
      <c r="C942" s="41" t="s">
        <v>85</v>
      </c>
      <c r="D942" s="41" t="s">
        <v>105</v>
      </c>
      <c r="E942" s="41" t="s">
        <v>103</v>
      </c>
      <c r="F942" s="41" t="s">
        <v>76</v>
      </c>
      <c r="G942" s="42" t="n">
        <v>66.52</v>
      </c>
      <c r="H942" s="41" t="n">
        <v>4</v>
      </c>
      <c r="I942" s="42" t="n">
        <v>13.304</v>
      </c>
      <c r="J942" s="42" t="n">
        <v>279.384</v>
      </c>
      <c r="K942" s="43" t="n">
        <v>43526</v>
      </c>
      <c r="L942" s="44" t="n">
        <v>0.759722222222222</v>
      </c>
      <c r="M942" s="41" t="s">
        <v>98</v>
      </c>
      <c r="N942" s="42" t="n">
        <v>266.08</v>
      </c>
      <c r="O942" s="42" t="n">
        <v>13.304</v>
      </c>
      <c r="P942" s="45" t="n">
        <v>6.9</v>
      </c>
      <c r="Q942" s="41" t="str">
        <f aca="false">CHOOSE(MONTH(K942),"Jan","Feb","Mar","Apr","May","Jun","Jul","Aug","Sep","Oct","Nov","Dec")</f>
        <v>Mar</v>
      </c>
      <c r="R942" s="41" t="n">
        <f aca="false">INT((K942-setMinDate)/7)+1</f>
        <v>9</v>
      </c>
      <c r="S942" s="41" t="n">
        <f aca="false">HOUR(L942)</f>
        <v>18</v>
      </c>
      <c r="T942" s="41" t="str">
        <f aca="false">IF(S942&lt;setMorningEnd,"Morning",IF(S942&lt;setAfternoonEnd,"Afternoon","Evening"))</f>
        <v>Evening</v>
      </c>
      <c r="U942" s="41" t="str">
        <f aca="false">IF(J942&gt;=setLarge,"Large",IF(J942&gt;=setMedium,"Medium","Small"))</f>
        <v>Medium</v>
      </c>
      <c r="V942" s="41" t="str">
        <f aca="false">IF(P942&gt;=setExc,"Excellent",IF(P942&gt;=setGood,"Good",IF(P942&gt;=setAvg,"Average","Poor")))</f>
        <v>Average</v>
      </c>
    </row>
    <row r="943" customFormat="false" ht="15" hidden="false" customHeight="false" outlineLevel="0" collapsed="false">
      <c r="A943" s="41" t="s">
        <v>1121</v>
      </c>
      <c r="B943" s="41" t="s">
        <v>180</v>
      </c>
      <c r="C943" s="41" t="s">
        <v>87</v>
      </c>
      <c r="D943" s="41" t="s">
        <v>104</v>
      </c>
      <c r="E943" s="41" t="s">
        <v>103</v>
      </c>
      <c r="F943" s="41" t="s">
        <v>79</v>
      </c>
      <c r="G943" s="42" t="n">
        <v>99.82</v>
      </c>
      <c r="H943" s="41" t="n">
        <v>9</v>
      </c>
      <c r="I943" s="42" t="n">
        <v>44.919</v>
      </c>
      <c r="J943" s="42" t="n">
        <v>943.299</v>
      </c>
      <c r="K943" s="43" t="n">
        <v>43551</v>
      </c>
      <c r="L943" s="44" t="n">
        <v>0.446527777777778</v>
      </c>
      <c r="M943" s="41" t="s">
        <v>97</v>
      </c>
      <c r="N943" s="42" t="n">
        <v>898.38</v>
      </c>
      <c r="O943" s="42" t="n">
        <v>44.919</v>
      </c>
      <c r="P943" s="45" t="n">
        <v>6.6</v>
      </c>
      <c r="Q943" s="41" t="str">
        <f aca="false">CHOOSE(MONTH(K943),"Jan","Feb","Mar","Apr","May","Jun","Jul","Aug","Sep","Oct","Nov","Dec")</f>
        <v>Mar</v>
      </c>
      <c r="R943" s="41" t="n">
        <f aca="false">INT((K943-setMinDate)/7)+1</f>
        <v>13</v>
      </c>
      <c r="S943" s="41" t="n">
        <f aca="false">HOUR(L943)</f>
        <v>10</v>
      </c>
      <c r="T943" s="41" t="str">
        <f aca="false">IF(S943&lt;setMorningEnd,"Morning",IF(S943&lt;setAfternoonEnd,"Afternoon","Evening"))</f>
        <v>Morning</v>
      </c>
      <c r="U943" s="41" t="str">
        <f aca="false">IF(J943&gt;=setLarge,"Large",IF(J943&gt;=setMedium,"Medium","Small"))</f>
        <v>Large</v>
      </c>
      <c r="V943" s="41" t="str">
        <f aca="false">IF(P943&gt;=setExc,"Excellent",IF(P943&gt;=setGood,"Good",IF(P943&gt;=setAvg,"Average","Poor")))</f>
        <v>Average</v>
      </c>
    </row>
    <row r="944" customFormat="false" ht="15" hidden="false" customHeight="false" outlineLevel="0" collapsed="false">
      <c r="A944" s="41" t="s">
        <v>1122</v>
      </c>
      <c r="B944" s="41" t="s">
        <v>178</v>
      </c>
      <c r="C944" s="41" t="s">
        <v>85</v>
      </c>
      <c r="D944" s="41" t="s">
        <v>105</v>
      </c>
      <c r="E944" s="41" t="s">
        <v>102</v>
      </c>
      <c r="F944" s="41" t="s">
        <v>80</v>
      </c>
      <c r="G944" s="42" t="n">
        <v>45.68</v>
      </c>
      <c r="H944" s="41" t="n">
        <v>10</v>
      </c>
      <c r="I944" s="42" t="n">
        <v>22.84</v>
      </c>
      <c r="J944" s="42" t="n">
        <v>479.64</v>
      </c>
      <c r="K944" s="43" t="n">
        <v>43484</v>
      </c>
      <c r="L944" s="44" t="n">
        <v>0.8125</v>
      </c>
      <c r="M944" s="41" t="s">
        <v>98</v>
      </c>
      <c r="N944" s="42" t="n">
        <v>456.8</v>
      </c>
      <c r="O944" s="42" t="n">
        <v>22.84</v>
      </c>
      <c r="P944" s="45" t="n">
        <v>5.7</v>
      </c>
      <c r="Q944" s="41" t="str">
        <f aca="false">CHOOSE(MONTH(K944),"Jan","Feb","Mar","Apr","May","Jun","Jul","Aug","Sep","Oct","Nov","Dec")</f>
        <v>Jan</v>
      </c>
      <c r="R944" s="41" t="n">
        <f aca="false">INT((K944-setMinDate)/7)+1</f>
        <v>3</v>
      </c>
      <c r="S944" s="41" t="n">
        <f aca="false">HOUR(L944)</f>
        <v>19</v>
      </c>
      <c r="T944" s="41" t="str">
        <f aca="false">IF(S944&lt;setMorningEnd,"Morning",IF(S944&lt;setAfternoonEnd,"Afternoon","Evening"))</f>
        <v>Evening</v>
      </c>
      <c r="U944" s="41" t="str">
        <f aca="false">IF(J944&gt;=setLarge,"Large",IF(J944&gt;=setMedium,"Medium","Small"))</f>
        <v>Medium</v>
      </c>
      <c r="V944" s="41" t="str">
        <f aca="false">IF(P944&gt;=setExc,"Excellent",IF(P944&gt;=setGood,"Good",IF(P944&gt;=setAvg,"Average","Poor")))</f>
        <v>Average</v>
      </c>
    </row>
    <row r="945" customFormat="false" ht="15" hidden="false" customHeight="false" outlineLevel="0" collapsed="false">
      <c r="A945" s="41" t="s">
        <v>1123</v>
      </c>
      <c r="B945" s="41" t="s">
        <v>178</v>
      </c>
      <c r="C945" s="41" t="s">
        <v>85</v>
      </c>
      <c r="D945" s="41" t="s">
        <v>105</v>
      </c>
      <c r="E945" s="41" t="s">
        <v>103</v>
      </c>
      <c r="F945" s="41" t="s">
        <v>81</v>
      </c>
      <c r="G945" s="42" t="n">
        <v>50.79</v>
      </c>
      <c r="H945" s="41" t="n">
        <v>5</v>
      </c>
      <c r="I945" s="42" t="n">
        <v>12.6975</v>
      </c>
      <c r="J945" s="42" t="n">
        <v>266.6475</v>
      </c>
      <c r="K945" s="43" t="n">
        <v>43515</v>
      </c>
      <c r="L945" s="44" t="n">
        <v>0.620138888888889</v>
      </c>
      <c r="M945" s="41" t="s">
        <v>99</v>
      </c>
      <c r="N945" s="42" t="n">
        <v>253.95</v>
      </c>
      <c r="O945" s="42" t="n">
        <v>12.6975</v>
      </c>
      <c r="P945" s="45" t="n">
        <v>5.3</v>
      </c>
      <c r="Q945" s="41" t="str">
        <f aca="false">CHOOSE(MONTH(K945),"Jan","Feb","Mar","Apr","May","Jun","Jul","Aug","Sep","Oct","Nov","Dec")</f>
        <v>Feb</v>
      </c>
      <c r="R945" s="41" t="n">
        <f aca="false">INT((K945-setMinDate)/7)+1</f>
        <v>8</v>
      </c>
      <c r="S945" s="41" t="n">
        <f aca="false">HOUR(L945)</f>
        <v>14</v>
      </c>
      <c r="T945" s="41" t="str">
        <f aca="false">IF(S945&lt;setMorningEnd,"Morning",IF(S945&lt;setAfternoonEnd,"Afternoon","Evening"))</f>
        <v>Afternoon</v>
      </c>
      <c r="U945" s="41" t="str">
        <f aca="false">IF(J945&gt;=setLarge,"Large",IF(J945&gt;=setMedium,"Medium","Small"))</f>
        <v>Medium</v>
      </c>
      <c r="V945" s="41" t="str">
        <f aca="false">IF(P945&gt;=setExc,"Excellent",IF(P945&gt;=setGood,"Good",IF(P945&gt;=setAvg,"Average","Poor")))</f>
        <v>Average</v>
      </c>
    </row>
    <row r="946" customFormat="false" ht="15" hidden="false" customHeight="false" outlineLevel="0" collapsed="false">
      <c r="A946" s="41" t="s">
        <v>1124</v>
      </c>
      <c r="B946" s="41" t="s">
        <v>178</v>
      </c>
      <c r="C946" s="41" t="s">
        <v>85</v>
      </c>
      <c r="D946" s="41" t="s">
        <v>104</v>
      </c>
      <c r="E946" s="41" t="s">
        <v>103</v>
      </c>
      <c r="F946" s="41" t="s">
        <v>81</v>
      </c>
      <c r="G946" s="42" t="n">
        <v>10.08</v>
      </c>
      <c r="H946" s="41" t="n">
        <v>7</v>
      </c>
      <c r="I946" s="42" t="n">
        <v>3.528</v>
      </c>
      <c r="J946" s="42" t="n">
        <v>74.088</v>
      </c>
      <c r="K946" s="43" t="n">
        <v>43552</v>
      </c>
      <c r="L946" s="44" t="n">
        <v>0.843055555555556</v>
      </c>
      <c r="M946" s="41" t="s">
        <v>97</v>
      </c>
      <c r="N946" s="42" t="n">
        <v>70.56</v>
      </c>
      <c r="O946" s="42" t="n">
        <v>3.528</v>
      </c>
      <c r="P946" s="45" t="n">
        <v>4.2</v>
      </c>
      <c r="Q946" s="41" t="str">
        <f aca="false">CHOOSE(MONTH(K946),"Jan","Feb","Mar","Apr","May","Jun","Jul","Aug","Sep","Oct","Nov","Dec")</f>
        <v>Mar</v>
      </c>
      <c r="R946" s="41" t="n">
        <f aca="false">INT((K946-setMinDate)/7)+1</f>
        <v>13</v>
      </c>
      <c r="S946" s="41" t="n">
        <f aca="false">HOUR(L946)</f>
        <v>20</v>
      </c>
      <c r="T946" s="41" t="str">
        <f aca="false">IF(S946&lt;setMorningEnd,"Morning",IF(S946&lt;setAfternoonEnd,"Afternoon","Evening"))</f>
        <v>Evening</v>
      </c>
      <c r="U946" s="41" t="str">
        <f aca="false">IF(J946&gt;=setLarge,"Large",IF(J946&gt;=setMedium,"Medium","Small"))</f>
        <v>Small</v>
      </c>
      <c r="V946" s="41" t="str">
        <f aca="false">IF(P946&gt;=setExc,"Excellent",IF(P946&gt;=setGood,"Good",IF(P946&gt;=setAvg,"Average","Poor")))</f>
        <v>Poor</v>
      </c>
    </row>
    <row r="947" customFormat="false" ht="15" hidden="false" customHeight="false" outlineLevel="0" collapsed="false">
      <c r="A947" s="41" t="s">
        <v>1125</v>
      </c>
      <c r="B947" s="41" t="s">
        <v>178</v>
      </c>
      <c r="C947" s="41" t="s">
        <v>85</v>
      </c>
      <c r="D947" s="41" t="s">
        <v>105</v>
      </c>
      <c r="E947" s="41" t="s">
        <v>102</v>
      </c>
      <c r="F947" s="41" t="s">
        <v>78</v>
      </c>
      <c r="G947" s="42" t="n">
        <v>93.88</v>
      </c>
      <c r="H947" s="41" t="n">
        <v>7</v>
      </c>
      <c r="I947" s="42" t="n">
        <v>32.858</v>
      </c>
      <c r="J947" s="42" t="n">
        <v>690.018</v>
      </c>
      <c r="K947" s="43" t="n">
        <v>43470</v>
      </c>
      <c r="L947" s="44" t="n">
        <v>0.49375</v>
      </c>
      <c r="M947" s="41" t="s">
        <v>99</v>
      </c>
      <c r="N947" s="42" t="n">
        <v>657.16</v>
      </c>
      <c r="O947" s="42" t="n">
        <v>32.858</v>
      </c>
      <c r="P947" s="45" t="n">
        <v>7.3</v>
      </c>
      <c r="Q947" s="41" t="str">
        <f aca="false">CHOOSE(MONTH(K947),"Jan","Feb","Mar","Apr","May","Jun","Jul","Aug","Sep","Oct","Nov","Dec")</f>
        <v>Jan</v>
      </c>
      <c r="R947" s="41" t="n">
        <f aca="false">INT((K947-setMinDate)/7)+1</f>
        <v>1</v>
      </c>
      <c r="S947" s="41" t="n">
        <f aca="false">HOUR(L947)</f>
        <v>11</v>
      </c>
      <c r="T947" s="41" t="str">
        <f aca="false">IF(S947&lt;setMorningEnd,"Morning",IF(S947&lt;setAfternoonEnd,"Afternoon","Evening"))</f>
        <v>Morning</v>
      </c>
      <c r="U947" s="41" t="str">
        <f aca="false">IF(J947&gt;=setLarge,"Large",IF(J947&gt;=setMedium,"Medium","Small"))</f>
        <v>Large</v>
      </c>
      <c r="V947" s="41" t="str">
        <f aca="false">IF(P947&gt;=setExc,"Excellent",IF(P947&gt;=setGood,"Good",IF(P947&gt;=setAvg,"Average","Poor")))</f>
        <v>Good</v>
      </c>
    </row>
    <row r="948" customFormat="false" ht="15" hidden="false" customHeight="false" outlineLevel="0" collapsed="false">
      <c r="A948" s="41" t="s">
        <v>1126</v>
      </c>
      <c r="B948" s="41" t="s">
        <v>180</v>
      </c>
      <c r="C948" s="41" t="s">
        <v>87</v>
      </c>
      <c r="D948" s="41" t="s">
        <v>104</v>
      </c>
      <c r="E948" s="41" t="s">
        <v>103</v>
      </c>
      <c r="F948" s="41" t="s">
        <v>78</v>
      </c>
      <c r="G948" s="42" t="n">
        <v>84.25</v>
      </c>
      <c r="H948" s="41" t="n">
        <v>2</v>
      </c>
      <c r="I948" s="42" t="n">
        <v>8.425</v>
      </c>
      <c r="J948" s="42" t="n">
        <v>176.925</v>
      </c>
      <c r="K948" s="43" t="n">
        <v>43550</v>
      </c>
      <c r="L948" s="44" t="n">
        <v>0.592361111111111</v>
      </c>
      <c r="M948" s="41" t="s">
        <v>99</v>
      </c>
      <c r="N948" s="42" t="n">
        <v>168.5</v>
      </c>
      <c r="O948" s="42" t="n">
        <v>8.425</v>
      </c>
      <c r="P948" s="45" t="n">
        <v>5.3</v>
      </c>
      <c r="Q948" s="41" t="str">
        <f aca="false">CHOOSE(MONTH(K948),"Jan","Feb","Mar","Apr","May","Jun","Jul","Aug","Sep","Oct","Nov","Dec")</f>
        <v>Mar</v>
      </c>
      <c r="R948" s="41" t="n">
        <f aca="false">INT((K948-setMinDate)/7)+1</f>
        <v>13</v>
      </c>
      <c r="S948" s="41" t="n">
        <f aca="false">HOUR(L948)</f>
        <v>14</v>
      </c>
      <c r="T948" s="41" t="str">
        <f aca="false">IF(S948&lt;setMorningEnd,"Morning",IF(S948&lt;setAfternoonEnd,"Afternoon","Evening"))</f>
        <v>Afternoon</v>
      </c>
      <c r="U948" s="41" t="str">
        <f aca="false">IF(J948&gt;=setLarge,"Large",IF(J948&gt;=setMedium,"Medium","Small"))</f>
        <v>Small</v>
      </c>
      <c r="V948" s="41" t="str">
        <f aca="false">IF(P948&gt;=setExc,"Excellent",IF(P948&gt;=setGood,"Good",IF(P948&gt;=setAvg,"Average","Poor")))</f>
        <v>Average</v>
      </c>
    </row>
    <row r="949" customFormat="false" ht="15" hidden="false" customHeight="false" outlineLevel="0" collapsed="false">
      <c r="A949" s="41" t="s">
        <v>1127</v>
      </c>
      <c r="B949" s="41" t="s">
        <v>189</v>
      </c>
      <c r="C949" s="41" t="s">
        <v>86</v>
      </c>
      <c r="D949" s="41" t="s">
        <v>104</v>
      </c>
      <c r="E949" s="41" t="s">
        <v>103</v>
      </c>
      <c r="F949" s="41" t="s">
        <v>79</v>
      </c>
      <c r="G949" s="42" t="n">
        <v>53.78</v>
      </c>
      <c r="H949" s="41" t="n">
        <v>1</v>
      </c>
      <c r="I949" s="42" t="n">
        <v>2.689</v>
      </c>
      <c r="J949" s="42" t="n">
        <v>56.469</v>
      </c>
      <c r="K949" s="43" t="n">
        <v>43499</v>
      </c>
      <c r="L949" s="44" t="n">
        <v>0.842361111111111</v>
      </c>
      <c r="M949" s="41" t="s">
        <v>98</v>
      </c>
      <c r="N949" s="42" t="n">
        <v>53.78</v>
      </c>
      <c r="O949" s="42" t="n">
        <v>2.689</v>
      </c>
      <c r="P949" s="45" t="n">
        <v>4.7</v>
      </c>
      <c r="Q949" s="41" t="str">
        <f aca="false">CHOOSE(MONTH(K949),"Jan","Feb","Mar","Apr","May","Jun","Jul","Aug","Sep","Oct","Nov","Dec")</f>
        <v>Feb</v>
      </c>
      <c r="R949" s="41" t="n">
        <f aca="false">INT((K949-setMinDate)/7)+1</f>
        <v>5</v>
      </c>
      <c r="S949" s="41" t="n">
        <f aca="false">HOUR(L949)</f>
        <v>20</v>
      </c>
      <c r="T949" s="41" t="str">
        <f aca="false">IF(S949&lt;setMorningEnd,"Morning",IF(S949&lt;setAfternoonEnd,"Afternoon","Evening"))</f>
        <v>Evening</v>
      </c>
      <c r="U949" s="41" t="str">
        <f aca="false">IF(J949&gt;=setLarge,"Large",IF(J949&gt;=setMedium,"Medium","Small"))</f>
        <v>Small</v>
      </c>
      <c r="V949" s="41" t="str">
        <f aca="false">IF(P949&gt;=setExc,"Excellent",IF(P949&gt;=setGood,"Good",IF(P949&gt;=setAvg,"Average","Poor")))</f>
        <v>Poor</v>
      </c>
    </row>
    <row r="950" customFormat="false" ht="15" hidden="false" customHeight="false" outlineLevel="0" collapsed="false">
      <c r="A950" s="41" t="s">
        <v>1128</v>
      </c>
      <c r="B950" s="41" t="s">
        <v>180</v>
      </c>
      <c r="C950" s="41" t="s">
        <v>87</v>
      </c>
      <c r="D950" s="41" t="s">
        <v>104</v>
      </c>
      <c r="E950" s="41" t="s">
        <v>103</v>
      </c>
      <c r="F950" s="41" t="s">
        <v>80</v>
      </c>
      <c r="G950" s="42" t="n">
        <v>35.81</v>
      </c>
      <c r="H950" s="41" t="n">
        <v>5</v>
      </c>
      <c r="I950" s="42" t="n">
        <v>8.9525</v>
      </c>
      <c r="J950" s="42" t="n">
        <v>188.0025</v>
      </c>
      <c r="K950" s="43" t="n">
        <v>43502</v>
      </c>
      <c r="L950" s="44" t="n">
        <v>0.780555555555556</v>
      </c>
      <c r="M950" s="41" t="s">
        <v>98</v>
      </c>
      <c r="N950" s="42" t="n">
        <v>179.05</v>
      </c>
      <c r="O950" s="42" t="n">
        <v>8.9525</v>
      </c>
      <c r="P950" s="45" t="n">
        <v>7.9</v>
      </c>
      <c r="Q950" s="41" t="str">
        <f aca="false">CHOOSE(MONTH(K950),"Jan","Feb","Mar","Apr","May","Jun","Jul","Aug","Sep","Oct","Nov","Dec")</f>
        <v>Feb</v>
      </c>
      <c r="R950" s="41" t="n">
        <f aca="false">INT((K950-setMinDate)/7)+1</f>
        <v>6</v>
      </c>
      <c r="S950" s="41" t="n">
        <f aca="false">HOUR(L950)</f>
        <v>18</v>
      </c>
      <c r="T950" s="41" t="str">
        <f aca="false">IF(S950&lt;setMorningEnd,"Morning",IF(S950&lt;setAfternoonEnd,"Afternoon","Evening"))</f>
        <v>Evening</v>
      </c>
      <c r="U950" s="41" t="str">
        <f aca="false">IF(J950&gt;=setLarge,"Large",IF(J950&gt;=setMedium,"Medium","Small"))</f>
        <v>Small</v>
      </c>
      <c r="V950" s="41" t="str">
        <f aca="false">IF(P950&gt;=setExc,"Excellent",IF(P950&gt;=setGood,"Good",IF(P950&gt;=setAvg,"Average","Poor")))</f>
        <v>Good</v>
      </c>
    </row>
    <row r="951" customFormat="false" ht="15" hidden="false" customHeight="false" outlineLevel="0" collapsed="false">
      <c r="A951" s="41" t="s">
        <v>1129</v>
      </c>
      <c r="B951" s="41" t="s">
        <v>189</v>
      </c>
      <c r="C951" s="41" t="s">
        <v>86</v>
      </c>
      <c r="D951" s="41" t="s">
        <v>105</v>
      </c>
      <c r="E951" s="41" t="s">
        <v>102</v>
      </c>
      <c r="F951" s="41" t="s">
        <v>76</v>
      </c>
      <c r="G951" s="42" t="n">
        <v>26.43</v>
      </c>
      <c r="H951" s="41" t="n">
        <v>8</v>
      </c>
      <c r="I951" s="42" t="n">
        <v>10.572</v>
      </c>
      <c r="J951" s="42" t="n">
        <v>222.012</v>
      </c>
      <c r="K951" s="43" t="n">
        <v>43520</v>
      </c>
      <c r="L951" s="44" t="n">
        <v>0.601388888888889</v>
      </c>
      <c r="M951" s="41" t="s">
        <v>98</v>
      </c>
      <c r="N951" s="42" t="n">
        <v>211.44</v>
      </c>
      <c r="O951" s="42" t="n">
        <v>10.572</v>
      </c>
      <c r="P951" s="45" t="n">
        <v>8.9</v>
      </c>
      <c r="Q951" s="41" t="str">
        <f aca="false">CHOOSE(MONTH(K951),"Jan","Feb","Mar","Apr","May","Jun","Jul","Aug","Sep","Oct","Nov","Dec")</f>
        <v>Feb</v>
      </c>
      <c r="R951" s="41" t="n">
        <f aca="false">INT((K951-setMinDate)/7)+1</f>
        <v>8</v>
      </c>
      <c r="S951" s="41" t="n">
        <f aca="false">HOUR(L951)</f>
        <v>14</v>
      </c>
      <c r="T951" s="41" t="str">
        <f aca="false">IF(S951&lt;setMorningEnd,"Morning",IF(S951&lt;setAfternoonEnd,"Afternoon","Evening"))</f>
        <v>Afternoon</v>
      </c>
      <c r="U951" s="41" t="str">
        <f aca="false">IF(J951&gt;=setLarge,"Large",IF(J951&gt;=setMedium,"Medium","Small"))</f>
        <v>Small</v>
      </c>
      <c r="V951" s="41" t="str">
        <f aca="false">IF(P951&gt;=setExc,"Excellent",IF(P951&gt;=setGood,"Good",IF(P951&gt;=setAvg,"Average","Poor")))</f>
        <v>Good</v>
      </c>
    </row>
    <row r="952" customFormat="false" ht="15" hidden="false" customHeight="false" outlineLevel="0" collapsed="false">
      <c r="A952" s="41" t="s">
        <v>1130</v>
      </c>
      <c r="B952" s="41" t="s">
        <v>189</v>
      </c>
      <c r="C952" s="41" t="s">
        <v>86</v>
      </c>
      <c r="D952" s="41" t="s">
        <v>104</v>
      </c>
      <c r="E952" s="41" t="s">
        <v>103</v>
      </c>
      <c r="F952" s="41" t="s">
        <v>81</v>
      </c>
      <c r="G952" s="42" t="n">
        <v>39.91</v>
      </c>
      <c r="H952" s="41" t="n">
        <v>3</v>
      </c>
      <c r="I952" s="42" t="n">
        <v>5.9865</v>
      </c>
      <c r="J952" s="42" t="n">
        <v>125.7165</v>
      </c>
      <c r="K952" s="43" t="n">
        <v>43517</v>
      </c>
      <c r="L952" s="44" t="n">
        <v>0.527777777777778</v>
      </c>
      <c r="M952" s="41" t="s">
        <v>98</v>
      </c>
      <c r="N952" s="42" t="n">
        <v>119.73</v>
      </c>
      <c r="O952" s="42" t="n">
        <v>5.9865</v>
      </c>
      <c r="P952" s="45" t="n">
        <v>9.3</v>
      </c>
      <c r="Q952" s="41" t="str">
        <f aca="false">CHOOSE(MONTH(K952),"Jan","Feb","Mar","Apr","May","Jun","Jul","Aug","Sep","Oct","Nov","Dec")</f>
        <v>Feb</v>
      </c>
      <c r="R952" s="41" t="n">
        <f aca="false">INT((K952-setMinDate)/7)+1</f>
        <v>8</v>
      </c>
      <c r="S952" s="41" t="n">
        <f aca="false">HOUR(L952)</f>
        <v>12</v>
      </c>
      <c r="T952" s="41" t="str">
        <f aca="false">IF(S952&lt;setMorningEnd,"Morning",IF(S952&lt;setAfternoonEnd,"Afternoon","Evening"))</f>
        <v>Afternoon</v>
      </c>
      <c r="U952" s="41" t="str">
        <f aca="false">IF(J952&gt;=setLarge,"Large",IF(J952&gt;=setMedium,"Medium","Small"))</f>
        <v>Small</v>
      </c>
      <c r="V952" s="41" t="str">
        <f aca="false">IF(P952&gt;=setExc,"Excellent",IF(P952&gt;=setGood,"Good",IF(P952&gt;=setAvg,"Average","Poor")))</f>
        <v>Excellent</v>
      </c>
    </row>
    <row r="953" customFormat="false" ht="15" hidden="false" customHeight="false" outlineLevel="0" collapsed="false">
      <c r="A953" s="41" t="s">
        <v>1131</v>
      </c>
      <c r="B953" s="41" t="s">
        <v>189</v>
      </c>
      <c r="C953" s="41" t="s">
        <v>86</v>
      </c>
      <c r="D953" s="41" t="s">
        <v>104</v>
      </c>
      <c r="E953" s="41" t="s">
        <v>102</v>
      </c>
      <c r="F953" s="41" t="s">
        <v>80</v>
      </c>
      <c r="G953" s="42" t="n">
        <v>21.9</v>
      </c>
      <c r="H953" s="41" t="n">
        <v>3</v>
      </c>
      <c r="I953" s="42" t="n">
        <v>3.285</v>
      </c>
      <c r="J953" s="42" t="n">
        <v>68.985</v>
      </c>
      <c r="K953" s="43" t="n">
        <v>43474</v>
      </c>
      <c r="L953" s="44" t="n">
        <v>0.779861111111111</v>
      </c>
      <c r="M953" s="41" t="s">
        <v>98</v>
      </c>
      <c r="N953" s="42" t="n">
        <v>65.7</v>
      </c>
      <c r="O953" s="42" t="n">
        <v>3.285</v>
      </c>
      <c r="P953" s="45" t="n">
        <v>4.7</v>
      </c>
      <c r="Q953" s="41" t="str">
        <f aca="false">CHOOSE(MONTH(K953),"Jan","Feb","Mar","Apr","May","Jun","Jul","Aug","Sep","Oct","Nov","Dec")</f>
        <v>Jan</v>
      </c>
      <c r="R953" s="41" t="n">
        <f aca="false">INT((K953-setMinDate)/7)+1</f>
        <v>2</v>
      </c>
      <c r="S953" s="41" t="n">
        <f aca="false">HOUR(L953)</f>
        <v>18</v>
      </c>
      <c r="T953" s="41" t="str">
        <f aca="false">IF(S953&lt;setMorningEnd,"Morning",IF(S953&lt;setAfternoonEnd,"Afternoon","Evening"))</f>
        <v>Evening</v>
      </c>
      <c r="U953" s="41" t="str">
        <f aca="false">IF(J953&gt;=setLarge,"Large",IF(J953&gt;=setMedium,"Medium","Small"))</f>
        <v>Small</v>
      </c>
      <c r="V953" s="41" t="str">
        <f aca="false">IF(P953&gt;=setExc,"Excellent",IF(P953&gt;=setGood,"Good",IF(P953&gt;=setAvg,"Average","Poor")))</f>
        <v>Poor</v>
      </c>
    </row>
    <row r="954" customFormat="false" ht="15" hidden="false" customHeight="false" outlineLevel="0" collapsed="false">
      <c r="A954" s="41" t="s">
        <v>1132</v>
      </c>
      <c r="B954" s="41" t="s">
        <v>189</v>
      </c>
      <c r="C954" s="41" t="s">
        <v>86</v>
      </c>
      <c r="D954" s="41" t="s">
        <v>104</v>
      </c>
      <c r="E954" s="41" t="s">
        <v>102</v>
      </c>
      <c r="F954" s="41" t="s">
        <v>76</v>
      </c>
      <c r="G954" s="42" t="n">
        <v>62.85</v>
      </c>
      <c r="H954" s="41" t="n">
        <v>4</v>
      </c>
      <c r="I954" s="42" t="n">
        <v>12.57</v>
      </c>
      <c r="J954" s="42" t="n">
        <v>263.97</v>
      </c>
      <c r="K954" s="43" t="n">
        <v>43521</v>
      </c>
      <c r="L954" s="44" t="n">
        <v>0.556944444444445</v>
      </c>
      <c r="M954" s="41" t="s">
        <v>98</v>
      </c>
      <c r="N954" s="42" t="n">
        <v>251.4</v>
      </c>
      <c r="O954" s="42" t="n">
        <v>12.57</v>
      </c>
      <c r="P954" s="45" t="n">
        <v>8.7</v>
      </c>
      <c r="Q954" s="41" t="str">
        <f aca="false">CHOOSE(MONTH(K954),"Jan","Feb","Mar","Apr","May","Jun","Jul","Aug","Sep","Oct","Nov","Dec")</f>
        <v>Feb</v>
      </c>
      <c r="R954" s="41" t="n">
        <f aca="false">INT((K954-setMinDate)/7)+1</f>
        <v>8</v>
      </c>
      <c r="S954" s="41" t="n">
        <f aca="false">HOUR(L954)</f>
        <v>13</v>
      </c>
      <c r="T954" s="41" t="str">
        <f aca="false">IF(S954&lt;setMorningEnd,"Morning",IF(S954&lt;setAfternoonEnd,"Afternoon","Evening"))</f>
        <v>Afternoon</v>
      </c>
      <c r="U954" s="41" t="str">
        <f aca="false">IF(J954&gt;=setLarge,"Large",IF(J954&gt;=setMedium,"Medium","Small"))</f>
        <v>Medium</v>
      </c>
      <c r="V954" s="41" t="str">
        <f aca="false">IF(P954&gt;=setExc,"Excellent",IF(P954&gt;=setGood,"Good",IF(P954&gt;=setAvg,"Average","Poor")))</f>
        <v>Good</v>
      </c>
    </row>
    <row r="955" customFormat="false" ht="15" hidden="false" customHeight="false" outlineLevel="0" collapsed="false">
      <c r="A955" s="41" t="s">
        <v>1133</v>
      </c>
      <c r="B955" s="41" t="s">
        <v>180</v>
      </c>
      <c r="C955" s="41" t="s">
        <v>87</v>
      </c>
      <c r="D955" s="41" t="s">
        <v>104</v>
      </c>
      <c r="E955" s="41" t="s">
        <v>102</v>
      </c>
      <c r="F955" s="41" t="s">
        <v>76</v>
      </c>
      <c r="G955" s="42" t="n">
        <v>21.04</v>
      </c>
      <c r="H955" s="41" t="n">
        <v>4</v>
      </c>
      <c r="I955" s="42" t="n">
        <v>4.208</v>
      </c>
      <c r="J955" s="42" t="n">
        <v>88.368</v>
      </c>
      <c r="K955" s="43" t="n">
        <v>43478</v>
      </c>
      <c r="L955" s="44" t="n">
        <v>0.581944444444445</v>
      </c>
      <c r="M955" s="41" t="s">
        <v>97</v>
      </c>
      <c r="N955" s="42" t="n">
        <v>84.16</v>
      </c>
      <c r="O955" s="42" t="n">
        <v>4.208</v>
      </c>
      <c r="P955" s="45" t="n">
        <v>7.6</v>
      </c>
      <c r="Q955" s="41" t="str">
        <f aca="false">CHOOSE(MONTH(K955),"Jan","Feb","Mar","Apr","May","Jun","Jul","Aug","Sep","Oct","Nov","Dec")</f>
        <v>Jan</v>
      </c>
      <c r="R955" s="41" t="n">
        <f aca="false">INT((K955-setMinDate)/7)+1</f>
        <v>2</v>
      </c>
      <c r="S955" s="41" t="n">
        <f aca="false">HOUR(L955)</f>
        <v>13</v>
      </c>
      <c r="T955" s="41" t="str">
        <f aca="false">IF(S955&lt;setMorningEnd,"Morning",IF(S955&lt;setAfternoonEnd,"Afternoon","Evening"))</f>
        <v>Afternoon</v>
      </c>
      <c r="U955" s="41" t="str">
        <f aca="false">IF(J955&gt;=setLarge,"Large",IF(J955&gt;=setMedium,"Medium","Small"))</f>
        <v>Small</v>
      </c>
      <c r="V955" s="41" t="str">
        <f aca="false">IF(P955&gt;=setExc,"Excellent",IF(P955&gt;=setGood,"Good",IF(P955&gt;=setAvg,"Average","Poor")))</f>
        <v>Good</v>
      </c>
    </row>
    <row r="956" customFormat="false" ht="15" hidden="false" customHeight="false" outlineLevel="0" collapsed="false">
      <c r="A956" s="41" t="s">
        <v>1134</v>
      </c>
      <c r="B956" s="41" t="s">
        <v>189</v>
      </c>
      <c r="C956" s="41" t="s">
        <v>86</v>
      </c>
      <c r="D956" s="41" t="s">
        <v>104</v>
      </c>
      <c r="E956" s="41" t="s">
        <v>103</v>
      </c>
      <c r="F956" s="41" t="s">
        <v>80</v>
      </c>
      <c r="G956" s="42" t="n">
        <v>65.91</v>
      </c>
      <c r="H956" s="41" t="n">
        <v>6</v>
      </c>
      <c r="I956" s="42" t="n">
        <v>19.773</v>
      </c>
      <c r="J956" s="42" t="n">
        <v>415.233</v>
      </c>
      <c r="K956" s="43" t="n">
        <v>43505</v>
      </c>
      <c r="L956" s="44" t="n">
        <v>0.489583333333333</v>
      </c>
      <c r="M956" s="41" t="s">
        <v>97</v>
      </c>
      <c r="N956" s="42" t="n">
        <v>395.46</v>
      </c>
      <c r="O956" s="42" t="n">
        <v>19.773</v>
      </c>
      <c r="P956" s="45" t="n">
        <v>5.7</v>
      </c>
      <c r="Q956" s="41" t="str">
        <f aca="false">CHOOSE(MONTH(K956),"Jan","Feb","Mar","Apr","May","Jun","Jul","Aug","Sep","Oct","Nov","Dec")</f>
        <v>Feb</v>
      </c>
      <c r="R956" s="41" t="n">
        <f aca="false">INT((K956-setMinDate)/7)+1</f>
        <v>6</v>
      </c>
      <c r="S956" s="41" t="n">
        <f aca="false">HOUR(L956)</f>
        <v>11</v>
      </c>
      <c r="T956" s="41" t="str">
        <f aca="false">IF(S956&lt;setMorningEnd,"Morning",IF(S956&lt;setAfternoonEnd,"Afternoon","Evening"))</f>
        <v>Morning</v>
      </c>
      <c r="U956" s="41" t="str">
        <f aca="false">IF(J956&gt;=setLarge,"Large",IF(J956&gt;=setMedium,"Medium","Small"))</f>
        <v>Medium</v>
      </c>
      <c r="V956" s="41" t="str">
        <f aca="false">IF(P956&gt;=setExc,"Excellent",IF(P956&gt;=setGood,"Good",IF(P956&gt;=setAvg,"Average","Poor")))</f>
        <v>Average</v>
      </c>
    </row>
    <row r="957" customFormat="false" ht="15" hidden="false" customHeight="false" outlineLevel="0" collapsed="false">
      <c r="A957" s="41" t="s">
        <v>1135</v>
      </c>
      <c r="B957" s="41" t="s">
        <v>178</v>
      </c>
      <c r="C957" s="41" t="s">
        <v>85</v>
      </c>
      <c r="D957" s="41" t="s">
        <v>105</v>
      </c>
      <c r="E957" s="41" t="s">
        <v>102</v>
      </c>
      <c r="F957" s="41" t="s">
        <v>79</v>
      </c>
      <c r="G957" s="42" t="n">
        <v>42.57</v>
      </c>
      <c r="H957" s="41" t="n">
        <v>7</v>
      </c>
      <c r="I957" s="42" t="n">
        <v>14.8995</v>
      </c>
      <c r="J957" s="42" t="n">
        <v>312.8895</v>
      </c>
      <c r="K957" s="43" t="n">
        <v>43471</v>
      </c>
      <c r="L957" s="44" t="n">
        <v>0.49375</v>
      </c>
      <c r="M957" s="41" t="s">
        <v>97</v>
      </c>
      <c r="N957" s="42" t="n">
        <v>297.99</v>
      </c>
      <c r="O957" s="42" t="n">
        <v>14.8995</v>
      </c>
      <c r="P957" s="45" t="n">
        <v>6.8</v>
      </c>
      <c r="Q957" s="41" t="str">
        <f aca="false">CHOOSE(MONTH(K957),"Jan","Feb","Mar","Apr","May","Jun","Jul","Aug","Sep","Oct","Nov","Dec")</f>
        <v>Jan</v>
      </c>
      <c r="R957" s="41" t="n">
        <f aca="false">INT((K957-setMinDate)/7)+1</f>
        <v>1</v>
      </c>
      <c r="S957" s="41" t="n">
        <f aca="false">HOUR(L957)</f>
        <v>11</v>
      </c>
      <c r="T957" s="41" t="str">
        <f aca="false">IF(S957&lt;setMorningEnd,"Morning",IF(S957&lt;setAfternoonEnd,"Afternoon","Evening"))</f>
        <v>Morning</v>
      </c>
      <c r="U957" s="41" t="str">
        <f aca="false">IF(J957&gt;=setLarge,"Large",IF(J957&gt;=setMedium,"Medium","Small"))</f>
        <v>Medium</v>
      </c>
      <c r="V957" s="41" t="str">
        <f aca="false">IF(P957&gt;=setExc,"Excellent",IF(P957&gt;=setGood,"Good",IF(P957&gt;=setAvg,"Average","Poor")))</f>
        <v>Average</v>
      </c>
    </row>
    <row r="958" customFormat="false" ht="15" hidden="false" customHeight="false" outlineLevel="0" collapsed="false">
      <c r="A958" s="41" t="s">
        <v>1136</v>
      </c>
      <c r="B958" s="41" t="s">
        <v>180</v>
      </c>
      <c r="C958" s="41" t="s">
        <v>87</v>
      </c>
      <c r="D958" s="41" t="s">
        <v>104</v>
      </c>
      <c r="E958" s="41" t="s">
        <v>103</v>
      </c>
      <c r="F958" s="41" t="s">
        <v>76</v>
      </c>
      <c r="G958" s="42" t="n">
        <v>50.49</v>
      </c>
      <c r="H958" s="41" t="n">
        <v>9</v>
      </c>
      <c r="I958" s="42" t="n">
        <v>22.7205</v>
      </c>
      <c r="J958" s="42" t="n">
        <v>477.1305</v>
      </c>
      <c r="K958" s="43" t="n">
        <v>43475</v>
      </c>
      <c r="L958" s="44" t="n">
        <v>0.719444444444444</v>
      </c>
      <c r="M958" s="41" t="s">
        <v>97</v>
      </c>
      <c r="N958" s="42" t="n">
        <v>454.41</v>
      </c>
      <c r="O958" s="42" t="n">
        <v>22.7205</v>
      </c>
      <c r="P958" s="45" t="n">
        <v>5.4</v>
      </c>
      <c r="Q958" s="41" t="str">
        <f aca="false">CHOOSE(MONTH(K958),"Jan","Feb","Mar","Apr","May","Jun","Jul","Aug","Sep","Oct","Nov","Dec")</f>
        <v>Jan</v>
      </c>
      <c r="R958" s="41" t="n">
        <f aca="false">INT((K958-setMinDate)/7)+1</f>
        <v>2</v>
      </c>
      <c r="S958" s="41" t="n">
        <f aca="false">HOUR(L958)</f>
        <v>17</v>
      </c>
      <c r="T958" s="41" t="str">
        <f aca="false">IF(S958&lt;setMorningEnd,"Morning",IF(S958&lt;setAfternoonEnd,"Afternoon","Evening"))</f>
        <v>Evening</v>
      </c>
      <c r="U958" s="41" t="str">
        <f aca="false">IF(J958&gt;=setLarge,"Large",IF(J958&gt;=setMedium,"Medium","Small"))</f>
        <v>Medium</v>
      </c>
      <c r="V958" s="41" t="str">
        <f aca="false">IF(P958&gt;=setExc,"Excellent",IF(P958&gt;=setGood,"Good",IF(P958&gt;=setAvg,"Average","Poor")))</f>
        <v>Average</v>
      </c>
    </row>
    <row r="959" customFormat="false" ht="15" hidden="false" customHeight="false" outlineLevel="0" collapsed="false">
      <c r="A959" s="41" t="s">
        <v>1137</v>
      </c>
      <c r="B959" s="41" t="s">
        <v>189</v>
      </c>
      <c r="C959" s="41" t="s">
        <v>86</v>
      </c>
      <c r="D959" s="41" t="s">
        <v>105</v>
      </c>
      <c r="E959" s="41" t="s">
        <v>103</v>
      </c>
      <c r="F959" s="41" t="s">
        <v>78</v>
      </c>
      <c r="G959" s="42" t="n">
        <v>46.02</v>
      </c>
      <c r="H959" s="41" t="n">
        <v>6</v>
      </c>
      <c r="I959" s="42" t="n">
        <v>13.806</v>
      </c>
      <c r="J959" s="42" t="n">
        <v>289.926</v>
      </c>
      <c r="K959" s="43" t="n">
        <v>43503</v>
      </c>
      <c r="L959" s="44" t="n">
        <v>0.663194444444444</v>
      </c>
      <c r="M959" s="41" t="s">
        <v>97</v>
      </c>
      <c r="N959" s="42" t="n">
        <v>276.12</v>
      </c>
      <c r="O959" s="42" t="n">
        <v>13.806</v>
      </c>
      <c r="P959" s="45" t="n">
        <v>7.1</v>
      </c>
      <c r="Q959" s="41" t="str">
        <f aca="false">CHOOSE(MONTH(K959),"Jan","Feb","Mar","Apr","May","Jun","Jul","Aug","Sep","Oct","Nov","Dec")</f>
        <v>Feb</v>
      </c>
      <c r="R959" s="41" t="n">
        <f aca="false">INT((K959-setMinDate)/7)+1</f>
        <v>6</v>
      </c>
      <c r="S959" s="41" t="n">
        <f aca="false">HOUR(L959)</f>
        <v>15</v>
      </c>
      <c r="T959" s="41" t="str">
        <f aca="false">IF(S959&lt;setMorningEnd,"Morning",IF(S959&lt;setAfternoonEnd,"Afternoon","Evening"))</f>
        <v>Afternoon</v>
      </c>
      <c r="U959" s="41" t="str">
        <f aca="false">IF(J959&gt;=setLarge,"Large",IF(J959&gt;=setMedium,"Medium","Small"))</f>
        <v>Medium</v>
      </c>
      <c r="V959" s="41" t="str">
        <f aca="false">IF(P959&gt;=setExc,"Excellent",IF(P959&gt;=setGood,"Good",IF(P959&gt;=setAvg,"Average","Poor")))</f>
        <v>Good</v>
      </c>
    </row>
    <row r="960" customFormat="false" ht="15" hidden="false" customHeight="false" outlineLevel="0" collapsed="false">
      <c r="A960" s="41" t="s">
        <v>1138</v>
      </c>
      <c r="B960" s="41" t="s">
        <v>180</v>
      </c>
      <c r="C960" s="41" t="s">
        <v>87</v>
      </c>
      <c r="D960" s="41" t="s">
        <v>105</v>
      </c>
      <c r="E960" s="41" t="s">
        <v>102</v>
      </c>
      <c r="F960" s="41" t="s">
        <v>80</v>
      </c>
      <c r="G960" s="42" t="n">
        <v>15.8</v>
      </c>
      <c r="H960" s="41" t="n">
        <v>10</v>
      </c>
      <c r="I960" s="42" t="n">
        <v>7.9</v>
      </c>
      <c r="J960" s="42" t="n">
        <v>165.9</v>
      </c>
      <c r="K960" s="43" t="n">
        <v>43474</v>
      </c>
      <c r="L960" s="44" t="n">
        <v>0.504861111111111</v>
      </c>
      <c r="M960" s="41" t="s">
        <v>97</v>
      </c>
      <c r="N960" s="42" t="n">
        <v>158</v>
      </c>
      <c r="O960" s="42" t="n">
        <v>7.9</v>
      </c>
      <c r="P960" s="45" t="n">
        <v>7.8</v>
      </c>
      <c r="Q960" s="41" t="str">
        <f aca="false">CHOOSE(MONTH(K960),"Jan","Feb","Mar","Apr","May","Jun","Jul","Aug","Sep","Oct","Nov","Dec")</f>
        <v>Jan</v>
      </c>
      <c r="R960" s="41" t="n">
        <f aca="false">INT((K960-setMinDate)/7)+1</f>
        <v>2</v>
      </c>
      <c r="S960" s="41" t="n">
        <f aca="false">HOUR(L960)</f>
        <v>12</v>
      </c>
      <c r="T960" s="41" t="str">
        <f aca="false">IF(S960&lt;setMorningEnd,"Morning",IF(S960&lt;setAfternoonEnd,"Afternoon","Evening"))</f>
        <v>Afternoon</v>
      </c>
      <c r="U960" s="41" t="str">
        <f aca="false">IF(J960&gt;=setLarge,"Large",IF(J960&gt;=setMedium,"Medium","Small"))</f>
        <v>Small</v>
      </c>
      <c r="V960" s="41" t="str">
        <f aca="false">IF(P960&gt;=setExc,"Excellent",IF(P960&gt;=setGood,"Good",IF(P960&gt;=setAvg,"Average","Poor")))</f>
        <v>Good</v>
      </c>
    </row>
    <row r="961" customFormat="false" ht="15" hidden="false" customHeight="false" outlineLevel="0" collapsed="false">
      <c r="A961" s="41" t="s">
        <v>1139</v>
      </c>
      <c r="B961" s="41" t="s">
        <v>178</v>
      </c>
      <c r="C961" s="41" t="s">
        <v>85</v>
      </c>
      <c r="D961" s="41" t="s">
        <v>104</v>
      </c>
      <c r="E961" s="41" t="s">
        <v>102</v>
      </c>
      <c r="F961" s="41" t="s">
        <v>76</v>
      </c>
      <c r="G961" s="42" t="n">
        <v>98.66</v>
      </c>
      <c r="H961" s="41" t="n">
        <v>9</v>
      </c>
      <c r="I961" s="42" t="n">
        <v>44.397</v>
      </c>
      <c r="J961" s="42" t="n">
        <v>932.337</v>
      </c>
      <c r="K961" s="43" t="n">
        <v>43515</v>
      </c>
      <c r="L961" s="44" t="n">
        <v>0.629861111111111</v>
      </c>
      <c r="M961" s="41" t="s">
        <v>97</v>
      </c>
      <c r="N961" s="42" t="n">
        <v>887.94</v>
      </c>
      <c r="O961" s="42" t="n">
        <v>44.397</v>
      </c>
      <c r="P961" s="45" t="n">
        <v>8.4</v>
      </c>
      <c r="Q961" s="41" t="str">
        <f aca="false">CHOOSE(MONTH(K961),"Jan","Feb","Mar","Apr","May","Jun","Jul","Aug","Sep","Oct","Nov","Dec")</f>
        <v>Feb</v>
      </c>
      <c r="R961" s="41" t="n">
        <f aca="false">INT((K961-setMinDate)/7)+1</f>
        <v>8</v>
      </c>
      <c r="S961" s="41" t="n">
        <f aca="false">HOUR(L961)</f>
        <v>15</v>
      </c>
      <c r="T961" s="41" t="str">
        <f aca="false">IF(S961&lt;setMorningEnd,"Morning",IF(S961&lt;setAfternoonEnd,"Afternoon","Evening"))</f>
        <v>Afternoon</v>
      </c>
      <c r="U961" s="41" t="str">
        <f aca="false">IF(J961&gt;=setLarge,"Large",IF(J961&gt;=setMedium,"Medium","Small"))</f>
        <v>Large</v>
      </c>
      <c r="V961" s="41" t="str">
        <f aca="false">IF(P961&gt;=setExc,"Excellent",IF(P961&gt;=setGood,"Good",IF(P961&gt;=setAvg,"Average","Poor")))</f>
        <v>Good</v>
      </c>
    </row>
    <row r="962" customFormat="false" ht="15" hidden="false" customHeight="false" outlineLevel="0" collapsed="false">
      <c r="A962" s="41" t="s">
        <v>1140</v>
      </c>
      <c r="B962" s="41" t="s">
        <v>180</v>
      </c>
      <c r="C962" s="41" t="s">
        <v>87</v>
      </c>
      <c r="D962" s="41" t="s">
        <v>104</v>
      </c>
      <c r="E962" s="41" t="s">
        <v>103</v>
      </c>
      <c r="F962" s="41" t="s">
        <v>79</v>
      </c>
      <c r="G962" s="42" t="n">
        <v>91.98</v>
      </c>
      <c r="H962" s="41" t="n">
        <v>1</v>
      </c>
      <c r="I962" s="42" t="n">
        <v>4.599</v>
      </c>
      <c r="J962" s="42" t="n">
        <v>96.579</v>
      </c>
      <c r="K962" s="43" t="n">
        <v>43542</v>
      </c>
      <c r="L962" s="44" t="n">
        <v>0.645138888888889</v>
      </c>
      <c r="M962" s="41" t="s">
        <v>97</v>
      </c>
      <c r="N962" s="42" t="n">
        <v>91.98</v>
      </c>
      <c r="O962" s="42" t="n">
        <v>4.599</v>
      </c>
      <c r="P962" s="45" t="n">
        <v>9.8</v>
      </c>
      <c r="Q962" s="41" t="str">
        <f aca="false">CHOOSE(MONTH(K962),"Jan","Feb","Mar","Apr","May","Jun","Jul","Aug","Sep","Oct","Nov","Dec")</f>
        <v>Mar</v>
      </c>
      <c r="R962" s="41" t="n">
        <f aca="false">INT((K962-setMinDate)/7)+1</f>
        <v>11</v>
      </c>
      <c r="S962" s="41" t="n">
        <f aca="false">HOUR(L962)</f>
        <v>15</v>
      </c>
      <c r="T962" s="41" t="str">
        <f aca="false">IF(S962&lt;setMorningEnd,"Morning",IF(S962&lt;setAfternoonEnd,"Afternoon","Evening"))</f>
        <v>Afternoon</v>
      </c>
      <c r="U962" s="41" t="str">
        <f aca="false">IF(J962&gt;=setLarge,"Large",IF(J962&gt;=setMedium,"Medium","Small"))</f>
        <v>Small</v>
      </c>
      <c r="V962" s="41" t="str">
        <f aca="false">IF(P962&gt;=setExc,"Excellent",IF(P962&gt;=setGood,"Good",IF(P962&gt;=setAvg,"Average","Poor")))</f>
        <v>Excellent</v>
      </c>
    </row>
    <row r="963" customFormat="false" ht="15" hidden="false" customHeight="false" outlineLevel="0" collapsed="false">
      <c r="A963" s="41" t="s">
        <v>1141</v>
      </c>
      <c r="B963" s="41" t="s">
        <v>178</v>
      </c>
      <c r="C963" s="41" t="s">
        <v>85</v>
      </c>
      <c r="D963" s="41" t="s">
        <v>104</v>
      </c>
      <c r="E963" s="41" t="s">
        <v>103</v>
      </c>
      <c r="F963" s="41" t="s">
        <v>78</v>
      </c>
      <c r="G963" s="42" t="n">
        <v>20.89</v>
      </c>
      <c r="H963" s="41" t="n">
        <v>2</v>
      </c>
      <c r="I963" s="42" t="n">
        <v>2.089</v>
      </c>
      <c r="J963" s="42" t="n">
        <v>43.869</v>
      </c>
      <c r="K963" s="43" t="n">
        <v>43501</v>
      </c>
      <c r="L963" s="44" t="n">
        <v>0.78125</v>
      </c>
      <c r="M963" s="41" t="s">
        <v>97</v>
      </c>
      <c r="N963" s="42" t="n">
        <v>41.78</v>
      </c>
      <c r="O963" s="42" t="n">
        <v>2.089</v>
      </c>
      <c r="P963" s="45" t="n">
        <v>9.8</v>
      </c>
      <c r="Q963" s="41" t="str">
        <f aca="false">CHOOSE(MONTH(K963),"Jan","Feb","Mar","Apr","May","Jun","Jul","Aug","Sep","Oct","Nov","Dec")</f>
        <v>Feb</v>
      </c>
      <c r="R963" s="41" t="n">
        <f aca="false">INT((K963-setMinDate)/7)+1</f>
        <v>6</v>
      </c>
      <c r="S963" s="41" t="n">
        <f aca="false">HOUR(L963)</f>
        <v>18</v>
      </c>
      <c r="T963" s="41" t="str">
        <f aca="false">IF(S963&lt;setMorningEnd,"Morning",IF(S963&lt;setAfternoonEnd,"Afternoon","Evening"))</f>
        <v>Evening</v>
      </c>
      <c r="U963" s="41" t="str">
        <f aca="false">IF(J963&gt;=setLarge,"Large",IF(J963&gt;=setMedium,"Medium","Small"))</f>
        <v>Small</v>
      </c>
      <c r="V963" s="41" t="str">
        <f aca="false">IF(P963&gt;=setExc,"Excellent",IF(P963&gt;=setGood,"Good",IF(P963&gt;=setAvg,"Average","Poor")))</f>
        <v>Excellent</v>
      </c>
    </row>
    <row r="964" customFormat="false" ht="15" hidden="false" customHeight="false" outlineLevel="0" collapsed="false">
      <c r="A964" s="41" t="s">
        <v>1142</v>
      </c>
      <c r="B964" s="41" t="s">
        <v>178</v>
      </c>
      <c r="C964" s="41" t="s">
        <v>85</v>
      </c>
      <c r="D964" s="41" t="s">
        <v>105</v>
      </c>
      <c r="E964" s="41" t="s">
        <v>102</v>
      </c>
      <c r="F964" s="41" t="s">
        <v>79</v>
      </c>
      <c r="G964" s="42" t="n">
        <v>15.5</v>
      </c>
      <c r="H964" s="41" t="n">
        <v>1</v>
      </c>
      <c r="I964" s="42" t="n">
        <v>0.775</v>
      </c>
      <c r="J964" s="42" t="n">
        <v>16.275</v>
      </c>
      <c r="K964" s="43" t="n">
        <v>43543</v>
      </c>
      <c r="L964" s="44" t="n">
        <v>0.640972222222222</v>
      </c>
      <c r="M964" s="41" t="s">
        <v>99</v>
      </c>
      <c r="N964" s="42" t="n">
        <v>15.5</v>
      </c>
      <c r="O964" s="42" t="n">
        <v>0.775</v>
      </c>
      <c r="P964" s="45" t="n">
        <v>7.4</v>
      </c>
      <c r="Q964" s="41" t="str">
        <f aca="false">CHOOSE(MONTH(K964),"Jan","Feb","Mar","Apr","May","Jun","Jul","Aug","Sep","Oct","Nov","Dec")</f>
        <v>Mar</v>
      </c>
      <c r="R964" s="41" t="n">
        <f aca="false">INT((K964-setMinDate)/7)+1</f>
        <v>12</v>
      </c>
      <c r="S964" s="41" t="n">
        <f aca="false">HOUR(L964)</f>
        <v>15</v>
      </c>
      <c r="T964" s="41" t="str">
        <f aca="false">IF(S964&lt;setMorningEnd,"Morning",IF(S964&lt;setAfternoonEnd,"Afternoon","Evening"))</f>
        <v>Afternoon</v>
      </c>
      <c r="U964" s="41" t="str">
        <f aca="false">IF(J964&gt;=setLarge,"Large",IF(J964&gt;=setMedium,"Medium","Small"))</f>
        <v>Small</v>
      </c>
      <c r="V964" s="41" t="str">
        <f aca="false">IF(P964&gt;=setExc,"Excellent",IF(P964&gt;=setGood,"Good",IF(P964&gt;=setAvg,"Average","Poor")))</f>
        <v>Good</v>
      </c>
    </row>
    <row r="965" customFormat="false" ht="15" hidden="false" customHeight="false" outlineLevel="0" collapsed="false">
      <c r="A965" s="41" t="s">
        <v>1143</v>
      </c>
      <c r="B965" s="41" t="s">
        <v>180</v>
      </c>
      <c r="C965" s="41" t="s">
        <v>87</v>
      </c>
      <c r="D965" s="41" t="s">
        <v>104</v>
      </c>
      <c r="E965" s="41" t="s">
        <v>103</v>
      </c>
      <c r="F965" s="41" t="s">
        <v>78</v>
      </c>
      <c r="G965" s="42" t="n">
        <v>96.82</v>
      </c>
      <c r="H965" s="41" t="n">
        <v>3</v>
      </c>
      <c r="I965" s="42" t="n">
        <v>14.523</v>
      </c>
      <c r="J965" s="42" t="n">
        <v>304.983</v>
      </c>
      <c r="K965" s="43" t="n">
        <v>43554</v>
      </c>
      <c r="L965" s="44" t="n">
        <v>0.859027777777778</v>
      </c>
      <c r="M965" s="41" t="s">
        <v>97</v>
      </c>
      <c r="N965" s="42" t="n">
        <v>290.46</v>
      </c>
      <c r="O965" s="42" t="n">
        <v>14.523</v>
      </c>
      <c r="P965" s="45" t="n">
        <v>6.7</v>
      </c>
      <c r="Q965" s="41" t="str">
        <f aca="false">CHOOSE(MONTH(K965),"Jan","Feb","Mar","Apr","May","Jun","Jul","Aug","Sep","Oct","Nov","Dec")</f>
        <v>Mar</v>
      </c>
      <c r="R965" s="41" t="n">
        <f aca="false">INT((K965-setMinDate)/7)+1</f>
        <v>13</v>
      </c>
      <c r="S965" s="41" t="n">
        <f aca="false">HOUR(L965)</f>
        <v>20</v>
      </c>
      <c r="T965" s="41" t="str">
        <f aca="false">IF(S965&lt;setMorningEnd,"Morning",IF(S965&lt;setAfternoonEnd,"Afternoon","Evening"))</f>
        <v>Evening</v>
      </c>
      <c r="U965" s="41" t="str">
        <f aca="false">IF(J965&gt;=setLarge,"Large",IF(J965&gt;=setMedium,"Medium","Small"))</f>
        <v>Medium</v>
      </c>
      <c r="V965" s="41" t="str">
        <f aca="false">IF(P965&gt;=setExc,"Excellent",IF(P965&gt;=setGood,"Good",IF(P965&gt;=setAvg,"Average","Poor")))</f>
        <v>Average</v>
      </c>
    </row>
    <row r="966" customFormat="false" ht="15" hidden="false" customHeight="false" outlineLevel="0" collapsed="false">
      <c r="A966" s="41" t="s">
        <v>1144</v>
      </c>
      <c r="B966" s="41" t="s">
        <v>189</v>
      </c>
      <c r="C966" s="41" t="s">
        <v>86</v>
      </c>
      <c r="D966" s="41" t="s">
        <v>105</v>
      </c>
      <c r="E966" s="41" t="s">
        <v>103</v>
      </c>
      <c r="F966" s="41" t="s">
        <v>76</v>
      </c>
      <c r="G966" s="42" t="n">
        <v>33.33</v>
      </c>
      <c r="H966" s="41" t="n">
        <v>2</v>
      </c>
      <c r="I966" s="42" t="n">
        <v>3.333</v>
      </c>
      <c r="J966" s="42" t="n">
        <v>69.993</v>
      </c>
      <c r="K966" s="43" t="n">
        <v>43491</v>
      </c>
      <c r="L966" s="44" t="n">
        <v>0.611805555555556</v>
      </c>
      <c r="M966" s="41" t="s">
        <v>99</v>
      </c>
      <c r="N966" s="42" t="n">
        <v>66.66</v>
      </c>
      <c r="O966" s="42" t="n">
        <v>3.333</v>
      </c>
      <c r="P966" s="45" t="n">
        <v>6.4</v>
      </c>
      <c r="Q966" s="41" t="str">
        <f aca="false">CHOOSE(MONTH(K966),"Jan","Feb","Mar","Apr","May","Jun","Jul","Aug","Sep","Oct","Nov","Dec")</f>
        <v>Jan</v>
      </c>
      <c r="R966" s="41" t="n">
        <f aca="false">INT((K966-setMinDate)/7)+1</f>
        <v>4</v>
      </c>
      <c r="S966" s="41" t="n">
        <f aca="false">HOUR(L966)</f>
        <v>14</v>
      </c>
      <c r="T966" s="41" t="str">
        <f aca="false">IF(S966&lt;setMorningEnd,"Morning",IF(S966&lt;setAfternoonEnd,"Afternoon","Evening"))</f>
        <v>Afternoon</v>
      </c>
      <c r="U966" s="41" t="str">
        <f aca="false">IF(J966&gt;=setLarge,"Large",IF(J966&gt;=setMedium,"Medium","Small"))</f>
        <v>Small</v>
      </c>
      <c r="V966" s="41" t="str">
        <f aca="false">IF(P966&gt;=setExc,"Excellent",IF(P966&gt;=setGood,"Good",IF(P966&gt;=setAvg,"Average","Poor")))</f>
        <v>Average</v>
      </c>
    </row>
    <row r="967" customFormat="false" ht="15" hidden="false" customHeight="false" outlineLevel="0" collapsed="false">
      <c r="A967" s="41" t="s">
        <v>1145</v>
      </c>
      <c r="B967" s="41" t="s">
        <v>189</v>
      </c>
      <c r="C967" s="41" t="s">
        <v>86</v>
      </c>
      <c r="D967" s="41" t="s">
        <v>105</v>
      </c>
      <c r="E967" s="41" t="s">
        <v>102</v>
      </c>
      <c r="F967" s="41" t="s">
        <v>78</v>
      </c>
      <c r="G967" s="42" t="n">
        <v>38.27</v>
      </c>
      <c r="H967" s="41" t="n">
        <v>2</v>
      </c>
      <c r="I967" s="42" t="n">
        <v>3.827</v>
      </c>
      <c r="J967" s="42" t="n">
        <v>80.367</v>
      </c>
      <c r="K967" s="43" t="n">
        <v>43526</v>
      </c>
      <c r="L967" s="44" t="n">
        <v>0.7625</v>
      </c>
      <c r="M967" s="41" t="s">
        <v>99</v>
      </c>
      <c r="N967" s="42" t="n">
        <v>76.54</v>
      </c>
      <c r="O967" s="42" t="n">
        <v>3.827</v>
      </c>
      <c r="P967" s="45" t="n">
        <v>5.8</v>
      </c>
      <c r="Q967" s="41" t="str">
        <f aca="false">CHOOSE(MONTH(K967),"Jan","Feb","Mar","Apr","May","Jun","Jul","Aug","Sep","Oct","Nov","Dec")</f>
        <v>Mar</v>
      </c>
      <c r="R967" s="41" t="n">
        <f aca="false">INT((K967-setMinDate)/7)+1</f>
        <v>9</v>
      </c>
      <c r="S967" s="41" t="n">
        <f aca="false">HOUR(L967)</f>
        <v>18</v>
      </c>
      <c r="T967" s="41" t="str">
        <f aca="false">IF(S967&lt;setMorningEnd,"Morning",IF(S967&lt;setAfternoonEnd,"Afternoon","Evening"))</f>
        <v>Evening</v>
      </c>
      <c r="U967" s="41" t="str">
        <f aca="false">IF(J967&gt;=setLarge,"Large",IF(J967&gt;=setMedium,"Medium","Small"))</f>
        <v>Small</v>
      </c>
      <c r="V967" s="41" t="str">
        <f aca="false">IF(P967&gt;=setExc,"Excellent",IF(P967&gt;=setGood,"Good",IF(P967&gt;=setAvg,"Average","Poor")))</f>
        <v>Average</v>
      </c>
    </row>
    <row r="968" customFormat="false" ht="15" hidden="false" customHeight="false" outlineLevel="0" collapsed="false">
      <c r="A968" s="41" t="s">
        <v>1146</v>
      </c>
      <c r="B968" s="41" t="s">
        <v>178</v>
      </c>
      <c r="C968" s="41" t="s">
        <v>85</v>
      </c>
      <c r="D968" s="41" t="s">
        <v>105</v>
      </c>
      <c r="E968" s="41" t="s">
        <v>102</v>
      </c>
      <c r="F968" s="41" t="s">
        <v>80</v>
      </c>
      <c r="G968" s="42" t="n">
        <v>33.3</v>
      </c>
      <c r="H968" s="41" t="n">
        <v>9</v>
      </c>
      <c r="I968" s="42" t="n">
        <v>14.985</v>
      </c>
      <c r="J968" s="42" t="n">
        <v>314.685</v>
      </c>
      <c r="K968" s="43" t="n">
        <v>43528</v>
      </c>
      <c r="L968" s="44" t="n">
        <v>0.64375</v>
      </c>
      <c r="M968" s="41" t="s">
        <v>98</v>
      </c>
      <c r="N968" s="42" t="n">
        <v>299.7</v>
      </c>
      <c r="O968" s="42" t="n">
        <v>14.985</v>
      </c>
      <c r="P968" s="45" t="n">
        <v>7.2</v>
      </c>
      <c r="Q968" s="41" t="str">
        <f aca="false">CHOOSE(MONTH(K968),"Jan","Feb","Mar","Apr","May","Jun","Jul","Aug","Sep","Oct","Nov","Dec")</f>
        <v>Mar</v>
      </c>
      <c r="R968" s="41" t="n">
        <f aca="false">INT((K968-setMinDate)/7)+1</f>
        <v>9</v>
      </c>
      <c r="S968" s="41" t="n">
        <f aca="false">HOUR(L968)</f>
        <v>15</v>
      </c>
      <c r="T968" s="41" t="str">
        <f aca="false">IF(S968&lt;setMorningEnd,"Morning",IF(S968&lt;setAfternoonEnd,"Afternoon","Evening"))</f>
        <v>Afternoon</v>
      </c>
      <c r="U968" s="41" t="str">
        <f aca="false">IF(J968&gt;=setLarge,"Large",IF(J968&gt;=setMedium,"Medium","Small"))</f>
        <v>Medium</v>
      </c>
      <c r="V968" s="41" t="str">
        <f aca="false">IF(P968&gt;=setExc,"Excellent",IF(P968&gt;=setGood,"Good",IF(P968&gt;=setAvg,"Average","Poor")))</f>
        <v>Good</v>
      </c>
    </row>
    <row r="969" customFormat="false" ht="15" hidden="false" customHeight="false" outlineLevel="0" collapsed="false">
      <c r="A969" s="41" t="s">
        <v>1147</v>
      </c>
      <c r="B969" s="41" t="s">
        <v>178</v>
      </c>
      <c r="C969" s="41" t="s">
        <v>85</v>
      </c>
      <c r="D969" s="41" t="s">
        <v>104</v>
      </c>
      <c r="E969" s="41" t="s">
        <v>103</v>
      </c>
      <c r="F969" s="41" t="s">
        <v>80</v>
      </c>
      <c r="G969" s="42" t="n">
        <v>81.01</v>
      </c>
      <c r="H969" s="41" t="n">
        <v>3</v>
      </c>
      <c r="I969" s="42" t="n">
        <v>12.1515</v>
      </c>
      <c r="J969" s="42" t="n">
        <v>255.1815</v>
      </c>
      <c r="K969" s="43" t="n">
        <v>43478</v>
      </c>
      <c r="L969" s="44" t="n">
        <v>0.538194444444444</v>
      </c>
      <c r="M969" s="41" t="s">
        <v>99</v>
      </c>
      <c r="N969" s="42" t="n">
        <v>243.03</v>
      </c>
      <c r="O969" s="42" t="n">
        <v>12.1515</v>
      </c>
      <c r="P969" s="45" t="n">
        <v>9.3</v>
      </c>
      <c r="Q969" s="41" t="str">
        <f aca="false">CHOOSE(MONTH(K969),"Jan","Feb","Mar","Apr","May","Jun","Jul","Aug","Sep","Oct","Nov","Dec")</f>
        <v>Jan</v>
      </c>
      <c r="R969" s="41" t="n">
        <f aca="false">INT((K969-setMinDate)/7)+1</f>
        <v>2</v>
      </c>
      <c r="S969" s="41" t="n">
        <f aca="false">HOUR(L969)</f>
        <v>12</v>
      </c>
      <c r="T969" s="41" t="str">
        <f aca="false">IF(S969&lt;setMorningEnd,"Morning",IF(S969&lt;setAfternoonEnd,"Afternoon","Evening"))</f>
        <v>Afternoon</v>
      </c>
      <c r="U969" s="41" t="str">
        <f aca="false">IF(J969&gt;=setLarge,"Large",IF(J969&gt;=setMedium,"Medium","Small"))</f>
        <v>Medium</v>
      </c>
      <c r="V969" s="41" t="str">
        <f aca="false">IF(P969&gt;=setExc,"Excellent",IF(P969&gt;=setGood,"Good",IF(P969&gt;=setAvg,"Average","Poor")))</f>
        <v>Excellent</v>
      </c>
    </row>
    <row r="970" customFormat="false" ht="15" hidden="false" customHeight="false" outlineLevel="0" collapsed="false">
      <c r="A970" s="41" t="s">
        <v>1148</v>
      </c>
      <c r="B970" s="41" t="s">
        <v>178</v>
      </c>
      <c r="C970" s="41" t="s">
        <v>85</v>
      </c>
      <c r="D970" s="41" t="s">
        <v>105</v>
      </c>
      <c r="E970" s="41" t="s">
        <v>102</v>
      </c>
      <c r="F970" s="41" t="s">
        <v>81</v>
      </c>
      <c r="G970" s="42" t="n">
        <v>15.8</v>
      </c>
      <c r="H970" s="41" t="n">
        <v>3</v>
      </c>
      <c r="I970" s="42" t="n">
        <v>2.37</v>
      </c>
      <c r="J970" s="42" t="n">
        <v>49.77</v>
      </c>
      <c r="K970" s="43" t="n">
        <v>43549</v>
      </c>
      <c r="L970" s="44" t="n">
        <v>0.751388888888889</v>
      </c>
      <c r="M970" s="41" t="s">
        <v>97</v>
      </c>
      <c r="N970" s="42" t="n">
        <v>47.4</v>
      </c>
      <c r="O970" s="42" t="n">
        <v>2.37</v>
      </c>
      <c r="P970" s="45" t="n">
        <v>9.5</v>
      </c>
      <c r="Q970" s="41" t="str">
        <f aca="false">CHOOSE(MONTH(K970),"Jan","Feb","Mar","Apr","May","Jun","Jul","Aug","Sep","Oct","Nov","Dec")</f>
        <v>Mar</v>
      </c>
      <c r="R970" s="41" t="n">
        <f aca="false">INT((K970-setMinDate)/7)+1</f>
        <v>12</v>
      </c>
      <c r="S970" s="41" t="n">
        <f aca="false">HOUR(L970)</f>
        <v>18</v>
      </c>
      <c r="T970" s="41" t="str">
        <f aca="false">IF(S970&lt;setMorningEnd,"Morning",IF(S970&lt;setAfternoonEnd,"Afternoon","Evening"))</f>
        <v>Evening</v>
      </c>
      <c r="U970" s="41" t="str">
        <f aca="false">IF(J970&gt;=setLarge,"Large",IF(J970&gt;=setMedium,"Medium","Small"))</f>
        <v>Small</v>
      </c>
      <c r="V970" s="41" t="str">
        <f aca="false">IF(P970&gt;=setExc,"Excellent",IF(P970&gt;=setGood,"Good",IF(P970&gt;=setAvg,"Average","Poor")))</f>
        <v>Excellent</v>
      </c>
    </row>
    <row r="971" customFormat="false" ht="15" hidden="false" customHeight="false" outlineLevel="0" collapsed="false">
      <c r="A971" s="41" t="s">
        <v>1149</v>
      </c>
      <c r="B971" s="41" t="s">
        <v>189</v>
      </c>
      <c r="C971" s="41" t="s">
        <v>86</v>
      </c>
      <c r="D971" s="41" t="s">
        <v>104</v>
      </c>
      <c r="E971" s="41" t="s">
        <v>102</v>
      </c>
      <c r="F971" s="41" t="s">
        <v>78</v>
      </c>
      <c r="G971" s="42" t="n">
        <v>34.49</v>
      </c>
      <c r="H971" s="41" t="n">
        <v>5</v>
      </c>
      <c r="I971" s="42" t="n">
        <v>8.6225</v>
      </c>
      <c r="J971" s="42" t="n">
        <v>181.0725</v>
      </c>
      <c r="K971" s="43" t="n">
        <v>43535</v>
      </c>
      <c r="L971" s="44" t="n">
        <v>0.822222222222222</v>
      </c>
      <c r="M971" s="41" t="s">
        <v>99</v>
      </c>
      <c r="N971" s="42" t="n">
        <v>172.45</v>
      </c>
      <c r="O971" s="42" t="n">
        <v>8.6225</v>
      </c>
      <c r="P971" s="45" t="n">
        <v>9</v>
      </c>
      <c r="Q971" s="41" t="str">
        <f aca="false">CHOOSE(MONTH(K971),"Jan","Feb","Mar","Apr","May","Jun","Jul","Aug","Sep","Oct","Nov","Dec")</f>
        <v>Mar</v>
      </c>
      <c r="R971" s="41" t="n">
        <f aca="false">INT((K971-setMinDate)/7)+1</f>
        <v>10</v>
      </c>
      <c r="S971" s="41" t="n">
        <f aca="false">HOUR(L971)</f>
        <v>19</v>
      </c>
      <c r="T971" s="41" t="str">
        <f aca="false">IF(S971&lt;setMorningEnd,"Morning",IF(S971&lt;setAfternoonEnd,"Afternoon","Evening"))</f>
        <v>Evening</v>
      </c>
      <c r="U971" s="41" t="str">
        <f aca="false">IF(J971&gt;=setLarge,"Large",IF(J971&gt;=setMedium,"Medium","Small"))</f>
        <v>Small</v>
      </c>
      <c r="V971" s="41" t="str">
        <f aca="false">IF(P971&gt;=setExc,"Excellent",IF(P971&gt;=setGood,"Good",IF(P971&gt;=setAvg,"Average","Poor")))</f>
        <v>Excellent</v>
      </c>
    </row>
    <row r="972" customFormat="false" ht="15" hidden="false" customHeight="false" outlineLevel="0" collapsed="false">
      <c r="A972" s="41" t="s">
        <v>1150</v>
      </c>
      <c r="B972" s="41" t="s">
        <v>189</v>
      </c>
      <c r="C972" s="41" t="s">
        <v>86</v>
      </c>
      <c r="D972" s="41" t="s">
        <v>104</v>
      </c>
      <c r="E972" s="41" t="s">
        <v>102</v>
      </c>
      <c r="F972" s="41" t="s">
        <v>76</v>
      </c>
      <c r="G972" s="42" t="n">
        <v>84.63</v>
      </c>
      <c r="H972" s="41" t="n">
        <v>10</v>
      </c>
      <c r="I972" s="42" t="n">
        <v>42.315</v>
      </c>
      <c r="J972" s="42" t="n">
        <v>888.615</v>
      </c>
      <c r="K972" s="43" t="n">
        <v>43466</v>
      </c>
      <c r="L972" s="44" t="n">
        <v>0.483333333333333</v>
      </c>
      <c r="M972" s="41" t="s">
        <v>99</v>
      </c>
      <c r="N972" s="42" t="n">
        <v>846.3</v>
      </c>
      <c r="O972" s="42" t="n">
        <v>42.315</v>
      </c>
      <c r="P972" s="45" t="n">
        <v>9</v>
      </c>
      <c r="Q972" s="41" t="str">
        <f aca="false">CHOOSE(MONTH(K972),"Jan","Feb","Mar","Apr","May","Jun","Jul","Aug","Sep","Oct","Nov","Dec")</f>
        <v>Jan</v>
      </c>
      <c r="R972" s="41" t="n">
        <f aca="false">INT((K972-setMinDate)/7)+1</f>
        <v>1</v>
      </c>
      <c r="S972" s="41" t="n">
        <f aca="false">HOUR(L972)</f>
        <v>11</v>
      </c>
      <c r="T972" s="41" t="str">
        <f aca="false">IF(S972&lt;setMorningEnd,"Morning",IF(S972&lt;setAfternoonEnd,"Afternoon","Evening"))</f>
        <v>Morning</v>
      </c>
      <c r="U972" s="41" t="str">
        <f aca="false">IF(J972&gt;=setLarge,"Large",IF(J972&gt;=setMedium,"Medium","Small"))</f>
        <v>Large</v>
      </c>
      <c r="V972" s="41" t="str">
        <f aca="false">IF(P972&gt;=setExc,"Excellent",IF(P972&gt;=setGood,"Good",IF(P972&gt;=setAvg,"Average","Poor")))</f>
        <v>Excellent</v>
      </c>
    </row>
    <row r="973" customFormat="false" ht="15" hidden="false" customHeight="false" outlineLevel="0" collapsed="false">
      <c r="A973" s="41" t="s">
        <v>1151</v>
      </c>
      <c r="B973" s="41" t="s">
        <v>189</v>
      </c>
      <c r="C973" s="41" t="s">
        <v>86</v>
      </c>
      <c r="D973" s="41" t="s">
        <v>104</v>
      </c>
      <c r="E973" s="41" t="s">
        <v>103</v>
      </c>
      <c r="F973" s="41" t="s">
        <v>80</v>
      </c>
      <c r="G973" s="42" t="n">
        <v>36.91</v>
      </c>
      <c r="H973" s="41" t="n">
        <v>7</v>
      </c>
      <c r="I973" s="42" t="n">
        <v>12.9185</v>
      </c>
      <c r="J973" s="42" t="n">
        <v>271.2885</v>
      </c>
      <c r="K973" s="43" t="n">
        <v>43506</v>
      </c>
      <c r="L973" s="44" t="n">
        <v>0.577083333333333</v>
      </c>
      <c r="M973" s="41" t="s">
        <v>98</v>
      </c>
      <c r="N973" s="42" t="n">
        <v>258.37</v>
      </c>
      <c r="O973" s="42" t="n">
        <v>12.9185</v>
      </c>
      <c r="P973" s="45" t="n">
        <v>6.7</v>
      </c>
      <c r="Q973" s="41" t="str">
        <f aca="false">CHOOSE(MONTH(K973),"Jan","Feb","Mar","Apr","May","Jun","Jul","Aug","Sep","Oct","Nov","Dec")</f>
        <v>Feb</v>
      </c>
      <c r="R973" s="41" t="n">
        <f aca="false">INT((K973-setMinDate)/7)+1</f>
        <v>6</v>
      </c>
      <c r="S973" s="41" t="n">
        <f aca="false">HOUR(L973)</f>
        <v>13</v>
      </c>
      <c r="T973" s="41" t="str">
        <f aca="false">IF(S973&lt;setMorningEnd,"Morning",IF(S973&lt;setAfternoonEnd,"Afternoon","Evening"))</f>
        <v>Afternoon</v>
      </c>
      <c r="U973" s="41" t="str">
        <f aca="false">IF(J973&gt;=setLarge,"Large",IF(J973&gt;=setMedium,"Medium","Small"))</f>
        <v>Medium</v>
      </c>
      <c r="V973" s="41" t="str">
        <f aca="false">IF(P973&gt;=setExc,"Excellent",IF(P973&gt;=setGood,"Good",IF(P973&gt;=setAvg,"Average","Poor")))</f>
        <v>Average</v>
      </c>
    </row>
    <row r="974" customFormat="false" ht="15" hidden="false" customHeight="false" outlineLevel="0" collapsed="false">
      <c r="A974" s="41" t="s">
        <v>1152</v>
      </c>
      <c r="B974" s="41" t="s">
        <v>189</v>
      </c>
      <c r="C974" s="41" t="s">
        <v>86</v>
      </c>
      <c r="D974" s="41" t="s">
        <v>105</v>
      </c>
      <c r="E974" s="41" t="s">
        <v>103</v>
      </c>
      <c r="F974" s="41" t="s">
        <v>78</v>
      </c>
      <c r="G974" s="42" t="n">
        <v>87.08</v>
      </c>
      <c r="H974" s="41" t="n">
        <v>7</v>
      </c>
      <c r="I974" s="42" t="n">
        <v>30.478</v>
      </c>
      <c r="J974" s="42" t="n">
        <v>640.038</v>
      </c>
      <c r="K974" s="43" t="n">
        <v>43491</v>
      </c>
      <c r="L974" s="44" t="n">
        <v>0.636805555555556</v>
      </c>
      <c r="M974" s="41" t="s">
        <v>97</v>
      </c>
      <c r="N974" s="42" t="n">
        <v>609.56</v>
      </c>
      <c r="O974" s="42" t="n">
        <v>30.478</v>
      </c>
      <c r="P974" s="45" t="n">
        <v>5.5</v>
      </c>
      <c r="Q974" s="41" t="str">
        <f aca="false">CHOOSE(MONTH(K974),"Jan","Feb","Mar","Apr","May","Jun","Jul","Aug","Sep","Oct","Nov","Dec")</f>
        <v>Jan</v>
      </c>
      <c r="R974" s="41" t="n">
        <f aca="false">INT((K974-setMinDate)/7)+1</f>
        <v>4</v>
      </c>
      <c r="S974" s="41" t="n">
        <f aca="false">HOUR(L974)</f>
        <v>15</v>
      </c>
      <c r="T974" s="41" t="str">
        <f aca="false">IF(S974&lt;setMorningEnd,"Morning",IF(S974&lt;setAfternoonEnd,"Afternoon","Evening"))</f>
        <v>Afternoon</v>
      </c>
      <c r="U974" s="41" t="str">
        <f aca="false">IF(J974&gt;=setLarge,"Large",IF(J974&gt;=setMedium,"Medium","Small"))</f>
        <v>Large</v>
      </c>
      <c r="V974" s="41" t="str">
        <f aca="false">IF(P974&gt;=setExc,"Excellent",IF(P974&gt;=setGood,"Good",IF(P974&gt;=setAvg,"Average","Poor")))</f>
        <v>Average</v>
      </c>
    </row>
    <row r="975" customFormat="false" ht="15" hidden="false" customHeight="false" outlineLevel="0" collapsed="false">
      <c r="A975" s="41" t="s">
        <v>1153</v>
      </c>
      <c r="B975" s="41" t="s">
        <v>178</v>
      </c>
      <c r="C975" s="41" t="s">
        <v>85</v>
      </c>
      <c r="D975" s="41" t="s">
        <v>105</v>
      </c>
      <c r="E975" s="41" t="s">
        <v>103</v>
      </c>
      <c r="F975" s="41" t="s">
        <v>80</v>
      </c>
      <c r="G975" s="42" t="n">
        <v>80.08</v>
      </c>
      <c r="H975" s="41" t="n">
        <v>3</v>
      </c>
      <c r="I975" s="42" t="n">
        <v>12.012</v>
      </c>
      <c r="J975" s="42" t="n">
        <v>252.252</v>
      </c>
      <c r="K975" s="43" t="n">
        <v>43507</v>
      </c>
      <c r="L975" s="44" t="n">
        <v>0.645138888888889</v>
      </c>
      <c r="M975" s="41" t="s">
        <v>97</v>
      </c>
      <c r="N975" s="42" t="n">
        <v>240.24</v>
      </c>
      <c r="O975" s="42" t="n">
        <v>12.012</v>
      </c>
      <c r="P975" s="45" t="n">
        <v>5.4</v>
      </c>
      <c r="Q975" s="41" t="str">
        <f aca="false">CHOOSE(MONTH(K975),"Jan","Feb","Mar","Apr","May","Jun","Jul","Aug","Sep","Oct","Nov","Dec")</f>
        <v>Feb</v>
      </c>
      <c r="R975" s="41" t="n">
        <f aca="false">INT((K975-setMinDate)/7)+1</f>
        <v>6</v>
      </c>
      <c r="S975" s="41" t="n">
        <f aca="false">HOUR(L975)</f>
        <v>15</v>
      </c>
      <c r="T975" s="41" t="str">
        <f aca="false">IF(S975&lt;setMorningEnd,"Morning",IF(S975&lt;setAfternoonEnd,"Afternoon","Evening"))</f>
        <v>Afternoon</v>
      </c>
      <c r="U975" s="41" t="str">
        <f aca="false">IF(J975&gt;=setLarge,"Large",IF(J975&gt;=setMedium,"Medium","Small"))</f>
        <v>Medium</v>
      </c>
      <c r="V975" s="41" t="str">
        <f aca="false">IF(P975&gt;=setExc,"Excellent",IF(P975&gt;=setGood,"Good",IF(P975&gt;=setAvg,"Average","Poor")))</f>
        <v>Average</v>
      </c>
    </row>
    <row r="976" customFormat="false" ht="15" hidden="false" customHeight="false" outlineLevel="0" collapsed="false">
      <c r="A976" s="41" t="s">
        <v>1154</v>
      </c>
      <c r="B976" s="41" t="s">
        <v>180</v>
      </c>
      <c r="C976" s="41" t="s">
        <v>87</v>
      </c>
      <c r="D976" s="41" t="s">
        <v>105</v>
      </c>
      <c r="E976" s="41" t="s">
        <v>103</v>
      </c>
      <c r="F976" s="41" t="s">
        <v>79</v>
      </c>
      <c r="G976" s="42" t="n">
        <v>86.13</v>
      </c>
      <c r="H976" s="41" t="n">
        <v>2</v>
      </c>
      <c r="I976" s="42" t="n">
        <v>8.613</v>
      </c>
      <c r="J976" s="42" t="n">
        <v>180.873</v>
      </c>
      <c r="K976" s="43" t="n">
        <v>43503</v>
      </c>
      <c r="L976" s="44" t="n">
        <v>0.749305555555556</v>
      </c>
      <c r="M976" s="41" t="s">
        <v>97</v>
      </c>
      <c r="N976" s="42" t="n">
        <v>172.26</v>
      </c>
      <c r="O976" s="42" t="n">
        <v>8.613</v>
      </c>
      <c r="P976" s="45" t="n">
        <v>8.2</v>
      </c>
      <c r="Q976" s="41" t="str">
        <f aca="false">CHOOSE(MONTH(K976),"Jan","Feb","Mar","Apr","May","Jun","Jul","Aug","Sep","Oct","Nov","Dec")</f>
        <v>Feb</v>
      </c>
      <c r="R976" s="41" t="n">
        <f aca="false">INT((K976-setMinDate)/7)+1</f>
        <v>6</v>
      </c>
      <c r="S976" s="41" t="n">
        <f aca="false">HOUR(L976)</f>
        <v>17</v>
      </c>
      <c r="T976" s="41" t="str">
        <f aca="false">IF(S976&lt;setMorningEnd,"Morning",IF(S976&lt;setAfternoonEnd,"Afternoon","Evening"))</f>
        <v>Evening</v>
      </c>
      <c r="U976" s="41" t="str">
        <f aca="false">IF(J976&gt;=setLarge,"Large",IF(J976&gt;=setMedium,"Medium","Small"))</f>
        <v>Small</v>
      </c>
      <c r="V976" s="41" t="str">
        <f aca="false">IF(P976&gt;=setExc,"Excellent",IF(P976&gt;=setGood,"Good",IF(P976&gt;=setAvg,"Average","Poor")))</f>
        <v>Good</v>
      </c>
    </row>
    <row r="977" customFormat="false" ht="15" hidden="false" customHeight="false" outlineLevel="0" collapsed="false">
      <c r="A977" s="41" t="s">
        <v>1155</v>
      </c>
      <c r="B977" s="41" t="s">
        <v>189</v>
      </c>
      <c r="C977" s="41" t="s">
        <v>86</v>
      </c>
      <c r="D977" s="41" t="s">
        <v>104</v>
      </c>
      <c r="E977" s="41" t="s">
        <v>103</v>
      </c>
      <c r="F977" s="41" t="s">
        <v>79</v>
      </c>
      <c r="G977" s="42" t="n">
        <v>49.92</v>
      </c>
      <c r="H977" s="41" t="n">
        <v>2</v>
      </c>
      <c r="I977" s="42" t="n">
        <v>4.992</v>
      </c>
      <c r="J977" s="42" t="n">
        <v>104.832</v>
      </c>
      <c r="K977" s="43" t="n">
        <v>43530</v>
      </c>
      <c r="L977" s="44" t="n">
        <v>0.496527777777778</v>
      </c>
      <c r="M977" s="41" t="s">
        <v>99</v>
      </c>
      <c r="N977" s="42" t="n">
        <v>99.84</v>
      </c>
      <c r="O977" s="42" t="n">
        <v>4.992</v>
      </c>
      <c r="P977" s="45" t="n">
        <v>7</v>
      </c>
      <c r="Q977" s="41" t="str">
        <f aca="false">CHOOSE(MONTH(K977),"Jan","Feb","Mar","Apr","May","Jun","Jul","Aug","Sep","Oct","Nov","Dec")</f>
        <v>Mar</v>
      </c>
      <c r="R977" s="41" t="n">
        <f aca="false">INT((K977-setMinDate)/7)+1</f>
        <v>10</v>
      </c>
      <c r="S977" s="41" t="n">
        <f aca="false">HOUR(L977)</f>
        <v>11</v>
      </c>
      <c r="T977" s="41" t="str">
        <f aca="false">IF(S977&lt;setMorningEnd,"Morning",IF(S977&lt;setAfternoonEnd,"Afternoon","Evening"))</f>
        <v>Morning</v>
      </c>
      <c r="U977" s="41" t="str">
        <f aca="false">IF(J977&gt;=setLarge,"Large",IF(J977&gt;=setMedium,"Medium","Small"))</f>
        <v>Small</v>
      </c>
      <c r="V977" s="41" t="str">
        <f aca="false">IF(P977&gt;=setExc,"Excellent",IF(P977&gt;=setGood,"Good",IF(P977&gt;=setAvg,"Average","Poor")))</f>
        <v>Good</v>
      </c>
    </row>
    <row r="978" customFormat="false" ht="15" hidden="false" customHeight="false" outlineLevel="0" collapsed="false">
      <c r="A978" s="41" t="s">
        <v>1156</v>
      </c>
      <c r="B978" s="41" t="s">
        <v>178</v>
      </c>
      <c r="C978" s="41" t="s">
        <v>85</v>
      </c>
      <c r="D978" s="41" t="s">
        <v>105</v>
      </c>
      <c r="E978" s="41" t="s">
        <v>102</v>
      </c>
      <c r="F978" s="41" t="s">
        <v>76</v>
      </c>
      <c r="G978" s="42" t="n">
        <v>74.66</v>
      </c>
      <c r="H978" s="41" t="n">
        <v>4</v>
      </c>
      <c r="I978" s="42" t="n">
        <v>14.932</v>
      </c>
      <c r="J978" s="42" t="n">
        <v>313.572</v>
      </c>
      <c r="K978" s="43" t="n">
        <v>43528</v>
      </c>
      <c r="L978" s="44" t="n">
        <v>0.44375</v>
      </c>
      <c r="M978" s="41" t="s">
        <v>97</v>
      </c>
      <c r="N978" s="42" t="n">
        <v>298.64</v>
      </c>
      <c r="O978" s="42" t="n">
        <v>14.932</v>
      </c>
      <c r="P978" s="45" t="n">
        <v>8.5</v>
      </c>
      <c r="Q978" s="41" t="str">
        <f aca="false">CHOOSE(MONTH(K978),"Jan","Feb","Mar","Apr","May","Jun","Jul","Aug","Sep","Oct","Nov","Dec")</f>
        <v>Mar</v>
      </c>
      <c r="R978" s="41" t="n">
        <f aca="false">INT((K978-setMinDate)/7)+1</f>
        <v>9</v>
      </c>
      <c r="S978" s="41" t="n">
        <f aca="false">HOUR(L978)</f>
        <v>10</v>
      </c>
      <c r="T978" s="41" t="str">
        <f aca="false">IF(S978&lt;setMorningEnd,"Morning",IF(S978&lt;setAfternoonEnd,"Afternoon","Evening"))</f>
        <v>Morning</v>
      </c>
      <c r="U978" s="41" t="str">
        <f aca="false">IF(J978&gt;=setLarge,"Large",IF(J978&gt;=setMedium,"Medium","Small"))</f>
        <v>Medium</v>
      </c>
      <c r="V978" s="41" t="str">
        <f aca="false">IF(P978&gt;=setExc,"Excellent",IF(P978&gt;=setGood,"Good",IF(P978&gt;=setAvg,"Average","Poor")))</f>
        <v>Good</v>
      </c>
    </row>
    <row r="979" customFormat="false" ht="15" hidden="false" customHeight="false" outlineLevel="0" collapsed="false">
      <c r="A979" s="41" t="s">
        <v>1157</v>
      </c>
      <c r="B979" s="41" t="s">
        <v>189</v>
      </c>
      <c r="C979" s="41" t="s">
        <v>86</v>
      </c>
      <c r="D979" s="41" t="s">
        <v>104</v>
      </c>
      <c r="E979" s="41" t="s">
        <v>103</v>
      </c>
      <c r="F979" s="41" t="s">
        <v>76</v>
      </c>
      <c r="G979" s="42" t="n">
        <v>26.6</v>
      </c>
      <c r="H979" s="41" t="n">
        <v>6</v>
      </c>
      <c r="I979" s="42" t="n">
        <v>7.98</v>
      </c>
      <c r="J979" s="42" t="n">
        <v>167.58</v>
      </c>
      <c r="K979" s="43" t="n">
        <v>43522</v>
      </c>
      <c r="L979" s="44" t="n">
        <v>0.631944444444444</v>
      </c>
      <c r="M979" s="41" t="s">
        <v>98</v>
      </c>
      <c r="N979" s="42" t="n">
        <v>159.6</v>
      </c>
      <c r="O979" s="42" t="n">
        <v>7.98</v>
      </c>
      <c r="P979" s="45" t="n">
        <v>4.9</v>
      </c>
      <c r="Q979" s="41" t="str">
        <f aca="false">CHOOSE(MONTH(K979),"Jan","Feb","Mar","Apr","May","Jun","Jul","Aug","Sep","Oct","Nov","Dec")</f>
        <v>Feb</v>
      </c>
      <c r="R979" s="41" t="n">
        <f aca="false">INT((K979-setMinDate)/7)+1</f>
        <v>9</v>
      </c>
      <c r="S979" s="41" t="n">
        <f aca="false">HOUR(L979)</f>
        <v>15</v>
      </c>
      <c r="T979" s="41" t="str">
        <f aca="false">IF(S979&lt;setMorningEnd,"Morning",IF(S979&lt;setAfternoonEnd,"Afternoon","Evening"))</f>
        <v>Afternoon</v>
      </c>
      <c r="U979" s="41" t="str">
        <f aca="false">IF(J979&gt;=setLarge,"Large",IF(J979&gt;=setMedium,"Medium","Small"))</f>
        <v>Small</v>
      </c>
      <c r="V979" s="41" t="str">
        <f aca="false">IF(P979&gt;=setExc,"Excellent",IF(P979&gt;=setGood,"Good",IF(P979&gt;=setAvg,"Average","Poor")))</f>
        <v>Poor</v>
      </c>
    </row>
    <row r="980" customFormat="false" ht="15" hidden="false" customHeight="false" outlineLevel="0" collapsed="false">
      <c r="A980" s="41" t="s">
        <v>1158</v>
      </c>
      <c r="B980" s="41" t="s">
        <v>189</v>
      </c>
      <c r="C980" s="41" t="s">
        <v>86</v>
      </c>
      <c r="D980" s="41" t="s">
        <v>105</v>
      </c>
      <c r="E980" s="41" t="s">
        <v>102</v>
      </c>
      <c r="F980" s="41" t="s">
        <v>78</v>
      </c>
      <c r="G980" s="42" t="n">
        <v>25.45</v>
      </c>
      <c r="H980" s="41" t="n">
        <v>1</v>
      </c>
      <c r="I980" s="42" t="n">
        <v>1.2725</v>
      </c>
      <c r="J980" s="42" t="n">
        <v>26.7225</v>
      </c>
      <c r="K980" s="43" t="n">
        <v>43534</v>
      </c>
      <c r="L980" s="44" t="n">
        <v>0.756944444444444</v>
      </c>
      <c r="M980" s="41" t="s">
        <v>99</v>
      </c>
      <c r="N980" s="42" t="n">
        <v>25.45</v>
      </c>
      <c r="O980" s="42" t="n">
        <v>1.2725</v>
      </c>
      <c r="P980" s="45" t="n">
        <v>5.1</v>
      </c>
      <c r="Q980" s="41" t="str">
        <f aca="false">CHOOSE(MONTH(K980),"Jan","Feb","Mar","Apr","May","Jun","Jul","Aug","Sep","Oct","Nov","Dec")</f>
        <v>Mar</v>
      </c>
      <c r="R980" s="41" t="n">
        <f aca="false">INT((K980-setMinDate)/7)+1</f>
        <v>10</v>
      </c>
      <c r="S980" s="41" t="n">
        <f aca="false">HOUR(L980)</f>
        <v>18</v>
      </c>
      <c r="T980" s="41" t="str">
        <f aca="false">IF(S980&lt;setMorningEnd,"Morning",IF(S980&lt;setAfternoonEnd,"Afternoon","Evening"))</f>
        <v>Evening</v>
      </c>
      <c r="U980" s="41" t="str">
        <f aca="false">IF(J980&gt;=setLarge,"Large",IF(J980&gt;=setMedium,"Medium","Small"))</f>
        <v>Small</v>
      </c>
      <c r="V980" s="41" t="str">
        <f aca="false">IF(P980&gt;=setExc,"Excellent",IF(P980&gt;=setGood,"Good",IF(P980&gt;=setAvg,"Average","Poor")))</f>
        <v>Average</v>
      </c>
    </row>
    <row r="981" customFormat="false" ht="15" hidden="false" customHeight="false" outlineLevel="0" collapsed="false">
      <c r="A981" s="41" t="s">
        <v>1159</v>
      </c>
      <c r="B981" s="41" t="s">
        <v>189</v>
      </c>
      <c r="C981" s="41" t="s">
        <v>86</v>
      </c>
      <c r="D981" s="41" t="s">
        <v>105</v>
      </c>
      <c r="E981" s="41" t="s">
        <v>102</v>
      </c>
      <c r="F981" s="41" t="s">
        <v>76</v>
      </c>
      <c r="G981" s="42" t="n">
        <v>67.77</v>
      </c>
      <c r="H981" s="41" t="n">
        <v>1</v>
      </c>
      <c r="I981" s="42" t="n">
        <v>3.3885</v>
      </c>
      <c r="J981" s="42" t="n">
        <v>71.1585</v>
      </c>
      <c r="K981" s="43" t="n">
        <v>43500</v>
      </c>
      <c r="L981" s="44" t="n">
        <v>0.863194444444445</v>
      </c>
      <c r="M981" s="41" t="s">
        <v>99</v>
      </c>
      <c r="N981" s="42" t="n">
        <v>67.77</v>
      </c>
      <c r="O981" s="42" t="n">
        <v>3.3885</v>
      </c>
      <c r="P981" s="45" t="n">
        <v>6.5</v>
      </c>
      <c r="Q981" s="41" t="str">
        <f aca="false">CHOOSE(MONTH(K981),"Jan","Feb","Mar","Apr","May","Jun","Jul","Aug","Sep","Oct","Nov","Dec")</f>
        <v>Feb</v>
      </c>
      <c r="R981" s="41" t="n">
        <f aca="false">INT((K981-setMinDate)/7)+1</f>
        <v>5</v>
      </c>
      <c r="S981" s="41" t="n">
        <f aca="false">HOUR(L981)</f>
        <v>20</v>
      </c>
      <c r="T981" s="41" t="str">
        <f aca="false">IF(S981&lt;setMorningEnd,"Morning",IF(S981&lt;setAfternoonEnd,"Afternoon","Evening"))</f>
        <v>Evening</v>
      </c>
      <c r="U981" s="41" t="str">
        <f aca="false">IF(J981&gt;=setLarge,"Large",IF(J981&gt;=setMedium,"Medium","Small"))</f>
        <v>Small</v>
      </c>
      <c r="V981" s="41" t="str">
        <f aca="false">IF(P981&gt;=setExc,"Excellent",IF(P981&gt;=setGood,"Good",IF(P981&gt;=setAvg,"Average","Poor")))</f>
        <v>Average</v>
      </c>
    </row>
    <row r="982" customFormat="false" ht="15" hidden="false" customHeight="false" outlineLevel="0" collapsed="false">
      <c r="A982" s="41" t="s">
        <v>1160</v>
      </c>
      <c r="B982" s="41" t="s">
        <v>180</v>
      </c>
      <c r="C982" s="41" t="s">
        <v>87</v>
      </c>
      <c r="D982" s="41" t="s">
        <v>104</v>
      </c>
      <c r="E982" s="41" t="s">
        <v>103</v>
      </c>
      <c r="F982" s="41" t="s">
        <v>76</v>
      </c>
      <c r="G982" s="42" t="n">
        <v>59.59</v>
      </c>
      <c r="H982" s="41" t="n">
        <v>4</v>
      </c>
      <c r="I982" s="42" t="n">
        <v>11.918</v>
      </c>
      <c r="J982" s="42" t="n">
        <v>250.278</v>
      </c>
      <c r="K982" s="43" t="n">
        <v>43484</v>
      </c>
      <c r="L982" s="44" t="n">
        <v>0.531944444444444</v>
      </c>
      <c r="M982" s="41" t="s">
        <v>97</v>
      </c>
      <c r="N982" s="42" t="n">
        <v>238.36</v>
      </c>
      <c r="O982" s="42" t="n">
        <v>11.918</v>
      </c>
      <c r="P982" s="45" t="n">
        <v>9.8</v>
      </c>
      <c r="Q982" s="41" t="str">
        <f aca="false">CHOOSE(MONTH(K982),"Jan","Feb","Mar","Apr","May","Jun","Jul","Aug","Sep","Oct","Nov","Dec")</f>
        <v>Jan</v>
      </c>
      <c r="R982" s="41" t="n">
        <f aca="false">INT((K982-setMinDate)/7)+1</f>
        <v>3</v>
      </c>
      <c r="S982" s="41" t="n">
        <f aca="false">HOUR(L982)</f>
        <v>12</v>
      </c>
      <c r="T982" s="41" t="str">
        <f aca="false">IF(S982&lt;setMorningEnd,"Morning",IF(S982&lt;setAfternoonEnd,"Afternoon","Evening"))</f>
        <v>Afternoon</v>
      </c>
      <c r="U982" s="41" t="str">
        <f aca="false">IF(J982&gt;=setLarge,"Large",IF(J982&gt;=setMedium,"Medium","Small"))</f>
        <v>Medium</v>
      </c>
      <c r="V982" s="41" t="str">
        <f aca="false">IF(P982&gt;=setExc,"Excellent",IF(P982&gt;=setGood,"Good",IF(P982&gt;=setAvg,"Average","Poor")))</f>
        <v>Excellent</v>
      </c>
    </row>
    <row r="983" customFormat="false" ht="15" hidden="false" customHeight="false" outlineLevel="0" collapsed="false">
      <c r="A983" s="41" t="s">
        <v>1161</v>
      </c>
      <c r="B983" s="41" t="s">
        <v>178</v>
      </c>
      <c r="C983" s="41" t="s">
        <v>85</v>
      </c>
      <c r="D983" s="41" t="s">
        <v>105</v>
      </c>
      <c r="E983" s="41" t="s">
        <v>103</v>
      </c>
      <c r="F983" s="41" t="s">
        <v>81</v>
      </c>
      <c r="G983" s="42" t="n">
        <v>58.15</v>
      </c>
      <c r="H983" s="41" t="n">
        <v>4</v>
      </c>
      <c r="I983" s="42" t="n">
        <v>11.63</v>
      </c>
      <c r="J983" s="42" t="n">
        <v>244.23</v>
      </c>
      <c r="K983" s="43" t="n">
        <v>43488</v>
      </c>
      <c r="L983" s="44" t="n">
        <v>0.738888888888889</v>
      </c>
      <c r="M983" s="41" t="s">
        <v>97</v>
      </c>
      <c r="N983" s="42" t="n">
        <v>232.6</v>
      </c>
      <c r="O983" s="42" t="n">
        <v>11.63</v>
      </c>
      <c r="P983" s="45" t="n">
        <v>8.4</v>
      </c>
      <c r="Q983" s="41" t="str">
        <f aca="false">CHOOSE(MONTH(K983),"Jan","Feb","Mar","Apr","May","Jun","Jul","Aug","Sep","Oct","Nov","Dec")</f>
        <v>Jan</v>
      </c>
      <c r="R983" s="41" t="n">
        <f aca="false">INT((K983-setMinDate)/7)+1</f>
        <v>4</v>
      </c>
      <c r="S983" s="41" t="n">
        <f aca="false">HOUR(L983)</f>
        <v>17</v>
      </c>
      <c r="T983" s="41" t="str">
        <f aca="false">IF(S983&lt;setMorningEnd,"Morning",IF(S983&lt;setAfternoonEnd,"Afternoon","Evening"))</f>
        <v>Evening</v>
      </c>
      <c r="U983" s="41" t="str">
        <f aca="false">IF(J983&gt;=setLarge,"Large",IF(J983&gt;=setMedium,"Medium","Small"))</f>
        <v>Small</v>
      </c>
      <c r="V983" s="41" t="str">
        <f aca="false">IF(P983&gt;=setExc,"Excellent",IF(P983&gt;=setGood,"Good",IF(P983&gt;=setAvg,"Average","Poor")))</f>
        <v>Good</v>
      </c>
    </row>
    <row r="984" customFormat="false" ht="15" hidden="false" customHeight="false" outlineLevel="0" collapsed="false">
      <c r="A984" s="41" t="s">
        <v>1162</v>
      </c>
      <c r="B984" s="41" t="s">
        <v>178</v>
      </c>
      <c r="C984" s="41" t="s">
        <v>85</v>
      </c>
      <c r="D984" s="41" t="s">
        <v>104</v>
      </c>
      <c r="E984" s="41" t="s">
        <v>102</v>
      </c>
      <c r="F984" s="41" t="s">
        <v>77</v>
      </c>
      <c r="G984" s="42" t="n">
        <v>97.48</v>
      </c>
      <c r="H984" s="41" t="n">
        <v>9</v>
      </c>
      <c r="I984" s="42" t="n">
        <v>43.866</v>
      </c>
      <c r="J984" s="42" t="n">
        <v>921.186</v>
      </c>
      <c r="K984" s="43" t="n">
        <v>43538</v>
      </c>
      <c r="L984" s="44" t="n">
        <v>0.596527777777778</v>
      </c>
      <c r="M984" s="41" t="s">
        <v>98</v>
      </c>
      <c r="N984" s="42" t="n">
        <v>877.32</v>
      </c>
      <c r="O984" s="42" t="n">
        <v>43.866</v>
      </c>
      <c r="P984" s="45" t="n">
        <v>7.4</v>
      </c>
      <c r="Q984" s="41" t="str">
        <f aca="false">CHOOSE(MONTH(K984),"Jan","Feb","Mar","Apr","May","Jun","Jul","Aug","Sep","Oct","Nov","Dec")</f>
        <v>Mar</v>
      </c>
      <c r="R984" s="41" t="n">
        <f aca="false">INT((K984-setMinDate)/7)+1</f>
        <v>11</v>
      </c>
      <c r="S984" s="41" t="n">
        <f aca="false">HOUR(L984)</f>
        <v>14</v>
      </c>
      <c r="T984" s="41" t="str">
        <f aca="false">IF(S984&lt;setMorningEnd,"Morning",IF(S984&lt;setAfternoonEnd,"Afternoon","Evening"))</f>
        <v>Afternoon</v>
      </c>
      <c r="U984" s="41" t="str">
        <f aca="false">IF(J984&gt;=setLarge,"Large",IF(J984&gt;=setMedium,"Medium","Small"))</f>
        <v>Large</v>
      </c>
      <c r="V984" s="41" t="str">
        <f aca="false">IF(P984&gt;=setExc,"Excellent",IF(P984&gt;=setGood,"Good",IF(P984&gt;=setAvg,"Average","Poor")))</f>
        <v>Good</v>
      </c>
    </row>
    <row r="985" customFormat="false" ht="15" hidden="false" customHeight="false" outlineLevel="0" collapsed="false">
      <c r="A985" s="41" t="s">
        <v>1163</v>
      </c>
      <c r="B985" s="41" t="s">
        <v>180</v>
      </c>
      <c r="C985" s="41" t="s">
        <v>87</v>
      </c>
      <c r="D985" s="41" t="s">
        <v>105</v>
      </c>
      <c r="E985" s="41" t="s">
        <v>103</v>
      </c>
      <c r="F985" s="41" t="s">
        <v>81</v>
      </c>
      <c r="G985" s="42" t="n">
        <v>99.96</v>
      </c>
      <c r="H985" s="41" t="n">
        <v>7</v>
      </c>
      <c r="I985" s="42" t="n">
        <v>34.986</v>
      </c>
      <c r="J985" s="42" t="n">
        <v>734.706</v>
      </c>
      <c r="K985" s="43" t="n">
        <v>43488</v>
      </c>
      <c r="L985" s="44" t="n">
        <v>0.439583333333333</v>
      </c>
      <c r="M985" s="41" t="s">
        <v>97</v>
      </c>
      <c r="N985" s="42" t="n">
        <v>699.72</v>
      </c>
      <c r="O985" s="42" t="n">
        <v>34.986</v>
      </c>
      <c r="P985" s="45" t="n">
        <v>6.1</v>
      </c>
      <c r="Q985" s="41" t="str">
        <f aca="false">CHOOSE(MONTH(K985),"Jan","Feb","Mar","Apr","May","Jun","Jul","Aug","Sep","Oct","Nov","Dec")</f>
        <v>Jan</v>
      </c>
      <c r="R985" s="41" t="n">
        <f aca="false">INT((K985-setMinDate)/7)+1</f>
        <v>4</v>
      </c>
      <c r="S985" s="41" t="n">
        <f aca="false">HOUR(L985)</f>
        <v>10</v>
      </c>
      <c r="T985" s="41" t="str">
        <f aca="false">IF(S985&lt;setMorningEnd,"Morning",IF(S985&lt;setAfternoonEnd,"Afternoon","Evening"))</f>
        <v>Morning</v>
      </c>
      <c r="U985" s="41" t="str">
        <f aca="false">IF(J985&gt;=setLarge,"Large",IF(J985&gt;=setMedium,"Medium","Small"))</f>
        <v>Large</v>
      </c>
      <c r="V985" s="41" t="str">
        <f aca="false">IF(P985&gt;=setExc,"Excellent",IF(P985&gt;=setGood,"Good",IF(P985&gt;=setAvg,"Average","Poor")))</f>
        <v>Average</v>
      </c>
    </row>
    <row r="986" customFormat="false" ht="15" hidden="false" customHeight="false" outlineLevel="0" collapsed="false">
      <c r="A986" s="41" t="s">
        <v>1164</v>
      </c>
      <c r="B986" s="41" t="s">
        <v>180</v>
      </c>
      <c r="C986" s="41" t="s">
        <v>87</v>
      </c>
      <c r="D986" s="41" t="s">
        <v>105</v>
      </c>
      <c r="E986" s="41" t="s">
        <v>103</v>
      </c>
      <c r="F986" s="41" t="s">
        <v>78</v>
      </c>
      <c r="G986" s="42" t="n">
        <v>96.37</v>
      </c>
      <c r="H986" s="41" t="n">
        <v>7</v>
      </c>
      <c r="I986" s="42" t="n">
        <v>33.7295</v>
      </c>
      <c r="J986" s="42" t="n">
        <v>708.3195</v>
      </c>
      <c r="K986" s="43" t="n">
        <v>43474</v>
      </c>
      <c r="L986" s="44" t="n">
        <v>0.486111111111111</v>
      </c>
      <c r="M986" s="41" t="s">
        <v>97</v>
      </c>
      <c r="N986" s="42" t="n">
        <v>674.59</v>
      </c>
      <c r="O986" s="42" t="n">
        <v>33.7295</v>
      </c>
      <c r="P986" s="45" t="n">
        <v>6</v>
      </c>
      <c r="Q986" s="41" t="str">
        <f aca="false">CHOOSE(MONTH(K986),"Jan","Feb","Mar","Apr","May","Jun","Jul","Aug","Sep","Oct","Nov","Dec")</f>
        <v>Jan</v>
      </c>
      <c r="R986" s="41" t="n">
        <f aca="false">INT((K986-setMinDate)/7)+1</f>
        <v>2</v>
      </c>
      <c r="S986" s="41" t="n">
        <f aca="false">HOUR(L986)</f>
        <v>11</v>
      </c>
      <c r="T986" s="41" t="str">
        <f aca="false">IF(S986&lt;setMorningEnd,"Morning",IF(S986&lt;setAfternoonEnd,"Afternoon","Evening"))</f>
        <v>Morning</v>
      </c>
      <c r="U986" s="41" t="str">
        <f aca="false">IF(J986&gt;=setLarge,"Large",IF(J986&gt;=setMedium,"Medium","Small"))</f>
        <v>Large</v>
      </c>
      <c r="V986" s="41" t="str">
        <f aca="false">IF(P986&gt;=setExc,"Excellent",IF(P986&gt;=setGood,"Good",IF(P986&gt;=setAvg,"Average","Poor")))</f>
        <v>Average</v>
      </c>
    </row>
    <row r="987" customFormat="false" ht="15" hidden="false" customHeight="false" outlineLevel="0" collapsed="false">
      <c r="A987" s="41" t="s">
        <v>1165</v>
      </c>
      <c r="B987" s="41" t="s">
        <v>189</v>
      </c>
      <c r="C987" s="41" t="s">
        <v>86</v>
      </c>
      <c r="D987" s="41" t="s">
        <v>105</v>
      </c>
      <c r="E987" s="41" t="s">
        <v>102</v>
      </c>
      <c r="F987" s="41" t="s">
        <v>79</v>
      </c>
      <c r="G987" s="42" t="n">
        <v>63.71</v>
      </c>
      <c r="H987" s="41" t="n">
        <v>5</v>
      </c>
      <c r="I987" s="42" t="n">
        <v>15.9275</v>
      </c>
      <c r="J987" s="42" t="n">
        <v>334.4775</v>
      </c>
      <c r="K987" s="43" t="n">
        <v>43503</v>
      </c>
      <c r="L987" s="44" t="n">
        <v>0.8125</v>
      </c>
      <c r="M987" s="41" t="s">
        <v>98</v>
      </c>
      <c r="N987" s="42" t="n">
        <v>318.55</v>
      </c>
      <c r="O987" s="42" t="n">
        <v>15.9275</v>
      </c>
      <c r="P987" s="45" t="n">
        <v>8.5</v>
      </c>
      <c r="Q987" s="41" t="str">
        <f aca="false">CHOOSE(MONTH(K987),"Jan","Feb","Mar","Apr","May","Jun","Jul","Aug","Sep","Oct","Nov","Dec")</f>
        <v>Feb</v>
      </c>
      <c r="R987" s="41" t="n">
        <f aca="false">INT((K987-setMinDate)/7)+1</f>
        <v>6</v>
      </c>
      <c r="S987" s="41" t="n">
        <f aca="false">HOUR(L987)</f>
        <v>19</v>
      </c>
      <c r="T987" s="41" t="str">
        <f aca="false">IF(S987&lt;setMorningEnd,"Morning",IF(S987&lt;setAfternoonEnd,"Afternoon","Evening"))</f>
        <v>Evening</v>
      </c>
      <c r="U987" s="41" t="str">
        <f aca="false">IF(J987&gt;=setLarge,"Large",IF(J987&gt;=setMedium,"Medium","Small"))</f>
        <v>Medium</v>
      </c>
      <c r="V987" s="41" t="str">
        <f aca="false">IF(P987&gt;=setExc,"Excellent",IF(P987&gt;=setGood,"Good",IF(P987&gt;=setAvg,"Average","Poor")))</f>
        <v>Good</v>
      </c>
    </row>
    <row r="988" customFormat="false" ht="15" hidden="false" customHeight="false" outlineLevel="0" collapsed="false">
      <c r="A988" s="41" t="s">
        <v>1166</v>
      </c>
      <c r="B988" s="41" t="s">
        <v>189</v>
      </c>
      <c r="C988" s="41" t="s">
        <v>86</v>
      </c>
      <c r="D988" s="41" t="s">
        <v>105</v>
      </c>
      <c r="E988" s="41" t="s">
        <v>102</v>
      </c>
      <c r="F988" s="41" t="s">
        <v>81</v>
      </c>
      <c r="G988" s="42" t="n">
        <v>14.76</v>
      </c>
      <c r="H988" s="41" t="n">
        <v>2</v>
      </c>
      <c r="I988" s="42" t="n">
        <v>1.476</v>
      </c>
      <c r="J988" s="42" t="n">
        <v>30.996</v>
      </c>
      <c r="K988" s="43" t="n">
        <v>43514</v>
      </c>
      <c r="L988" s="44" t="n">
        <v>0.6125</v>
      </c>
      <c r="M988" s="41" t="s">
        <v>98</v>
      </c>
      <c r="N988" s="42" t="n">
        <v>29.52</v>
      </c>
      <c r="O988" s="42" t="n">
        <v>1.476</v>
      </c>
      <c r="P988" s="45" t="n">
        <v>4.3</v>
      </c>
      <c r="Q988" s="41" t="str">
        <f aca="false">CHOOSE(MONTH(K988),"Jan","Feb","Mar","Apr","May","Jun","Jul","Aug","Sep","Oct","Nov","Dec")</f>
        <v>Feb</v>
      </c>
      <c r="R988" s="41" t="n">
        <f aca="false">INT((K988-setMinDate)/7)+1</f>
        <v>7</v>
      </c>
      <c r="S988" s="41" t="n">
        <f aca="false">HOUR(L988)</f>
        <v>14</v>
      </c>
      <c r="T988" s="41" t="str">
        <f aca="false">IF(S988&lt;setMorningEnd,"Morning",IF(S988&lt;setAfternoonEnd,"Afternoon","Evening"))</f>
        <v>Afternoon</v>
      </c>
      <c r="U988" s="41" t="str">
        <f aca="false">IF(J988&gt;=setLarge,"Large",IF(J988&gt;=setMedium,"Medium","Small"))</f>
        <v>Small</v>
      </c>
      <c r="V988" s="41" t="str">
        <f aca="false">IF(P988&gt;=setExc,"Excellent",IF(P988&gt;=setGood,"Good",IF(P988&gt;=setAvg,"Average","Poor")))</f>
        <v>Poor</v>
      </c>
    </row>
    <row r="989" customFormat="false" ht="15" hidden="false" customHeight="false" outlineLevel="0" collapsed="false">
      <c r="A989" s="41" t="s">
        <v>1167</v>
      </c>
      <c r="B989" s="41" t="s">
        <v>189</v>
      </c>
      <c r="C989" s="41" t="s">
        <v>86</v>
      </c>
      <c r="D989" s="41" t="s">
        <v>104</v>
      </c>
      <c r="E989" s="41" t="s">
        <v>103</v>
      </c>
      <c r="F989" s="41" t="s">
        <v>81</v>
      </c>
      <c r="G989" s="42" t="n">
        <v>62</v>
      </c>
      <c r="H989" s="41" t="n">
        <v>8</v>
      </c>
      <c r="I989" s="42" t="n">
        <v>24.8</v>
      </c>
      <c r="J989" s="42" t="n">
        <v>520.8</v>
      </c>
      <c r="K989" s="43" t="n">
        <v>43468</v>
      </c>
      <c r="L989" s="44" t="n">
        <v>0.797222222222222</v>
      </c>
      <c r="M989" s="41" t="s">
        <v>99</v>
      </c>
      <c r="N989" s="42" t="n">
        <v>496</v>
      </c>
      <c r="O989" s="42" t="n">
        <v>24.8</v>
      </c>
      <c r="P989" s="45" t="n">
        <v>6.2</v>
      </c>
      <c r="Q989" s="41" t="str">
        <f aca="false">CHOOSE(MONTH(K989),"Jan","Feb","Mar","Apr","May","Jun","Jul","Aug","Sep","Oct","Nov","Dec")</f>
        <v>Jan</v>
      </c>
      <c r="R989" s="41" t="n">
        <f aca="false">INT((K989-setMinDate)/7)+1</f>
        <v>1</v>
      </c>
      <c r="S989" s="41" t="n">
        <f aca="false">HOUR(L989)</f>
        <v>19</v>
      </c>
      <c r="T989" s="41" t="str">
        <f aca="false">IF(S989&lt;setMorningEnd,"Morning",IF(S989&lt;setAfternoonEnd,"Afternoon","Evening"))</f>
        <v>Evening</v>
      </c>
      <c r="U989" s="41" t="str">
        <f aca="false">IF(J989&gt;=setLarge,"Large",IF(J989&gt;=setMedium,"Medium","Small"))</f>
        <v>Medium</v>
      </c>
      <c r="V989" s="41" t="str">
        <f aca="false">IF(P989&gt;=setExc,"Excellent",IF(P989&gt;=setGood,"Good",IF(P989&gt;=setAvg,"Average","Poor")))</f>
        <v>Average</v>
      </c>
    </row>
    <row r="990" customFormat="false" ht="15" hidden="false" customHeight="false" outlineLevel="0" collapsed="false">
      <c r="A990" s="41" t="s">
        <v>1168</v>
      </c>
      <c r="B990" s="41" t="s">
        <v>180</v>
      </c>
      <c r="C990" s="41" t="s">
        <v>87</v>
      </c>
      <c r="D990" s="41" t="s">
        <v>104</v>
      </c>
      <c r="E990" s="41" t="s">
        <v>103</v>
      </c>
      <c r="F990" s="41" t="s">
        <v>78</v>
      </c>
      <c r="G990" s="42" t="n">
        <v>82.34</v>
      </c>
      <c r="H990" s="41" t="n">
        <v>10</v>
      </c>
      <c r="I990" s="42" t="n">
        <v>41.17</v>
      </c>
      <c r="J990" s="42" t="n">
        <v>864.57</v>
      </c>
      <c r="K990" s="43" t="n">
        <v>43553</v>
      </c>
      <c r="L990" s="44" t="n">
        <v>0.8</v>
      </c>
      <c r="M990" s="41" t="s">
        <v>98</v>
      </c>
      <c r="N990" s="42" t="n">
        <v>823.4</v>
      </c>
      <c r="O990" s="42" t="n">
        <v>41.17</v>
      </c>
      <c r="P990" s="45" t="n">
        <v>4.3</v>
      </c>
      <c r="Q990" s="41" t="str">
        <f aca="false">CHOOSE(MONTH(K990),"Jan","Feb","Mar","Apr","May","Jun","Jul","Aug","Sep","Oct","Nov","Dec")</f>
        <v>Mar</v>
      </c>
      <c r="R990" s="41" t="n">
        <f aca="false">INT((K990-setMinDate)/7)+1</f>
        <v>13</v>
      </c>
      <c r="S990" s="41" t="n">
        <f aca="false">HOUR(L990)</f>
        <v>19</v>
      </c>
      <c r="T990" s="41" t="str">
        <f aca="false">IF(S990&lt;setMorningEnd,"Morning",IF(S990&lt;setAfternoonEnd,"Afternoon","Evening"))</f>
        <v>Evening</v>
      </c>
      <c r="U990" s="41" t="str">
        <f aca="false">IF(J990&gt;=setLarge,"Large",IF(J990&gt;=setMedium,"Medium","Small"))</f>
        <v>Large</v>
      </c>
      <c r="V990" s="41" t="str">
        <f aca="false">IF(P990&gt;=setExc,"Excellent",IF(P990&gt;=setGood,"Good",IF(P990&gt;=setAvg,"Average","Poor")))</f>
        <v>Poor</v>
      </c>
    </row>
    <row r="991" customFormat="false" ht="15" hidden="false" customHeight="false" outlineLevel="0" collapsed="false">
      <c r="A991" s="41" t="s">
        <v>1169</v>
      </c>
      <c r="B991" s="41" t="s">
        <v>189</v>
      </c>
      <c r="C991" s="41" t="s">
        <v>86</v>
      </c>
      <c r="D991" s="41" t="s">
        <v>104</v>
      </c>
      <c r="E991" s="41" t="s">
        <v>103</v>
      </c>
      <c r="F991" s="41" t="s">
        <v>81</v>
      </c>
      <c r="G991" s="42" t="n">
        <v>75.37</v>
      </c>
      <c r="H991" s="41" t="n">
        <v>8</v>
      </c>
      <c r="I991" s="42" t="n">
        <v>30.148</v>
      </c>
      <c r="J991" s="42" t="n">
        <v>633.108</v>
      </c>
      <c r="K991" s="43" t="n">
        <v>43493</v>
      </c>
      <c r="L991" s="44" t="n">
        <v>0.656944444444444</v>
      </c>
      <c r="M991" s="41" t="s">
        <v>99</v>
      </c>
      <c r="N991" s="42" t="n">
        <v>602.96</v>
      </c>
      <c r="O991" s="42" t="n">
        <v>30.148</v>
      </c>
      <c r="P991" s="45" t="n">
        <v>8.4</v>
      </c>
      <c r="Q991" s="41" t="str">
        <f aca="false">CHOOSE(MONTH(K991),"Jan","Feb","Mar","Apr","May","Jun","Jul","Aug","Sep","Oct","Nov","Dec")</f>
        <v>Jan</v>
      </c>
      <c r="R991" s="41" t="n">
        <f aca="false">INT((K991-setMinDate)/7)+1</f>
        <v>4</v>
      </c>
      <c r="S991" s="41" t="n">
        <f aca="false">HOUR(L991)</f>
        <v>15</v>
      </c>
      <c r="T991" s="41" t="str">
        <f aca="false">IF(S991&lt;setMorningEnd,"Morning",IF(S991&lt;setAfternoonEnd,"Afternoon","Evening"))</f>
        <v>Afternoon</v>
      </c>
      <c r="U991" s="41" t="str">
        <f aca="false">IF(J991&gt;=setLarge,"Large",IF(J991&gt;=setMedium,"Medium","Small"))</f>
        <v>Large</v>
      </c>
      <c r="V991" s="41" t="str">
        <f aca="false">IF(P991&gt;=setExc,"Excellent",IF(P991&gt;=setGood,"Good",IF(P991&gt;=setAvg,"Average","Poor")))</f>
        <v>Good</v>
      </c>
    </row>
    <row r="992" customFormat="false" ht="15" hidden="false" customHeight="false" outlineLevel="0" collapsed="false">
      <c r="A992" s="41" t="s">
        <v>1170</v>
      </c>
      <c r="B992" s="41" t="s">
        <v>178</v>
      </c>
      <c r="C992" s="41" t="s">
        <v>85</v>
      </c>
      <c r="D992" s="41" t="s">
        <v>105</v>
      </c>
      <c r="E992" s="41" t="s">
        <v>102</v>
      </c>
      <c r="F992" s="41" t="s">
        <v>76</v>
      </c>
      <c r="G992" s="42" t="n">
        <v>56.56</v>
      </c>
      <c r="H992" s="41" t="n">
        <v>5</v>
      </c>
      <c r="I992" s="42" t="n">
        <v>14.14</v>
      </c>
      <c r="J992" s="42" t="n">
        <v>296.94</v>
      </c>
      <c r="K992" s="43" t="n">
        <v>43546</v>
      </c>
      <c r="L992" s="44" t="n">
        <v>0.795833333333333</v>
      </c>
      <c r="M992" s="41" t="s">
        <v>99</v>
      </c>
      <c r="N992" s="42" t="n">
        <v>282.8</v>
      </c>
      <c r="O992" s="42" t="n">
        <v>14.14</v>
      </c>
      <c r="P992" s="45" t="n">
        <v>4.5</v>
      </c>
      <c r="Q992" s="41" t="str">
        <f aca="false">CHOOSE(MONTH(K992),"Jan","Feb","Mar","Apr","May","Jun","Jul","Aug","Sep","Oct","Nov","Dec")</f>
        <v>Mar</v>
      </c>
      <c r="R992" s="41" t="n">
        <f aca="false">INT((K992-setMinDate)/7)+1</f>
        <v>12</v>
      </c>
      <c r="S992" s="41" t="n">
        <f aca="false">HOUR(L992)</f>
        <v>19</v>
      </c>
      <c r="T992" s="41" t="str">
        <f aca="false">IF(S992&lt;setMorningEnd,"Morning",IF(S992&lt;setAfternoonEnd,"Afternoon","Evening"))</f>
        <v>Evening</v>
      </c>
      <c r="U992" s="41" t="str">
        <f aca="false">IF(J992&gt;=setLarge,"Large",IF(J992&gt;=setMedium,"Medium","Small"))</f>
        <v>Medium</v>
      </c>
      <c r="V992" s="41" t="str">
        <f aca="false">IF(P992&gt;=setExc,"Excellent",IF(P992&gt;=setGood,"Good",IF(P992&gt;=setAvg,"Average","Poor")))</f>
        <v>Poor</v>
      </c>
    </row>
    <row r="993" customFormat="false" ht="15" hidden="false" customHeight="false" outlineLevel="0" collapsed="false">
      <c r="A993" s="41" t="s">
        <v>1171</v>
      </c>
      <c r="B993" s="41" t="s">
        <v>189</v>
      </c>
      <c r="C993" s="41" t="s">
        <v>86</v>
      </c>
      <c r="D993" s="41" t="s">
        <v>105</v>
      </c>
      <c r="E993" s="41" t="s">
        <v>102</v>
      </c>
      <c r="F993" s="41" t="s">
        <v>77</v>
      </c>
      <c r="G993" s="42" t="n">
        <v>76.6</v>
      </c>
      <c r="H993" s="41" t="n">
        <v>10</v>
      </c>
      <c r="I993" s="42" t="n">
        <v>38.3</v>
      </c>
      <c r="J993" s="42" t="n">
        <v>804.3</v>
      </c>
      <c r="K993" s="43" t="n">
        <v>43489</v>
      </c>
      <c r="L993" s="44" t="n">
        <v>0.756944444444444</v>
      </c>
      <c r="M993" s="41" t="s">
        <v>98</v>
      </c>
      <c r="N993" s="42" t="n">
        <v>766</v>
      </c>
      <c r="O993" s="42" t="n">
        <v>38.3</v>
      </c>
      <c r="P993" s="45" t="n">
        <v>6</v>
      </c>
      <c r="Q993" s="41" t="str">
        <f aca="false">CHOOSE(MONTH(K993),"Jan","Feb","Mar","Apr","May","Jun","Jul","Aug","Sep","Oct","Nov","Dec")</f>
        <v>Jan</v>
      </c>
      <c r="R993" s="41" t="n">
        <f aca="false">INT((K993-setMinDate)/7)+1</f>
        <v>4</v>
      </c>
      <c r="S993" s="41" t="n">
        <f aca="false">HOUR(L993)</f>
        <v>18</v>
      </c>
      <c r="T993" s="41" t="str">
        <f aca="false">IF(S993&lt;setMorningEnd,"Morning",IF(S993&lt;setAfternoonEnd,"Afternoon","Evening"))</f>
        <v>Evening</v>
      </c>
      <c r="U993" s="41" t="str">
        <f aca="false">IF(J993&gt;=setLarge,"Large",IF(J993&gt;=setMedium,"Medium","Small"))</f>
        <v>Large</v>
      </c>
      <c r="V993" s="41" t="str">
        <f aca="false">IF(P993&gt;=setExc,"Excellent",IF(P993&gt;=setGood,"Good",IF(P993&gt;=setAvg,"Average","Poor")))</f>
        <v>Average</v>
      </c>
    </row>
    <row r="994" customFormat="false" ht="15" hidden="false" customHeight="false" outlineLevel="0" collapsed="false">
      <c r="A994" s="41" t="s">
        <v>1172</v>
      </c>
      <c r="B994" s="41" t="s">
        <v>178</v>
      </c>
      <c r="C994" s="41" t="s">
        <v>85</v>
      </c>
      <c r="D994" s="41" t="s">
        <v>105</v>
      </c>
      <c r="E994" s="41" t="s">
        <v>103</v>
      </c>
      <c r="F994" s="41" t="s">
        <v>78</v>
      </c>
      <c r="G994" s="42" t="n">
        <v>58.03</v>
      </c>
      <c r="H994" s="41" t="n">
        <v>2</v>
      </c>
      <c r="I994" s="42" t="n">
        <v>5.803</v>
      </c>
      <c r="J994" s="42" t="n">
        <v>121.863</v>
      </c>
      <c r="K994" s="43" t="n">
        <v>43534</v>
      </c>
      <c r="L994" s="44" t="n">
        <v>0.865277777777778</v>
      </c>
      <c r="M994" s="41" t="s">
        <v>98</v>
      </c>
      <c r="N994" s="42" t="n">
        <v>116.06</v>
      </c>
      <c r="O994" s="42" t="n">
        <v>5.803</v>
      </c>
      <c r="P994" s="45" t="n">
        <v>8.8</v>
      </c>
      <c r="Q994" s="41" t="str">
        <f aca="false">CHOOSE(MONTH(K994),"Jan","Feb","Mar","Apr","May","Jun","Jul","Aug","Sep","Oct","Nov","Dec")</f>
        <v>Mar</v>
      </c>
      <c r="R994" s="41" t="n">
        <f aca="false">INT((K994-setMinDate)/7)+1</f>
        <v>10</v>
      </c>
      <c r="S994" s="41" t="n">
        <f aca="false">HOUR(L994)</f>
        <v>20</v>
      </c>
      <c r="T994" s="41" t="str">
        <f aca="false">IF(S994&lt;setMorningEnd,"Morning",IF(S994&lt;setAfternoonEnd,"Afternoon","Evening"))</f>
        <v>Evening</v>
      </c>
      <c r="U994" s="41" t="str">
        <f aca="false">IF(J994&gt;=setLarge,"Large",IF(J994&gt;=setMedium,"Medium","Small"))</f>
        <v>Small</v>
      </c>
      <c r="V994" s="41" t="str">
        <f aca="false">IF(P994&gt;=setExc,"Excellent",IF(P994&gt;=setGood,"Good",IF(P994&gt;=setAvg,"Average","Poor")))</f>
        <v>Good</v>
      </c>
    </row>
    <row r="995" customFormat="false" ht="15" hidden="false" customHeight="false" outlineLevel="0" collapsed="false">
      <c r="A995" s="41" t="s">
        <v>1173</v>
      </c>
      <c r="B995" s="41" t="s">
        <v>189</v>
      </c>
      <c r="C995" s="41" t="s">
        <v>86</v>
      </c>
      <c r="D995" s="41" t="s">
        <v>105</v>
      </c>
      <c r="E995" s="41" t="s">
        <v>103</v>
      </c>
      <c r="F995" s="41" t="s">
        <v>79</v>
      </c>
      <c r="G995" s="42" t="n">
        <v>17.49</v>
      </c>
      <c r="H995" s="41" t="n">
        <v>10</v>
      </c>
      <c r="I995" s="42" t="n">
        <v>8.745</v>
      </c>
      <c r="J995" s="42" t="n">
        <v>183.645</v>
      </c>
      <c r="K995" s="43" t="n">
        <v>43518</v>
      </c>
      <c r="L995" s="44" t="n">
        <v>0.774305555555556</v>
      </c>
      <c r="M995" s="41" t="s">
        <v>98</v>
      </c>
      <c r="N995" s="42" t="n">
        <v>174.9</v>
      </c>
      <c r="O995" s="42" t="n">
        <v>8.745</v>
      </c>
      <c r="P995" s="45" t="n">
        <v>6.6</v>
      </c>
      <c r="Q995" s="41" t="str">
        <f aca="false">CHOOSE(MONTH(K995),"Jan","Feb","Mar","Apr","May","Jun","Jul","Aug","Sep","Oct","Nov","Dec")</f>
        <v>Feb</v>
      </c>
      <c r="R995" s="41" t="n">
        <f aca="false">INT((K995-setMinDate)/7)+1</f>
        <v>8</v>
      </c>
      <c r="S995" s="41" t="n">
        <f aca="false">HOUR(L995)</f>
        <v>18</v>
      </c>
      <c r="T995" s="41" t="str">
        <f aca="false">IF(S995&lt;setMorningEnd,"Morning",IF(S995&lt;setAfternoonEnd,"Afternoon","Evening"))</f>
        <v>Evening</v>
      </c>
      <c r="U995" s="41" t="str">
        <f aca="false">IF(J995&gt;=setLarge,"Large",IF(J995&gt;=setMedium,"Medium","Small"))</f>
        <v>Small</v>
      </c>
      <c r="V995" s="41" t="str">
        <f aca="false">IF(P995&gt;=setExc,"Excellent",IF(P995&gt;=setGood,"Good",IF(P995&gt;=setAvg,"Average","Poor")))</f>
        <v>Average</v>
      </c>
    </row>
    <row r="996" customFormat="false" ht="15" hidden="false" customHeight="false" outlineLevel="0" collapsed="false">
      <c r="A996" s="41" t="s">
        <v>1174</v>
      </c>
      <c r="B996" s="41" t="s">
        <v>180</v>
      </c>
      <c r="C996" s="41" t="s">
        <v>87</v>
      </c>
      <c r="D996" s="41" t="s">
        <v>104</v>
      </c>
      <c r="E996" s="41" t="s">
        <v>102</v>
      </c>
      <c r="F996" s="41" t="s">
        <v>78</v>
      </c>
      <c r="G996" s="42" t="n">
        <v>60.95</v>
      </c>
      <c r="H996" s="41" t="n">
        <v>1</v>
      </c>
      <c r="I996" s="42" t="n">
        <v>3.0475</v>
      </c>
      <c r="J996" s="42" t="n">
        <v>63.9975</v>
      </c>
      <c r="K996" s="43" t="n">
        <v>43514</v>
      </c>
      <c r="L996" s="44" t="n">
        <v>0.486111111111111</v>
      </c>
      <c r="M996" s="41" t="s">
        <v>98</v>
      </c>
      <c r="N996" s="42" t="n">
        <v>60.95</v>
      </c>
      <c r="O996" s="42" t="n">
        <v>3.0475</v>
      </c>
      <c r="P996" s="45" t="n">
        <v>5.9</v>
      </c>
      <c r="Q996" s="41" t="str">
        <f aca="false">CHOOSE(MONTH(K996),"Jan","Feb","Mar","Apr","May","Jun","Jul","Aug","Sep","Oct","Nov","Dec")</f>
        <v>Feb</v>
      </c>
      <c r="R996" s="41" t="n">
        <f aca="false">INT((K996-setMinDate)/7)+1</f>
        <v>7</v>
      </c>
      <c r="S996" s="41" t="n">
        <f aca="false">HOUR(L996)</f>
        <v>11</v>
      </c>
      <c r="T996" s="41" t="str">
        <f aca="false">IF(S996&lt;setMorningEnd,"Morning",IF(S996&lt;setAfternoonEnd,"Afternoon","Evening"))</f>
        <v>Morning</v>
      </c>
      <c r="U996" s="41" t="str">
        <f aca="false">IF(J996&gt;=setLarge,"Large",IF(J996&gt;=setMedium,"Medium","Small"))</f>
        <v>Small</v>
      </c>
      <c r="V996" s="41" t="str">
        <f aca="false">IF(P996&gt;=setExc,"Excellent",IF(P996&gt;=setGood,"Good",IF(P996&gt;=setAvg,"Average","Poor")))</f>
        <v>Average</v>
      </c>
    </row>
    <row r="997" customFormat="false" ht="15" hidden="false" customHeight="false" outlineLevel="0" collapsed="false">
      <c r="A997" s="41" t="s">
        <v>1175</v>
      </c>
      <c r="B997" s="41" t="s">
        <v>180</v>
      </c>
      <c r="C997" s="41" t="s">
        <v>87</v>
      </c>
      <c r="D997" s="41" t="s">
        <v>105</v>
      </c>
      <c r="E997" s="41" t="s">
        <v>103</v>
      </c>
      <c r="F997" s="41" t="s">
        <v>81</v>
      </c>
      <c r="G997" s="42" t="n">
        <v>40.35</v>
      </c>
      <c r="H997" s="41" t="n">
        <v>1</v>
      </c>
      <c r="I997" s="42" t="n">
        <v>2.0175</v>
      </c>
      <c r="J997" s="42" t="n">
        <v>42.3675</v>
      </c>
      <c r="K997" s="43" t="n">
        <v>43494</v>
      </c>
      <c r="L997" s="44" t="n">
        <v>0.573611111111111</v>
      </c>
      <c r="M997" s="41" t="s">
        <v>98</v>
      </c>
      <c r="N997" s="42" t="n">
        <v>40.35</v>
      </c>
      <c r="O997" s="42" t="n">
        <v>2.0175</v>
      </c>
      <c r="P997" s="45" t="n">
        <v>6.2</v>
      </c>
      <c r="Q997" s="41" t="str">
        <f aca="false">CHOOSE(MONTH(K997),"Jan","Feb","Mar","Apr","May","Jun","Jul","Aug","Sep","Oct","Nov","Dec")</f>
        <v>Jan</v>
      </c>
      <c r="R997" s="41" t="n">
        <f aca="false">INT((K997-setMinDate)/7)+1</f>
        <v>5</v>
      </c>
      <c r="S997" s="41" t="n">
        <f aca="false">HOUR(L997)</f>
        <v>13</v>
      </c>
      <c r="T997" s="41" t="str">
        <f aca="false">IF(S997&lt;setMorningEnd,"Morning",IF(S997&lt;setAfternoonEnd,"Afternoon","Evening"))</f>
        <v>Afternoon</v>
      </c>
      <c r="U997" s="41" t="str">
        <f aca="false">IF(J997&gt;=setLarge,"Large",IF(J997&gt;=setMedium,"Medium","Small"))</f>
        <v>Small</v>
      </c>
      <c r="V997" s="41" t="str">
        <f aca="false">IF(P997&gt;=setExc,"Excellent",IF(P997&gt;=setGood,"Good",IF(P997&gt;=setAvg,"Average","Poor")))</f>
        <v>Average</v>
      </c>
    </row>
    <row r="998" customFormat="false" ht="15" hidden="false" customHeight="false" outlineLevel="0" collapsed="false">
      <c r="A998" s="41" t="s">
        <v>1176</v>
      </c>
      <c r="B998" s="41" t="s">
        <v>189</v>
      </c>
      <c r="C998" s="41" t="s">
        <v>86</v>
      </c>
      <c r="D998" s="41" t="s">
        <v>105</v>
      </c>
      <c r="E998" s="41" t="s">
        <v>102</v>
      </c>
      <c r="F998" s="41" t="s">
        <v>80</v>
      </c>
      <c r="G998" s="42" t="n">
        <v>97.38</v>
      </c>
      <c r="H998" s="41" t="n">
        <v>10</v>
      </c>
      <c r="I998" s="42" t="n">
        <v>48.69</v>
      </c>
      <c r="J998" s="42" t="n">
        <v>1022.49</v>
      </c>
      <c r="K998" s="43" t="n">
        <v>43526</v>
      </c>
      <c r="L998" s="44" t="n">
        <v>0.719444444444444</v>
      </c>
      <c r="M998" s="41" t="s">
        <v>98</v>
      </c>
      <c r="N998" s="42" t="n">
        <v>973.8</v>
      </c>
      <c r="O998" s="42" t="n">
        <v>48.69</v>
      </c>
      <c r="P998" s="45" t="n">
        <v>4.4</v>
      </c>
      <c r="Q998" s="41" t="str">
        <f aca="false">CHOOSE(MONTH(K998),"Jan","Feb","Mar","Apr","May","Jun","Jul","Aug","Sep","Oct","Nov","Dec")</f>
        <v>Mar</v>
      </c>
      <c r="R998" s="41" t="n">
        <f aca="false">INT((K998-setMinDate)/7)+1</f>
        <v>9</v>
      </c>
      <c r="S998" s="41" t="n">
        <f aca="false">HOUR(L998)</f>
        <v>17</v>
      </c>
      <c r="T998" s="41" t="str">
        <f aca="false">IF(S998&lt;setMorningEnd,"Morning",IF(S998&lt;setAfternoonEnd,"Afternoon","Evening"))</f>
        <v>Evening</v>
      </c>
      <c r="U998" s="41" t="str">
        <f aca="false">IF(J998&gt;=setLarge,"Large",IF(J998&gt;=setMedium,"Medium","Small"))</f>
        <v>Large</v>
      </c>
      <c r="V998" s="41" t="str">
        <f aca="false">IF(P998&gt;=setExc,"Excellent",IF(P998&gt;=setGood,"Good",IF(P998&gt;=setAvg,"Average","Poor")))</f>
        <v>Poor</v>
      </c>
    </row>
    <row r="999" customFormat="false" ht="15" hidden="false" customHeight="false" outlineLevel="0" collapsed="false">
      <c r="A999" s="41" t="s">
        <v>1177</v>
      </c>
      <c r="B999" s="41" t="s">
        <v>178</v>
      </c>
      <c r="C999" s="41" t="s">
        <v>85</v>
      </c>
      <c r="D999" s="41" t="s">
        <v>104</v>
      </c>
      <c r="E999" s="41" t="s">
        <v>103</v>
      </c>
      <c r="F999" s="41" t="s">
        <v>76</v>
      </c>
      <c r="G999" s="42" t="n">
        <v>31.84</v>
      </c>
      <c r="H999" s="41" t="n">
        <v>1</v>
      </c>
      <c r="I999" s="42" t="n">
        <v>1.592</v>
      </c>
      <c r="J999" s="42" t="n">
        <v>33.432</v>
      </c>
      <c r="K999" s="43" t="n">
        <v>43505</v>
      </c>
      <c r="L999" s="44" t="n">
        <v>0.556944444444445</v>
      </c>
      <c r="M999" s="41" t="s">
        <v>97</v>
      </c>
      <c r="N999" s="42" t="n">
        <v>31.84</v>
      </c>
      <c r="O999" s="42" t="n">
        <v>1.592</v>
      </c>
      <c r="P999" s="45" t="n">
        <v>7.7</v>
      </c>
      <c r="Q999" s="41" t="str">
        <f aca="false">CHOOSE(MONTH(K999),"Jan","Feb","Mar","Apr","May","Jun","Jul","Aug","Sep","Oct","Nov","Dec")</f>
        <v>Feb</v>
      </c>
      <c r="R999" s="41" t="n">
        <f aca="false">INT((K999-setMinDate)/7)+1</f>
        <v>6</v>
      </c>
      <c r="S999" s="41" t="n">
        <f aca="false">HOUR(L999)</f>
        <v>13</v>
      </c>
      <c r="T999" s="41" t="str">
        <f aca="false">IF(S999&lt;setMorningEnd,"Morning",IF(S999&lt;setAfternoonEnd,"Afternoon","Evening"))</f>
        <v>Afternoon</v>
      </c>
      <c r="U999" s="41" t="str">
        <f aca="false">IF(J999&gt;=setLarge,"Large",IF(J999&gt;=setMedium,"Medium","Small"))</f>
        <v>Small</v>
      </c>
      <c r="V999" s="41" t="str">
        <f aca="false">IF(P999&gt;=setExc,"Excellent",IF(P999&gt;=setGood,"Good",IF(P999&gt;=setAvg,"Average","Poor")))</f>
        <v>Good</v>
      </c>
    </row>
    <row r="1000" customFormat="false" ht="15" hidden="false" customHeight="false" outlineLevel="0" collapsed="false">
      <c r="A1000" s="41" t="s">
        <v>1178</v>
      </c>
      <c r="B1000" s="41" t="s">
        <v>178</v>
      </c>
      <c r="C1000" s="41" t="s">
        <v>85</v>
      </c>
      <c r="D1000" s="41" t="s">
        <v>105</v>
      </c>
      <c r="E1000" s="41" t="s">
        <v>103</v>
      </c>
      <c r="F1000" s="41" t="s">
        <v>80</v>
      </c>
      <c r="G1000" s="42" t="n">
        <v>65.82</v>
      </c>
      <c r="H1000" s="41" t="n">
        <v>1</v>
      </c>
      <c r="I1000" s="42" t="n">
        <v>3.291</v>
      </c>
      <c r="J1000" s="42" t="n">
        <v>69.111</v>
      </c>
      <c r="K1000" s="43" t="n">
        <v>43518</v>
      </c>
      <c r="L1000" s="44" t="n">
        <v>0.647916666666667</v>
      </c>
      <c r="M1000" s="41" t="s">
        <v>97</v>
      </c>
      <c r="N1000" s="42" t="n">
        <v>65.82</v>
      </c>
      <c r="O1000" s="42" t="n">
        <v>3.291</v>
      </c>
      <c r="P1000" s="45" t="n">
        <v>4.1</v>
      </c>
      <c r="Q1000" s="41" t="str">
        <f aca="false">CHOOSE(MONTH(K1000),"Jan","Feb","Mar","Apr","May","Jun","Jul","Aug","Sep","Oct","Nov","Dec")</f>
        <v>Feb</v>
      </c>
      <c r="R1000" s="41" t="n">
        <f aca="false">INT((K1000-setMinDate)/7)+1</f>
        <v>8</v>
      </c>
      <c r="S1000" s="41" t="n">
        <f aca="false">HOUR(L1000)</f>
        <v>15</v>
      </c>
      <c r="T1000" s="41" t="str">
        <f aca="false">IF(S1000&lt;setMorningEnd,"Morning",IF(S1000&lt;setAfternoonEnd,"Afternoon","Evening"))</f>
        <v>Afternoon</v>
      </c>
      <c r="U1000" s="41" t="str">
        <f aca="false">IF(J1000&gt;=setLarge,"Large",IF(J1000&gt;=setMedium,"Medium","Small"))</f>
        <v>Small</v>
      </c>
      <c r="V1000" s="41" t="str">
        <f aca="false">IF(P1000&gt;=setExc,"Excellent",IF(P1000&gt;=setGood,"Good",IF(P1000&gt;=setAvg,"Average","Poor")))</f>
        <v>Poor</v>
      </c>
    </row>
    <row r="1001" customFormat="false" ht="15" hidden="false" customHeight="false" outlineLevel="0" collapsed="false">
      <c r="A1001" s="41" t="s">
        <v>1179</v>
      </c>
      <c r="B1001" s="41" t="s">
        <v>178</v>
      </c>
      <c r="C1001" s="41" t="s">
        <v>85</v>
      </c>
      <c r="D1001" s="41" t="s">
        <v>104</v>
      </c>
      <c r="E1001" s="41" t="s">
        <v>102</v>
      </c>
      <c r="F1001" s="41" t="s">
        <v>79</v>
      </c>
      <c r="G1001" s="42" t="n">
        <v>88.34</v>
      </c>
      <c r="H1001" s="41" t="n">
        <v>7</v>
      </c>
      <c r="I1001" s="42" t="n">
        <v>30.919</v>
      </c>
      <c r="J1001" s="42" t="n">
        <v>649.299</v>
      </c>
      <c r="K1001" s="43" t="n">
        <v>43514</v>
      </c>
      <c r="L1001" s="44" t="n">
        <v>0.561111111111111</v>
      </c>
      <c r="M1001" s="41" t="s">
        <v>97</v>
      </c>
      <c r="N1001" s="42" t="n">
        <v>618.38</v>
      </c>
      <c r="O1001" s="42" t="n">
        <v>30.919</v>
      </c>
      <c r="P1001" s="45" t="n">
        <v>6.6</v>
      </c>
      <c r="Q1001" s="41" t="str">
        <f aca="false">CHOOSE(MONTH(K1001),"Jan","Feb","Mar","Apr","May","Jun","Jul","Aug","Sep","Oct","Nov","Dec")</f>
        <v>Feb</v>
      </c>
      <c r="R1001" s="41" t="n">
        <f aca="false">INT((K1001-setMinDate)/7)+1</f>
        <v>7</v>
      </c>
      <c r="S1001" s="41" t="n">
        <f aca="false">HOUR(L1001)</f>
        <v>13</v>
      </c>
      <c r="T1001" s="41" t="str">
        <f aca="false">IF(S1001&lt;setMorningEnd,"Morning",IF(S1001&lt;setAfternoonEnd,"Afternoon","Evening"))</f>
        <v>Afternoon</v>
      </c>
      <c r="U1001" s="41" t="str">
        <f aca="false">IF(J1001&gt;=setLarge,"Large",IF(J1001&gt;=setMedium,"Medium","Small"))</f>
        <v>Large</v>
      </c>
      <c r="V1001" s="41" t="str">
        <f aca="false">IF(P1001&gt;=setExc,"Excellent",IF(P1001&gt;=setGood,"Good",IF(P1001&gt;=setAvg,"Average","Poor")))</f>
        <v>Average</v>
      </c>
    </row>
  </sheetData>
  <conditionalFormatting sqref="V2:V1001">
    <cfRule type="cellIs" priority="2" operator="equal" aboveAverage="0" equalAverage="0" bottom="0" percent="0" rank="0" text="" dxfId="3">
      <formula>"Excellent"</formula>
    </cfRule>
    <cfRule type="cellIs" priority="3" operator="equal" aboveAverage="0" equalAverage="0" bottom="0" percent="0" rank="0" text="" dxfId="4">
      <formula>"Poor"</formula>
    </cfRule>
  </conditionalFormatting>
  <conditionalFormatting sqref="U2:U1001">
    <cfRule type="cellIs" priority="4" operator="equal" aboveAverage="0" equalAverage="0" bottom="0" percent="0" rank="0" text="" dxfId="12">
      <formula>"Large"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B"/>
    <pageSetUpPr fitToPage="false"/>
  </sheetPr>
  <dimension ref="A1:S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8"/>
  </cols>
  <sheetData>
    <row r="1" customFormat="false" ht="23.85" hidden="false" customHeight="false" outlineLevel="0" collapsed="false">
      <c r="A1" s="46" t="s">
        <v>167</v>
      </c>
      <c r="B1" s="46" t="s">
        <v>168</v>
      </c>
      <c r="C1" s="46" t="s">
        <v>84</v>
      </c>
      <c r="D1" s="46" t="s">
        <v>1180</v>
      </c>
      <c r="E1" s="46" t="s">
        <v>169</v>
      </c>
      <c r="F1" s="46" t="s">
        <v>1181</v>
      </c>
      <c r="G1" s="46" t="s">
        <v>1182</v>
      </c>
      <c r="H1" s="46" t="s">
        <v>124</v>
      </c>
      <c r="I1" s="46" t="s">
        <v>171</v>
      </c>
      <c r="J1" s="46" t="s">
        <v>82</v>
      </c>
      <c r="K1" s="46" t="s">
        <v>172</v>
      </c>
      <c r="L1" s="46" t="s">
        <v>173</v>
      </c>
      <c r="M1" s="46" t="s">
        <v>96</v>
      </c>
      <c r="N1" s="46" t="s">
        <v>1183</v>
      </c>
      <c r="O1" s="46" t="s">
        <v>1184</v>
      </c>
      <c r="P1" s="46" t="s">
        <v>1185</v>
      </c>
      <c r="Q1" s="46" t="s">
        <v>1186</v>
      </c>
      <c r="S1" s="2" t="s">
        <v>1187</v>
      </c>
    </row>
    <row r="2" customFormat="false" ht="15" hidden="false" customHeight="false" outlineLevel="0" collapsed="false">
      <c r="A2" s="41" t="s">
        <v>117</v>
      </c>
      <c r="B2" s="41" t="s">
        <v>178</v>
      </c>
      <c r="C2" s="41" t="s">
        <v>85</v>
      </c>
      <c r="D2" s="41" t="s">
        <v>104</v>
      </c>
      <c r="E2" s="41" t="s">
        <v>102</v>
      </c>
      <c r="F2" s="41" t="s">
        <v>81</v>
      </c>
      <c r="G2" s="41" t="n">
        <v>74.69</v>
      </c>
      <c r="H2" s="41" t="n">
        <v>7</v>
      </c>
      <c r="I2" s="41" t="n">
        <v>26.1415</v>
      </c>
      <c r="J2" s="41" t="n">
        <v>548.9715</v>
      </c>
      <c r="K2" s="41" t="s">
        <v>1188</v>
      </c>
      <c r="L2" s="41" t="s">
        <v>1189</v>
      </c>
      <c r="M2" s="41" t="s">
        <v>98</v>
      </c>
      <c r="N2" s="41" t="n">
        <v>522.83</v>
      </c>
      <c r="O2" s="41" t="n">
        <v>4.761904762</v>
      </c>
      <c r="P2" s="41" t="n">
        <v>26.1415</v>
      </c>
      <c r="Q2" s="41" t="n">
        <v>9.1</v>
      </c>
    </row>
    <row r="3" customFormat="false" ht="15" hidden="false" customHeight="false" outlineLevel="0" collapsed="false">
      <c r="A3" s="41" t="s">
        <v>179</v>
      </c>
      <c r="B3" s="41" t="s">
        <v>180</v>
      </c>
      <c r="C3" s="41" t="s">
        <v>87</v>
      </c>
      <c r="D3" s="41" t="s">
        <v>105</v>
      </c>
      <c r="E3" s="41" t="s">
        <v>102</v>
      </c>
      <c r="F3" s="41" t="s">
        <v>78</v>
      </c>
      <c r="G3" s="41" t="n">
        <v>15.28</v>
      </c>
      <c r="H3" s="41" t="n">
        <v>5</v>
      </c>
      <c r="I3" s="41" t="n">
        <v>3.82</v>
      </c>
      <c r="J3" s="41" t="n">
        <v>80.22</v>
      </c>
      <c r="K3" s="41" t="s">
        <v>1190</v>
      </c>
      <c r="L3" s="41" t="s">
        <v>1191</v>
      </c>
      <c r="M3" s="41" t="s">
        <v>97</v>
      </c>
      <c r="N3" s="41" t="n">
        <v>76.4</v>
      </c>
      <c r="O3" s="41" t="n">
        <v>4.761904762</v>
      </c>
      <c r="P3" s="41" t="n">
        <v>3.82</v>
      </c>
      <c r="Q3" s="41" t="n">
        <v>9.6</v>
      </c>
    </row>
    <row r="4" customFormat="false" ht="15" hidden="false" customHeight="false" outlineLevel="0" collapsed="false">
      <c r="A4" s="41" t="s">
        <v>181</v>
      </c>
      <c r="B4" s="41" t="s">
        <v>178</v>
      </c>
      <c r="C4" s="41" t="s">
        <v>85</v>
      </c>
      <c r="D4" s="41" t="s">
        <v>105</v>
      </c>
      <c r="E4" s="41" t="s">
        <v>103</v>
      </c>
      <c r="F4" s="41" t="s">
        <v>80</v>
      </c>
      <c r="G4" s="41" t="n">
        <v>46.33</v>
      </c>
      <c r="H4" s="41" t="n">
        <v>7</v>
      </c>
      <c r="I4" s="41" t="n">
        <v>16.2155</v>
      </c>
      <c r="J4" s="41" t="n">
        <v>340.5255</v>
      </c>
      <c r="K4" s="41" t="s">
        <v>1192</v>
      </c>
      <c r="L4" s="41" t="s">
        <v>1193</v>
      </c>
      <c r="M4" s="41" t="s">
        <v>99</v>
      </c>
      <c r="N4" s="41" t="n">
        <v>324.31</v>
      </c>
      <c r="O4" s="41" t="n">
        <v>4.761904762</v>
      </c>
      <c r="P4" s="41" t="n">
        <v>16.2155</v>
      </c>
      <c r="Q4" s="41" t="n">
        <v>7.4</v>
      </c>
    </row>
    <row r="5" customFormat="false" ht="15" hidden="false" customHeight="false" outlineLevel="0" collapsed="false">
      <c r="A5" s="41" t="s">
        <v>182</v>
      </c>
      <c r="B5" s="41" t="s">
        <v>178</v>
      </c>
      <c r="C5" s="41" t="s">
        <v>85</v>
      </c>
      <c r="D5" s="41" t="s">
        <v>104</v>
      </c>
      <c r="E5" s="41" t="s">
        <v>103</v>
      </c>
      <c r="F5" s="41" t="s">
        <v>81</v>
      </c>
      <c r="G5" s="41" t="n">
        <v>58.22</v>
      </c>
      <c r="H5" s="41" t="n">
        <v>8</v>
      </c>
      <c r="I5" s="41" t="n">
        <v>23.288</v>
      </c>
      <c r="J5" s="41" t="n">
        <v>489.048</v>
      </c>
      <c r="K5" s="41" t="s">
        <v>1194</v>
      </c>
      <c r="L5" s="41" t="s">
        <v>1195</v>
      </c>
      <c r="M5" s="41" t="s">
        <v>98</v>
      </c>
      <c r="N5" s="41" t="n">
        <v>465.76</v>
      </c>
      <c r="O5" s="41" t="n">
        <v>4.761904762</v>
      </c>
      <c r="P5" s="41" t="n">
        <v>23.288</v>
      </c>
      <c r="Q5" s="41" t="n">
        <v>8.4</v>
      </c>
    </row>
    <row r="6" customFormat="false" ht="15" hidden="false" customHeight="false" outlineLevel="0" collapsed="false">
      <c r="A6" s="41" t="s">
        <v>183</v>
      </c>
      <c r="B6" s="41" t="s">
        <v>178</v>
      </c>
      <c r="C6" s="41" t="s">
        <v>85</v>
      </c>
      <c r="D6" s="41" t="s">
        <v>105</v>
      </c>
      <c r="E6" s="41" t="s">
        <v>103</v>
      </c>
      <c r="F6" s="41" t="s">
        <v>77</v>
      </c>
      <c r="G6" s="41" t="n">
        <v>86.31</v>
      </c>
      <c r="H6" s="41" t="n">
        <v>7</v>
      </c>
      <c r="I6" s="41" t="n">
        <v>30.2085</v>
      </c>
      <c r="J6" s="41" t="n">
        <v>634.3785</v>
      </c>
      <c r="K6" s="41" t="s">
        <v>1196</v>
      </c>
      <c r="L6" s="41" t="s">
        <v>1197</v>
      </c>
      <c r="M6" s="41" t="s">
        <v>98</v>
      </c>
      <c r="N6" s="41" t="n">
        <v>604.17</v>
      </c>
      <c r="O6" s="41" t="n">
        <v>4.761904762</v>
      </c>
      <c r="P6" s="41" t="n">
        <v>30.2085</v>
      </c>
      <c r="Q6" s="41" t="n">
        <v>5.3</v>
      </c>
    </row>
    <row r="7" customFormat="false" ht="15" hidden="false" customHeight="false" outlineLevel="0" collapsed="false">
      <c r="A7" s="41" t="s">
        <v>184</v>
      </c>
      <c r="B7" s="41" t="s">
        <v>180</v>
      </c>
      <c r="C7" s="41" t="s">
        <v>87</v>
      </c>
      <c r="D7" s="41" t="s">
        <v>105</v>
      </c>
      <c r="E7" s="41" t="s">
        <v>103</v>
      </c>
      <c r="F7" s="41" t="s">
        <v>78</v>
      </c>
      <c r="G7" s="41" t="n">
        <v>85.39</v>
      </c>
      <c r="H7" s="41" t="n">
        <v>7</v>
      </c>
      <c r="I7" s="41" t="n">
        <v>29.8865</v>
      </c>
      <c r="J7" s="41" t="n">
        <v>627.6165</v>
      </c>
      <c r="K7" s="41" t="s">
        <v>1198</v>
      </c>
      <c r="L7" s="41" t="s">
        <v>1199</v>
      </c>
      <c r="M7" s="41" t="s">
        <v>98</v>
      </c>
      <c r="N7" s="41" t="n">
        <v>597.73</v>
      </c>
      <c r="O7" s="41" t="n">
        <v>4.761904762</v>
      </c>
      <c r="P7" s="41" t="n">
        <v>29.8865</v>
      </c>
      <c r="Q7" s="41" t="n">
        <v>4.1</v>
      </c>
    </row>
    <row r="8" customFormat="false" ht="15" hidden="false" customHeight="false" outlineLevel="0" collapsed="false">
      <c r="A8" s="41" t="s">
        <v>185</v>
      </c>
      <c r="B8" s="41" t="s">
        <v>178</v>
      </c>
      <c r="C8" s="41" t="s">
        <v>85</v>
      </c>
      <c r="D8" s="41" t="s">
        <v>104</v>
      </c>
      <c r="E8" s="41" t="s">
        <v>102</v>
      </c>
      <c r="F8" s="41" t="s">
        <v>78</v>
      </c>
      <c r="G8" s="41" t="n">
        <v>68.84</v>
      </c>
      <c r="H8" s="41" t="n">
        <v>6</v>
      </c>
      <c r="I8" s="41" t="n">
        <v>20.652</v>
      </c>
      <c r="J8" s="41" t="n">
        <v>433.692</v>
      </c>
      <c r="K8" s="41" t="s">
        <v>1200</v>
      </c>
      <c r="L8" s="41" t="s">
        <v>1201</v>
      </c>
      <c r="M8" s="41" t="s">
        <v>98</v>
      </c>
      <c r="N8" s="41" t="n">
        <v>413.04</v>
      </c>
      <c r="O8" s="41" t="n">
        <v>4.761904762</v>
      </c>
      <c r="P8" s="41" t="n">
        <v>20.652</v>
      </c>
      <c r="Q8" s="41" t="n">
        <v>5.8</v>
      </c>
    </row>
    <row r="9" customFormat="false" ht="15" hidden="false" customHeight="false" outlineLevel="0" collapsed="false">
      <c r="A9" s="41" t="s">
        <v>186</v>
      </c>
      <c r="B9" s="41" t="s">
        <v>180</v>
      </c>
      <c r="C9" s="41" t="s">
        <v>87</v>
      </c>
      <c r="D9" s="41" t="s">
        <v>105</v>
      </c>
      <c r="E9" s="41" t="s">
        <v>102</v>
      </c>
      <c r="F9" s="41" t="s">
        <v>80</v>
      </c>
      <c r="G9" s="41" t="n">
        <v>73.56</v>
      </c>
      <c r="H9" s="41" t="n">
        <v>10</v>
      </c>
      <c r="I9" s="41" t="n">
        <v>36.78</v>
      </c>
      <c r="J9" s="41" t="n">
        <v>772.38</v>
      </c>
      <c r="K9" s="41" t="s">
        <v>1202</v>
      </c>
      <c r="L9" s="41" t="s">
        <v>1203</v>
      </c>
      <c r="M9" s="41" t="s">
        <v>98</v>
      </c>
      <c r="N9" s="41" t="n">
        <v>735.6</v>
      </c>
      <c r="O9" s="41" t="n">
        <v>4.761904762</v>
      </c>
      <c r="P9" s="41" t="n">
        <v>36.78</v>
      </c>
      <c r="Q9" s="41" t="n">
        <v>8</v>
      </c>
    </row>
    <row r="10" customFormat="false" ht="15" hidden="false" customHeight="false" outlineLevel="0" collapsed="false">
      <c r="A10" s="41" t="s">
        <v>187</v>
      </c>
      <c r="B10" s="41" t="s">
        <v>178</v>
      </c>
      <c r="C10" s="41" t="s">
        <v>85</v>
      </c>
      <c r="D10" s="41" t="s">
        <v>104</v>
      </c>
      <c r="E10" s="41" t="s">
        <v>102</v>
      </c>
      <c r="F10" s="41" t="s">
        <v>81</v>
      </c>
      <c r="G10" s="41" t="n">
        <v>36.26</v>
      </c>
      <c r="H10" s="41" t="n">
        <v>2</v>
      </c>
      <c r="I10" s="41" t="n">
        <v>3.626</v>
      </c>
      <c r="J10" s="41" t="n">
        <v>76.146</v>
      </c>
      <c r="K10" s="41" t="s">
        <v>1204</v>
      </c>
      <c r="L10" s="41" t="s">
        <v>1205</v>
      </c>
      <c r="M10" s="41" t="s">
        <v>99</v>
      </c>
      <c r="N10" s="41" t="n">
        <v>72.52</v>
      </c>
      <c r="O10" s="41" t="n">
        <v>4.761904762</v>
      </c>
      <c r="P10" s="41" t="n">
        <v>3.626</v>
      </c>
      <c r="Q10" s="41" t="n">
        <v>7.2</v>
      </c>
    </row>
    <row r="11" customFormat="false" ht="15" hidden="false" customHeight="false" outlineLevel="0" collapsed="false">
      <c r="A11" s="41" t="s">
        <v>188</v>
      </c>
      <c r="B11" s="41" t="s">
        <v>189</v>
      </c>
      <c r="C11" s="41" t="s">
        <v>86</v>
      </c>
      <c r="D11" s="41" t="s">
        <v>104</v>
      </c>
      <c r="E11" s="41" t="s">
        <v>102</v>
      </c>
      <c r="F11" s="41" t="s">
        <v>76</v>
      </c>
      <c r="G11" s="41" t="n">
        <v>54.84</v>
      </c>
      <c r="H11" s="41" t="n">
        <v>3</v>
      </c>
      <c r="I11" s="41" t="n">
        <v>8.226</v>
      </c>
      <c r="J11" s="41" t="n">
        <v>172.746</v>
      </c>
      <c r="K11" s="41" t="s">
        <v>1206</v>
      </c>
      <c r="L11" s="41" t="s">
        <v>1207</v>
      </c>
      <c r="M11" s="41" t="s">
        <v>99</v>
      </c>
      <c r="N11" s="41" t="n">
        <v>164.52</v>
      </c>
      <c r="O11" s="41" t="n">
        <v>4.761904762</v>
      </c>
      <c r="P11" s="41" t="n">
        <v>8.226</v>
      </c>
      <c r="Q11" s="41" t="n">
        <v>5.9</v>
      </c>
    </row>
    <row r="12" customFormat="false" ht="15" hidden="false" customHeight="false" outlineLevel="0" collapsed="false">
      <c r="A12" s="41" t="s">
        <v>190</v>
      </c>
      <c r="B12" s="41" t="s">
        <v>189</v>
      </c>
      <c r="C12" s="41" t="s">
        <v>86</v>
      </c>
      <c r="D12" s="41" t="s">
        <v>104</v>
      </c>
      <c r="E12" s="41" t="s">
        <v>102</v>
      </c>
      <c r="F12" s="41" t="s">
        <v>79</v>
      </c>
      <c r="G12" s="41" t="n">
        <v>14.48</v>
      </c>
      <c r="H12" s="41" t="n">
        <v>4</v>
      </c>
      <c r="I12" s="41" t="n">
        <v>2.896</v>
      </c>
      <c r="J12" s="41" t="n">
        <v>60.816</v>
      </c>
      <c r="K12" s="41" t="s">
        <v>1208</v>
      </c>
      <c r="L12" s="41" t="s">
        <v>1209</v>
      </c>
      <c r="M12" s="41" t="s">
        <v>98</v>
      </c>
      <c r="N12" s="41" t="n">
        <v>57.92</v>
      </c>
      <c r="O12" s="41" t="n">
        <v>4.761904762</v>
      </c>
      <c r="P12" s="41" t="n">
        <v>2.896</v>
      </c>
      <c r="Q12" s="41" t="n">
        <v>4.5</v>
      </c>
    </row>
    <row r="13" customFormat="false" ht="15" hidden="false" customHeight="false" outlineLevel="0" collapsed="false">
      <c r="A13" s="41" t="s">
        <v>191</v>
      </c>
      <c r="B13" s="41" t="s">
        <v>189</v>
      </c>
      <c r="C13" s="41" t="s">
        <v>86</v>
      </c>
      <c r="D13" s="41" t="s">
        <v>104</v>
      </c>
      <c r="E13" s="41" t="s">
        <v>103</v>
      </c>
      <c r="F13" s="41" t="s">
        <v>78</v>
      </c>
      <c r="G13" s="41" t="n">
        <v>25.51</v>
      </c>
      <c r="H13" s="41" t="n">
        <v>4</v>
      </c>
      <c r="I13" s="41" t="n">
        <v>5.102</v>
      </c>
      <c r="J13" s="41" t="n">
        <v>107.142</v>
      </c>
      <c r="K13" s="41" t="s">
        <v>1210</v>
      </c>
      <c r="L13" s="41" t="s">
        <v>1211</v>
      </c>
      <c r="M13" s="41" t="s">
        <v>97</v>
      </c>
      <c r="N13" s="41" t="n">
        <v>102.04</v>
      </c>
      <c r="O13" s="41" t="n">
        <v>4.761904762</v>
      </c>
      <c r="P13" s="41" t="n">
        <v>5.102</v>
      </c>
      <c r="Q13" s="41" t="n">
        <v>6.8</v>
      </c>
    </row>
    <row r="14" customFormat="false" ht="15" hidden="false" customHeight="false" outlineLevel="0" collapsed="false">
      <c r="A14" s="41" t="s">
        <v>192</v>
      </c>
      <c r="B14" s="41" t="s">
        <v>178</v>
      </c>
      <c r="C14" s="41" t="s">
        <v>85</v>
      </c>
      <c r="D14" s="41" t="s">
        <v>105</v>
      </c>
      <c r="E14" s="41" t="s">
        <v>102</v>
      </c>
      <c r="F14" s="41" t="s">
        <v>78</v>
      </c>
      <c r="G14" s="41" t="n">
        <v>46.95</v>
      </c>
      <c r="H14" s="41" t="n">
        <v>5</v>
      </c>
      <c r="I14" s="41" t="n">
        <v>11.7375</v>
      </c>
      <c r="J14" s="41" t="n">
        <v>246.4875</v>
      </c>
      <c r="K14" s="41" t="s">
        <v>1212</v>
      </c>
      <c r="L14" s="41" t="s">
        <v>1213</v>
      </c>
      <c r="M14" s="41" t="s">
        <v>98</v>
      </c>
      <c r="N14" s="41" t="n">
        <v>234.75</v>
      </c>
      <c r="O14" s="41" t="n">
        <v>4.761904762</v>
      </c>
      <c r="P14" s="41" t="n">
        <v>11.7375</v>
      </c>
      <c r="Q14" s="41" t="n">
        <v>7.1</v>
      </c>
    </row>
    <row r="15" customFormat="false" ht="15" hidden="false" customHeight="false" outlineLevel="0" collapsed="false">
      <c r="A15" s="41" t="s">
        <v>193</v>
      </c>
      <c r="B15" s="41" t="s">
        <v>178</v>
      </c>
      <c r="C15" s="41" t="s">
        <v>85</v>
      </c>
      <c r="D15" s="41" t="s">
        <v>105</v>
      </c>
      <c r="E15" s="41" t="s">
        <v>103</v>
      </c>
      <c r="F15" s="41" t="s">
        <v>76</v>
      </c>
      <c r="G15" s="41" t="n">
        <v>43.19</v>
      </c>
      <c r="H15" s="41" t="n">
        <v>10</v>
      </c>
      <c r="I15" s="41" t="n">
        <v>21.595</v>
      </c>
      <c r="J15" s="41" t="n">
        <v>453.495</v>
      </c>
      <c r="K15" s="41" t="s">
        <v>1214</v>
      </c>
      <c r="L15" s="41" t="s">
        <v>1215</v>
      </c>
      <c r="M15" s="41" t="s">
        <v>98</v>
      </c>
      <c r="N15" s="41" t="n">
        <v>431.9</v>
      </c>
      <c r="O15" s="41" t="n">
        <v>4.761904762</v>
      </c>
      <c r="P15" s="41" t="n">
        <v>21.595</v>
      </c>
      <c r="Q15" s="41" t="n">
        <v>8.2</v>
      </c>
    </row>
    <row r="16" customFormat="false" ht="15" hidden="false" customHeight="false" outlineLevel="0" collapsed="false">
      <c r="A16" s="41" t="s">
        <v>194</v>
      </c>
      <c r="B16" s="41" t="s">
        <v>178</v>
      </c>
      <c r="C16" s="41" t="s">
        <v>85</v>
      </c>
      <c r="D16" s="41" t="s">
        <v>105</v>
      </c>
      <c r="E16" s="41" t="s">
        <v>102</v>
      </c>
      <c r="F16" s="41" t="s">
        <v>81</v>
      </c>
      <c r="G16" s="41" t="n">
        <v>71.38</v>
      </c>
      <c r="H16" s="41" t="n">
        <v>10</v>
      </c>
      <c r="I16" s="41" t="n">
        <v>35.69</v>
      </c>
      <c r="J16" s="41" t="n">
        <v>749.49</v>
      </c>
      <c r="K16" s="41" t="s">
        <v>1216</v>
      </c>
      <c r="L16" s="41" t="s">
        <v>1217</v>
      </c>
      <c r="M16" s="41" t="s">
        <v>97</v>
      </c>
      <c r="N16" s="41" t="n">
        <v>713.8</v>
      </c>
      <c r="O16" s="41" t="n">
        <v>4.761904762</v>
      </c>
      <c r="P16" s="41" t="n">
        <v>35.69</v>
      </c>
      <c r="Q16" s="41" t="n">
        <v>5.7</v>
      </c>
    </row>
    <row r="17" customFormat="false" ht="15" hidden="false" customHeight="false" outlineLevel="0" collapsed="false">
      <c r="A17" s="41" t="s">
        <v>195</v>
      </c>
      <c r="B17" s="41" t="s">
        <v>189</v>
      </c>
      <c r="C17" s="41" t="s">
        <v>86</v>
      </c>
      <c r="D17" s="41" t="s">
        <v>104</v>
      </c>
      <c r="E17" s="41" t="s">
        <v>102</v>
      </c>
      <c r="F17" s="41" t="s">
        <v>77</v>
      </c>
      <c r="G17" s="41" t="n">
        <v>93.72</v>
      </c>
      <c r="H17" s="41" t="n">
        <v>6</v>
      </c>
      <c r="I17" s="41" t="n">
        <v>28.116</v>
      </c>
      <c r="J17" s="41" t="n">
        <v>590.436</v>
      </c>
      <c r="K17" s="41" t="s">
        <v>1218</v>
      </c>
      <c r="L17" s="41" t="s">
        <v>1219</v>
      </c>
      <c r="M17" s="41" t="s">
        <v>97</v>
      </c>
      <c r="N17" s="41" t="n">
        <v>562.32</v>
      </c>
      <c r="O17" s="41" t="n">
        <v>4.761904762</v>
      </c>
      <c r="P17" s="41" t="n">
        <v>28.116</v>
      </c>
      <c r="Q17" s="41" t="n">
        <v>4.5</v>
      </c>
    </row>
    <row r="18" customFormat="false" ht="15" hidden="false" customHeight="false" outlineLevel="0" collapsed="false">
      <c r="A18" s="41" t="s">
        <v>196</v>
      </c>
      <c r="B18" s="41" t="s">
        <v>178</v>
      </c>
      <c r="C18" s="41" t="s">
        <v>85</v>
      </c>
      <c r="D18" s="41" t="s">
        <v>104</v>
      </c>
      <c r="E18" s="41" t="s">
        <v>102</v>
      </c>
      <c r="F18" s="41" t="s">
        <v>81</v>
      </c>
      <c r="G18" s="41" t="n">
        <v>68.93</v>
      </c>
      <c r="H18" s="41" t="n">
        <v>7</v>
      </c>
      <c r="I18" s="41" t="n">
        <v>24.1255</v>
      </c>
      <c r="J18" s="41" t="n">
        <v>506.6355</v>
      </c>
      <c r="K18" s="41" t="s">
        <v>1220</v>
      </c>
      <c r="L18" s="41" t="s">
        <v>1221</v>
      </c>
      <c r="M18" s="41" t="s">
        <v>99</v>
      </c>
      <c r="N18" s="41" t="n">
        <v>482.51</v>
      </c>
      <c r="O18" s="41" t="n">
        <v>4.761904762</v>
      </c>
      <c r="P18" s="41" t="n">
        <v>24.1255</v>
      </c>
      <c r="Q18" s="41" t="n">
        <v>4.6</v>
      </c>
    </row>
    <row r="19" customFormat="false" ht="15" hidden="false" customHeight="false" outlineLevel="0" collapsed="false">
      <c r="A19" s="41" t="s">
        <v>197</v>
      </c>
      <c r="B19" s="41" t="s">
        <v>178</v>
      </c>
      <c r="C19" s="41" t="s">
        <v>85</v>
      </c>
      <c r="D19" s="41" t="s">
        <v>105</v>
      </c>
      <c r="E19" s="41" t="s">
        <v>103</v>
      </c>
      <c r="F19" s="41" t="s">
        <v>77</v>
      </c>
      <c r="G19" s="41" t="n">
        <v>72.61</v>
      </c>
      <c r="H19" s="41" t="n">
        <v>6</v>
      </c>
      <c r="I19" s="41" t="n">
        <v>21.783</v>
      </c>
      <c r="J19" s="41" t="n">
        <v>457.443</v>
      </c>
      <c r="K19" s="41" t="s">
        <v>1222</v>
      </c>
      <c r="L19" s="41" t="s">
        <v>1223</v>
      </c>
      <c r="M19" s="41" t="s">
        <v>99</v>
      </c>
      <c r="N19" s="41" t="n">
        <v>435.66</v>
      </c>
      <c r="O19" s="41" t="n">
        <v>4.761904762</v>
      </c>
      <c r="P19" s="41" t="n">
        <v>21.783</v>
      </c>
      <c r="Q19" s="41" t="n">
        <v>6.9</v>
      </c>
    </row>
    <row r="20" customFormat="false" ht="15" hidden="false" customHeight="false" outlineLevel="0" collapsed="false">
      <c r="A20" s="41" t="s">
        <v>198</v>
      </c>
      <c r="B20" s="41" t="s">
        <v>178</v>
      </c>
      <c r="C20" s="41" t="s">
        <v>85</v>
      </c>
      <c r="D20" s="41" t="s">
        <v>105</v>
      </c>
      <c r="E20" s="41" t="s">
        <v>103</v>
      </c>
      <c r="F20" s="41" t="s">
        <v>76</v>
      </c>
      <c r="G20" s="41" t="n">
        <v>54.67</v>
      </c>
      <c r="H20" s="41" t="n">
        <v>3</v>
      </c>
      <c r="I20" s="41" t="n">
        <v>8.2005</v>
      </c>
      <c r="J20" s="41" t="n">
        <v>172.2105</v>
      </c>
      <c r="K20" s="41" t="s">
        <v>1224</v>
      </c>
      <c r="L20" s="41" t="s">
        <v>164</v>
      </c>
      <c r="M20" s="41" t="s">
        <v>99</v>
      </c>
      <c r="N20" s="41" t="n">
        <v>164.01</v>
      </c>
      <c r="O20" s="41" t="n">
        <v>4.761904762</v>
      </c>
      <c r="P20" s="41" t="n">
        <v>8.2005</v>
      </c>
      <c r="Q20" s="41" t="n">
        <v>8.6</v>
      </c>
    </row>
    <row r="21" customFormat="false" ht="15" hidden="false" customHeight="false" outlineLevel="0" collapsed="false">
      <c r="A21" s="41" t="s">
        <v>199</v>
      </c>
      <c r="B21" s="41" t="s">
        <v>189</v>
      </c>
      <c r="C21" s="41" t="s">
        <v>86</v>
      </c>
      <c r="D21" s="41" t="s">
        <v>105</v>
      </c>
      <c r="E21" s="41" t="s">
        <v>102</v>
      </c>
      <c r="F21" s="41" t="s">
        <v>80</v>
      </c>
      <c r="G21" s="41" t="n">
        <v>40.3</v>
      </c>
      <c r="H21" s="41" t="n">
        <v>2</v>
      </c>
      <c r="I21" s="41" t="n">
        <v>4.03</v>
      </c>
      <c r="J21" s="41" t="n">
        <v>84.63</v>
      </c>
      <c r="K21" s="41" t="s">
        <v>1220</v>
      </c>
      <c r="L21" s="41" t="s">
        <v>1225</v>
      </c>
      <c r="M21" s="41" t="s">
        <v>98</v>
      </c>
      <c r="N21" s="41" t="n">
        <v>80.6</v>
      </c>
      <c r="O21" s="41" t="n">
        <v>4.761904762</v>
      </c>
      <c r="P21" s="41" t="n">
        <v>4.03</v>
      </c>
      <c r="Q21" s="41" t="n">
        <v>4.4</v>
      </c>
    </row>
    <row r="22" customFormat="false" ht="15" hidden="false" customHeight="false" outlineLevel="0" collapsed="false">
      <c r="A22" s="41" t="s">
        <v>200</v>
      </c>
      <c r="B22" s="41" t="s">
        <v>180</v>
      </c>
      <c r="C22" s="41" t="s">
        <v>87</v>
      </c>
      <c r="D22" s="41" t="s">
        <v>104</v>
      </c>
      <c r="E22" s="41" t="s">
        <v>103</v>
      </c>
      <c r="F22" s="41" t="s">
        <v>78</v>
      </c>
      <c r="G22" s="41" t="n">
        <v>86.04</v>
      </c>
      <c r="H22" s="41" t="n">
        <v>5</v>
      </c>
      <c r="I22" s="41" t="n">
        <v>21.51</v>
      </c>
      <c r="J22" s="41" t="n">
        <v>451.71</v>
      </c>
      <c r="K22" s="41" t="s">
        <v>1200</v>
      </c>
      <c r="L22" s="41" t="s">
        <v>1226</v>
      </c>
      <c r="M22" s="41" t="s">
        <v>98</v>
      </c>
      <c r="N22" s="41" t="n">
        <v>430.2</v>
      </c>
      <c r="O22" s="41" t="n">
        <v>4.761904762</v>
      </c>
      <c r="P22" s="41" t="n">
        <v>21.51</v>
      </c>
      <c r="Q22" s="41" t="n">
        <v>4.8</v>
      </c>
    </row>
    <row r="23" customFormat="false" ht="15" hidden="false" customHeight="false" outlineLevel="0" collapsed="false">
      <c r="A23" s="41" t="s">
        <v>201</v>
      </c>
      <c r="B23" s="41" t="s">
        <v>189</v>
      </c>
      <c r="C23" s="41" t="s">
        <v>86</v>
      </c>
      <c r="D23" s="41" t="s">
        <v>105</v>
      </c>
      <c r="E23" s="41" t="s">
        <v>103</v>
      </c>
      <c r="F23" s="41" t="s">
        <v>81</v>
      </c>
      <c r="G23" s="41" t="n">
        <v>87.98</v>
      </c>
      <c r="H23" s="41" t="n">
        <v>3</v>
      </c>
      <c r="I23" s="41" t="n">
        <v>13.197</v>
      </c>
      <c r="J23" s="41" t="n">
        <v>277.137</v>
      </c>
      <c r="K23" s="41" t="s">
        <v>1227</v>
      </c>
      <c r="L23" s="41" t="s">
        <v>1228</v>
      </c>
      <c r="M23" s="41" t="s">
        <v>98</v>
      </c>
      <c r="N23" s="41" t="n">
        <v>263.94</v>
      </c>
      <c r="O23" s="41" t="n">
        <v>4.761904762</v>
      </c>
      <c r="P23" s="41" t="n">
        <v>13.197</v>
      </c>
      <c r="Q23" s="41" t="n">
        <v>5.1</v>
      </c>
    </row>
    <row r="24" customFormat="false" ht="15" hidden="false" customHeight="false" outlineLevel="0" collapsed="false">
      <c r="A24" s="41" t="s">
        <v>202</v>
      </c>
      <c r="B24" s="41" t="s">
        <v>189</v>
      </c>
      <c r="C24" s="41" t="s">
        <v>86</v>
      </c>
      <c r="D24" s="41" t="s">
        <v>105</v>
      </c>
      <c r="E24" s="41" t="s">
        <v>103</v>
      </c>
      <c r="F24" s="41" t="s">
        <v>80</v>
      </c>
      <c r="G24" s="41" t="n">
        <v>33.2</v>
      </c>
      <c r="H24" s="41" t="n">
        <v>2</v>
      </c>
      <c r="I24" s="41" t="n">
        <v>3.32</v>
      </c>
      <c r="J24" s="41" t="n">
        <v>69.72</v>
      </c>
      <c r="K24" s="41" t="s">
        <v>1229</v>
      </c>
      <c r="L24" s="41" t="s">
        <v>1230</v>
      </c>
      <c r="M24" s="41" t="s">
        <v>99</v>
      </c>
      <c r="N24" s="41" t="n">
        <v>66.4</v>
      </c>
      <c r="O24" s="41" t="n">
        <v>4.761904762</v>
      </c>
      <c r="P24" s="41" t="n">
        <v>3.32</v>
      </c>
      <c r="Q24" s="41" t="n">
        <v>4.4</v>
      </c>
    </row>
    <row r="25" customFormat="false" ht="15" hidden="false" customHeight="false" outlineLevel="0" collapsed="false">
      <c r="A25" s="41" t="s">
        <v>203</v>
      </c>
      <c r="B25" s="41" t="s">
        <v>178</v>
      </c>
      <c r="C25" s="41" t="s">
        <v>85</v>
      </c>
      <c r="D25" s="41" t="s">
        <v>105</v>
      </c>
      <c r="E25" s="41" t="s">
        <v>103</v>
      </c>
      <c r="F25" s="41" t="s">
        <v>78</v>
      </c>
      <c r="G25" s="41" t="n">
        <v>34.56</v>
      </c>
      <c r="H25" s="41" t="n">
        <v>5</v>
      </c>
      <c r="I25" s="41" t="n">
        <v>8.64</v>
      </c>
      <c r="J25" s="41" t="n">
        <v>181.44</v>
      </c>
      <c r="K25" s="41" t="s">
        <v>1231</v>
      </c>
      <c r="L25" s="41" t="s">
        <v>1232</v>
      </c>
      <c r="M25" s="41" t="s">
        <v>98</v>
      </c>
      <c r="N25" s="41" t="n">
        <v>172.8</v>
      </c>
      <c r="O25" s="41" t="n">
        <v>4.761904762</v>
      </c>
      <c r="P25" s="41" t="n">
        <v>8.64</v>
      </c>
      <c r="Q25" s="41" t="n">
        <v>9.9</v>
      </c>
    </row>
    <row r="26" customFormat="false" ht="15" hidden="false" customHeight="false" outlineLevel="0" collapsed="false">
      <c r="A26" s="41" t="s">
        <v>204</v>
      </c>
      <c r="B26" s="41" t="s">
        <v>178</v>
      </c>
      <c r="C26" s="41" t="s">
        <v>85</v>
      </c>
      <c r="D26" s="41" t="s">
        <v>104</v>
      </c>
      <c r="E26" s="41" t="s">
        <v>103</v>
      </c>
      <c r="F26" s="41" t="s">
        <v>77</v>
      </c>
      <c r="G26" s="41" t="n">
        <v>88.63</v>
      </c>
      <c r="H26" s="41" t="n">
        <v>3</v>
      </c>
      <c r="I26" s="41" t="n">
        <v>13.2945</v>
      </c>
      <c r="J26" s="41" t="n">
        <v>279.1845</v>
      </c>
      <c r="K26" s="41" t="s">
        <v>1233</v>
      </c>
      <c r="L26" s="41" t="s">
        <v>1234</v>
      </c>
      <c r="M26" s="41" t="s">
        <v>98</v>
      </c>
      <c r="N26" s="41" t="n">
        <v>265.89</v>
      </c>
      <c r="O26" s="41" t="n">
        <v>4.761904762</v>
      </c>
      <c r="P26" s="41" t="n">
        <v>13.2945</v>
      </c>
      <c r="Q26" s="41" t="n">
        <v>6</v>
      </c>
    </row>
    <row r="27" customFormat="false" ht="15" hidden="false" customHeight="false" outlineLevel="0" collapsed="false">
      <c r="A27" s="41" t="s">
        <v>205</v>
      </c>
      <c r="B27" s="41" t="s">
        <v>178</v>
      </c>
      <c r="C27" s="41" t="s">
        <v>85</v>
      </c>
      <c r="D27" s="41" t="s">
        <v>104</v>
      </c>
      <c r="E27" s="41" t="s">
        <v>102</v>
      </c>
      <c r="F27" s="41" t="s">
        <v>80</v>
      </c>
      <c r="G27" s="41" t="n">
        <v>52.59</v>
      </c>
      <c r="H27" s="41" t="n">
        <v>8</v>
      </c>
      <c r="I27" s="41" t="n">
        <v>21.036</v>
      </c>
      <c r="J27" s="41" t="n">
        <v>441.756</v>
      </c>
      <c r="K27" s="41" t="s">
        <v>1235</v>
      </c>
      <c r="L27" s="41" t="s">
        <v>1236</v>
      </c>
      <c r="M27" s="41" t="s">
        <v>99</v>
      </c>
      <c r="N27" s="41" t="n">
        <v>420.72</v>
      </c>
      <c r="O27" s="41" t="n">
        <v>4.761904762</v>
      </c>
      <c r="P27" s="41" t="n">
        <v>21.036</v>
      </c>
      <c r="Q27" s="41" t="n">
        <v>8.5</v>
      </c>
    </row>
    <row r="28" customFormat="false" ht="15" hidden="false" customHeight="false" outlineLevel="0" collapsed="false">
      <c r="A28" s="41" t="s">
        <v>206</v>
      </c>
      <c r="B28" s="41" t="s">
        <v>189</v>
      </c>
      <c r="C28" s="41" t="s">
        <v>86</v>
      </c>
      <c r="D28" s="41" t="s">
        <v>105</v>
      </c>
      <c r="E28" s="41" t="s">
        <v>103</v>
      </c>
      <c r="F28" s="41" t="s">
        <v>79</v>
      </c>
      <c r="G28" s="41" t="n">
        <v>33.52</v>
      </c>
      <c r="H28" s="41" t="n">
        <v>1</v>
      </c>
      <c r="I28" s="41" t="n">
        <v>1.676</v>
      </c>
      <c r="J28" s="41" t="n">
        <v>35.196</v>
      </c>
      <c r="K28" s="41" t="s">
        <v>1196</v>
      </c>
      <c r="L28" s="41" t="s">
        <v>1237</v>
      </c>
      <c r="M28" s="41" t="s">
        <v>97</v>
      </c>
      <c r="N28" s="41" t="n">
        <v>33.52</v>
      </c>
      <c r="O28" s="41" t="n">
        <v>4.761904762</v>
      </c>
      <c r="P28" s="41" t="n">
        <v>1.676</v>
      </c>
      <c r="Q28" s="41" t="n">
        <v>6.7</v>
      </c>
    </row>
    <row r="29" customFormat="false" ht="15" hidden="false" customHeight="false" outlineLevel="0" collapsed="false">
      <c r="A29" s="41" t="s">
        <v>207</v>
      </c>
      <c r="B29" s="41" t="s">
        <v>178</v>
      </c>
      <c r="C29" s="41" t="s">
        <v>85</v>
      </c>
      <c r="D29" s="41" t="s">
        <v>105</v>
      </c>
      <c r="E29" s="41" t="s">
        <v>102</v>
      </c>
      <c r="F29" s="41" t="s">
        <v>79</v>
      </c>
      <c r="G29" s="41" t="n">
        <v>87.67</v>
      </c>
      <c r="H29" s="41" t="n">
        <v>2</v>
      </c>
      <c r="I29" s="41" t="n">
        <v>8.767</v>
      </c>
      <c r="J29" s="41" t="n">
        <v>184.107</v>
      </c>
      <c r="K29" s="41" t="s">
        <v>1238</v>
      </c>
      <c r="L29" s="41" t="s">
        <v>1239</v>
      </c>
      <c r="M29" s="41" t="s">
        <v>99</v>
      </c>
      <c r="N29" s="41" t="n">
        <v>175.34</v>
      </c>
      <c r="O29" s="41" t="n">
        <v>4.761904762</v>
      </c>
      <c r="P29" s="41" t="n">
        <v>8.767</v>
      </c>
      <c r="Q29" s="41" t="n">
        <v>7.7</v>
      </c>
    </row>
    <row r="30" customFormat="false" ht="15" hidden="false" customHeight="false" outlineLevel="0" collapsed="false">
      <c r="A30" s="41" t="s">
        <v>208</v>
      </c>
      <c r="B30" s="41" t="s">
        <v>189</v>
      </c>
      <c r="C30" s="41" t="s">
        <v>86</v>
      </c>
      <c r="D30" s="41" t="s">
        <v>105</v>
      </c>
      <c r="E30" s="41" t="s">
        <v>102</v>
      </c>
      <c r="F30" s="41" t="s">
        <v>76</v>
      </c>
      <c r="G30" s="41" t="n">
        <v>88.36</v>
      </c>
      <c r="H30" s="41" t="n">
        <v>5</v>
      </c>
      <c r="I30" s="41" t="n">
        <v>22.09</v>
      </c>
      <c r="J30" s="41" t="n">
        <v>463.89</v>
      </c>
      <c r="K30" s="41" t="s">
        <v>1240</v>
      </c>
      <c r="L30" s="41" t="s">
        <v>1241</v>
      </c>
      <c r="M30" s="41" t="s">
        <v>97</v>
      </c>
      <c r="N30" s="41" t="n">
        <v>441.8</v>
      </c>
      <c r="O30" s="41" t="n">
        <v>4.761904762</v>
      </c>
      <c r="P30" s="41" t="n">
        <v>22.09</v>
      </c>
      <c r="Q30" s="41" t="n">
        <v>9.6</v>
      </c>
    </row>
    <row r="31" customFormat="false" ht="15" hidden="false" customHeight="false" outlineLevel="0" collapsed="false">
      <c r="A31" s="41" t="s">
        <v>209</v>
      </c>
      <c r="B31" s="41" t="s">
        <v>178</v>
      </c>
      <c r="C31" s="41" t="s">
        <v>85</v>
      </c>
      <c r="D31" s="41" t="s">
        <v>105</v>
      </c>
      <c r="E31" s="41" t="s">
        <v>103</v>
      </c>
      <c r="F31" s="41" t="s">
        <v>81</v>
      </c>
      <c r="G31" s="41" t="n">
        <v>24.89</v>
      </c>
      <c r="H31" s="41" t="n">
        <v>9</v>
      </c>
      <c r="I31" s="41" t="n">
        <v>11.2005</v>
      </c>
      <c r="J31" s="41" t="n">
        <v>235.2105</v>
      </c>
      <c r="K31" s="41" t="s">
        <v>1229</v>
      </c>
      <c r="L31" s="41" t="s">
        <v>1242</v>
      </c>
      <c r="M31" s="41" t="s">
        <v>97</v>
      </c>
      <c r="N31" s="41" t="n">
        <v>224.01</v>
      </c>
      <c r="O31" s="41" t="n">
        <v>4.761904762</v>
      </c>
      <c r="P31" s="41" t="n">
        <v>11.2005</v>
      </c>
      <c r="Q31" s="41" t="n">
        <v>7.4</v>
      </c>
    </row>
    <row r="32" customFormat="false" ht="15" hidden="false" customHeight="false" outlineLevel="0" collapsed="false">
      <c r="A32" s="41" t="s">
        <v>210</v>
      </c>
      <c r="B32" s="41" t="s">
        <v>189</v>
      </c>
      <c r="C32" s="41" t="s">
        <v>86</v>
      </c>
      <c r="D32" s="41" t="s">
        <v>105</v>
      </c>
      <c r="E32" s="41" t="s">
        <v>103</v>
      </c>
      <c r="F32" s="41" t="s">
        <v>79</v>
      </c>
      <c r="G32" s="41" t="n">
        <v>94.13</v>
      </c>
      <c r="H32" s="41" t="n">
        <v>5</v>
      </c>
      <c r="I32" s="41" t="n">
        <v>23.5325</v>
      </c>
      <c r="J32" s="41" t="n">
        <v>494.1825</v>
      </c>
      <c r="K32" s="41" t="s">
        <v>1200</v>
      </c>
      <c r="L32" s="41" t="s">
        <v>1243</v>
      </c>
      <c r="M32" s="41" t="s">
        <v>99</v>
      </c>
      <c r="N32" s="41" t="n">
        <v>470.65</v>
      </c>
      <c r="O32" s="41" t="n">
        <v>4.761904762</v>
      </c>
      <c r="P32" s="41" t="n">
        <v>23.5325</v>
      </c>
      <c r="Q32" s="41" t="n">
        <v>4.8</v>
      </c>
    </row>
    <row r="33" customFormat="false" ht="15" hidden="false" customHeight="false" outlineLevel="0" collapsed="false">
      <c r="A33" s="41" t="s">
        <v>211</v>
      </c>
      <c r="B33" s="41" t="s">
        <v>189</v>
      </c>
      <c r="C33" s="41" t="s">
        <v>86</v>
      </c>
      <c r="D33" s="41" t="s">
        <v>104</v>
      </c>
      <c r="E33" s="41" t="s">
        <v>103</v>
      </c>
      <c r="F33" s="41" t="s">
        <v>77</v>
      </c>
      <c r="G33" s="41" t="n">
        <v>78.07</v>
      </c>
      <c r="H33" s="41" t="n">
        <v>9</v>
      </c>
      <c r="I33" s="41" t="n">
        <v>35.1315</v>
      </c>
      <c r="J33" s="41" t="n">
        <v>737.7615</v>
      </c>
      <c r="K33" s="41" t="s">
        <v>1244</v>
      </c>
      <c r="L33" s="41" t="s">
        <v>1245</v>
      </c>
      <c r="M33" s="41" t="s">
        <v>97</v>
      </c>
      <c r="N33" s="41" t="n">
        <v>702.63</v>
      </c>
      <c r="O33" s="41" t="n">
        <v>4.761904762</v>
      </c>
      <c r="P33" s="41" t="n">
        <v>35.1315</v>
      </c>
      <c r="Q33" s="41" t="n">
        <v>4.5</v>
      </c>
    </row>
    <row r="34" customFormat="false" ht="15" hidden="false" customHeight="false" outlineLevel="0" collapsed="false">
      <c r="A34" s="41" t="s">
        <v>212</v>
      </c>
      <c r="B34" s="41" t="s">
        <v>189</v>
      </c>
      <c r="C34" s="41" t="s">
        <v>86</v>
      </c>
      <c r="D34" s="41" t="s">
        <v>105</v>
      </c>
      <c r="E34" s="41" t="s">
        <v>103</v>
      </c>
      <c r="F34" s="41" t="s">
        <v>77</v>
      </c>
      <c r="G34" s="41" t="n">
        <v>83.78</v>
      </c>
      <c r="H34" s="41" t="n">
        <v>8</v>
      </c>
      <c r="I34" s="41" t="n">
        <v>33.512</v>
      </c>
      <c r="J34" s="41" t="n">
        <v>703.752</v>
      </c>
      <c r="K34" s="41" t="s">
        <v>1204</v>
      </c>
      <c r="L34" s="41" t="s">
        <v>1246</v>
      </c>
      <c r="M34" s="41" t="s">
        <v>97</v>
      </c>
      <c r="N34" s="41" t="n">
        <v>670.24</v>
      </c>
      <c r="O34" s="41" t="n">
        <v>4.761904762</v>
      </c>
      <c r="P34" s="41" t="n">
        <v>33.512</v>
      </c>
      <c r="Q34" s="41" t="n">
        <v>5.1</v>
      </c>
    </row>
    <row r="35" customFormat="false" ht="15" hidden="false" customHeight="false" outlineLevel="0" collapsed="false">
      <c r="A35" s="41" t="s">
        <v>213</v>
      </c>
      <c r="B35" s="41" t="s">
        <v>178</v>
      </c>
      <c r="C35" s="41" t="s">
        <v>85</v>
      </c>
      <c r="D35" s="41" t="s">
        <v>105</v>
      </c>
      <c r="E35" s="41" t="s">
        <v>103</v>
      </c>
      <c r="F35" s="41" t="s">
        <v>81</v>
      </c>
      <c r="G35" s="41" t="n">
        <v>96.58</v>
      </c>
      <c r="H35" s="41" t="n">
        <v>2</v>
      </c>
      <c r="I35" s="41" t="n">
        <v>9.658</v>
      </c>
      <c r="J35" s="41" t="n">
        <v>202.818</v>
      </c>
      <c r="K35" s="41" t="s">
        <v>1229</v>
      </c>
      <c r="L35" s="41" t="s">
        <v>1247</v>
      </c>
      <c r="M35" s="41" t="s">
        <v>99</v>
      </c>
      <c r="N35" s="41" t="n">
        <v>193.16</v>
      </c>
      <c r="O35" s="41" t="n">
        <v>4.761904762</v>
      </c>
      <c r="P35" s="41" t="n">
        <v>9.658</v>
      </c>
      <c r="Q35" s="41" t="n">
        <v>5.1</v>
      </c>
    </row>
    <row r="36" customFormat="false" ht="15" hidden="false" customHeight="false" outlineLevel="0" collapsed="false">
      <c r="A36" s="41" t="s">
        <v>214</v>
      </c>
      <c r="B36" s="41" t="s">
        <v>180</v>
      </c>
      <c r="C36" s="41" t="s">
        <v>87</v>
      </c>
      <c r="D36" s="41" t="s">
        <v>104</v>
      </c>
      <c r="E36" s="41" t="s">
        <v>102</v>
      </c>
      <c r="F36" s="41" t="s">
        <v>76</v>
      </c>
      <c r="G36" s="41" t="n">
        <v>99.42</v>
      </c>
      <c r="H36" s="41" t="n">
        <v>4</v>
      </c>
      <c r="I36" s="41" t="n">
        <v>19.884</v>
      </c>
      <c r="J36" s="41" t="n">
        <v>417.564</v>
      </c>
      <c r="K36" s="41" t="s">
        <v>1208</v>
      </c>
      <c r="L36" s="41" t="s">
        <v>1248</v>
      </c>
      <c r="M36" s="41" t="s">
        <v>98</v>
      </c>
      <c r="N36" s="41" t="n">
        <v>397.68</v>
      </c>
      <c r="O36" s="41" t="n">
        <v>4.761904762</v>
      </c>
      <c r="P36" s="41" t="n">
        <v>19.884</v>
      </c>
      <c r="Q36" s="41" t="n">
        <v>7.5</v>
      </c>
    </row>
    <row r="37" customFormat="false" ht="15" hidden="false" customHeight="false" outlineLevel="0" collapsed="false">
      <c r="A37" s="41" t="s">
        <v>215</v>
      </c>
      <c r="B37" s="41" t="s">
        <v>180</v>
      </c>
      <c r="C37" s="41" t="s">
        <v>87</v>
      </c>
      <c r="D37" s="41" t="s">
        <v>104</v>
      </c>
      <c r="E37" s="41" t="s">
        <v>102</v>
      </c>
      <c r="F37" s="41" t="s">
        <v>77</v>
      </c>
      <c r="G37" s="41" t="n">
        <v>68.12</v>
      </c>
      <c r="H37" s="41" t="n">
        <v>1</v>
      </c>
      <c r="I37" s="41" t="n">
        <v>3.406</v>
      </c>
      <c r="J37" s="41" t="n">
        <v>71.526</v>
      </c>
      <c r="K37" s="41" t="s">
        <v>1249</v>
      </c>
      <c r="L37" s="41" t="s">
        <v>1250</v>
      </c>
      <c r="M37" s="41" t="s">
        <v>98</v>
      </c>
      <c r="N37" s="41" t="n">
        <v>68.12</v>
      </c>
      <c r="O37" s="41" t="n">
        <v>4.761904762</v>
      </c>
      <c r="P37" s="41" t="n">
        <v>3.406</v>
      </c>
      <c r="Q37" s="41" t="n">
        <v>6.8</v>
      </c>
    </row>
    <row r="38" customFormat="false" ht="15" hidden="false" customHeight="false" outlineLevel="0" collapsed="false">
      <c r="A38" s="41" t="s">
        <v>216</v>
      </c>
      <c r="B38" s="41" t="s">
        <v>178</v>
      </c>
      <c r="C38" s="41" t="s">
        <v>85</v>
      </c>
      <c r="D38" s="41" t="s">
        <v>104</v>
      </c>
      <c r="E38" s="41" t="s">
        <v>103</v>
      </c>
      <c r="F38" s="41" t="s">
        <v>77</v>
      </c>
      <c r="G38" s="41" t="n">
        <v>62.62</v>
      </c>
      <c r="H38" s="41" t="n">
        <v>5</v>
      </c>
      <c r="I38" s="41" t="n">
        <v>15.655</v>
      </c>
      <c r="J38" s="41" t="n">
        <v>328.755</v>
      </c>
      <c r="K38" s="41" t="s">
        <v>1238</v>
      </c>
      <c r="L38" s="41" t="s">
        <v>1251</v>
      </c>
      <c r="M38" s="41" t="s">
        <v>98</v>
      </c>
      <c r="N38" s="41" t="n">
        <v>313.1</v>
      </c>
      <c r="O38" s="41" t="n">
        <v>4.761904762</v>
      </c>
      <c r="P38" s="41" t="n">
        <v>15.655</v>
      </c>
      <c r="Q38" s="41" t="n">
        <v>7</v>
      </c>
    </row>
    <row r="39" customFormat="false" ht="15" hidden="false" customHeight="false" outlineLevel="0" collapsed="false">
      <c r="A39" s="41" t="s">
        <v>217</v>
      </c>
      <c r="B39" s="41" t="s">
        <v>178</v>
      </c>
      <c r="C39" s="41" t="s">
        <v>85</v>
      </c>
      <c r="D39" s="41" t="s">
        <v>105</v>
      </c>
      <c r="E39" s="41" t="s">
        <v>102</v>
      </c>
      <c r="F39" s="41" t="s">
        <v>78</v>
      </c>
      <c r="G39" s="41" t="n">
        <v>60.88</v>
      </c>
      <c r="H39" s="41" t="n">
        <v>9</v>
      </c>
      <c r="I39" s="41" t="n">
        <v>27.396</v>
      </c>
      <c r="J39" s="41" t="n">
        <v>575.316</v>
      </c>
      <c r="K39" s="41" t="s">
        <v>1218</v>
      </c>
      <c r="L39" s="41" t="s">
        <v>1252</v>
      </c>
      <c r="M39" s="41" t="s">
        <v>98</v>
      </c>
      <c r="N39" s="41" t="n">
        <v>547.92</v>
      </c>
      <c r="O39" s="41" t="n">
        <v>4.761904762</v>
      </c>
      <c r="P39" s="41" t="n">
        <v>27.396</v>
      </c>
      <c r="Q39" s="41" t="n">
        <v>4.7</v>
      </c>
    </row>
    <row r="40" customFormat="false" ht="15" hidden="false" customHeight="false" outlineLevel="0" collapsed="false">
      <c r="A40" s="41" t="s">
        <v>218</v>
      </c>
      <c r="B40" s="41" t="s">
        <v>180</v>
      </c>
      <c r="C40" s="41" t="s">
        <v>87</v>
      </c>
      <c r="D40" s="41" t="s">
        <v>105</v>
      </c>
      <c r="E40" s="41" t="s">
        <v>102</v>
      </c>
      <c r="F40" s="41" t="s">
        <v>81</v>
      </c>
      <c r="G40" s="41" t="n">
        <v>54.92</v>
      </c>
      <c r="H40" s="41" t="n">
        <v>8</v>
      </c>
      <c r="I40" s="41" t="n">
        <v>21.968</v>
      </c>
      <c r="J40" s="41" t="n">
        <v>461.328</v>
      </c>
      <c r="K40" s="41" t="s">
        <v>1253</v>
      </c>
      <c r="L40" s="41" t="s">
        <v>1254</v>
      </c>
      <c r="M40" s="41" t="s">
        <v>98</v>
      </c>
      <c r="N40" s="41" t="n">
        <v>439.36</v>
      </c>
      <c r="O40" s="41" t="n">
        <v>4.761904762</v>
      </c>
      <c r="P40" s="41" t="n">
        <v>21.968</v>
      </c>
      <c r="Q40" s="41" t="n">
        <v>7.6</v>
      </c>
    </row>
    <row r="41" customFormat="false" ht="15" hidden="false" customHeight="false" outlineLevel="0" collapsed="false">
      <c r="A41" s="41" t="s">
        <v>219</v>
      </c>
      <c r="B41" s="41" t="s">
        <v>189</v>
      </c>
      <c r="C41" s="41" t="s">
        <v>86</v>
      </c>
      <c r="D41" s="41" t="s">
        <v>104</v>
      </c>
      <c r="E41" s="41" t="s">
        <v>103</v>
      </c>
      <c r="F41" s="41" t="s">
        <v>80</v>
      </c>
      <c r="G41" s="41" t="n">
        <v>30.12</v>
      </c>
      <c r="H41" s="41" t="n">
        <v>8</v>
      </c>
      <c r="I41" s="41" t="n">
        <v>12.048</v>
      </c>
      <c r="J41" s="41" t="n">
        <v>253.008</v>
      </c>
      <c r="K41" s="41" t="s">
        <v>1192</v>
      </c>
      <c r="L41" s="41" t="s">
        <v>1255</v>
      </c>
      <c r="M41" s="41" t="s">
        <v>97</v>
      </c>
      <c r="N41" s="41" t="n">
        <v>240.96</v>
      </c>
      <c r="O41" s="41" t="n">
        <v>4.761904762</v>
      </c>
      <c r="P41" s="41" t="n">
        <v>12.048</v>
      </c>
      <c r="Q41" s="41" t="n">
        <v>7.7</v>
      </c>
    </row>
    <row r="42" customFormat="false" ht="15" hidden="false" customHeight="false" outlineLevel="0" collapsed="false">
      <c r="A42" s="41" t="s">
        <v>220</v>
      </c>
      <c r="B42" s="41" t="s">
        <v>189</v>
      </c>
      <c r="C42" s="41" t="s">
        <v>86</v>
      </c>
      <c r="D42" s="41" t="s">
        <v>104</v>
      </c>
      <c r="E42" s="41" t="s">
        <v>102</v>
      </c>
      <c r="F42" s="41" t="s">
        <v>80</v>
      </c>
      <c r="G42" s="41" t="n">
        <v>86.72</v>
      </c>
      <c r="H42" s="41" t="n">
        <v>1</v>
      </c>
      <c r="I42" s="41" t="n">
        <v>4.336</v>
      </c>
      <c r="J42" s="41" t="n">
        <v>91.056</v>
      </c>
      <c r="K42" s="41" t="s">
        <v>1256</v>
      </c>
      <c r="L42" s="41" t="s">
        <v>1257</v>
      </c>
      <c r="M42" s="41" t="s">
        <v>98</v>
      </c>
      <c r="N42" s="41" t="n">
        <v>86.72</v>
      </c>
      <c r="O42" s="41" t="n">
        <v>4.761904762</v>
      </c>
      <c r="P42" s="41" t="n">
        <v>4.336</v>
      </c>
      <c r="Q42" s="41" t="n">
        <v>7.9</v>
      </c>
    </row>
    <row r="43" customFormat="false" ht="15" hidden="false" customHeight="false" outlineLevel="0" collapsed="false">
      <c r="A43" s="41" t="s">
        <v>221</v>
      </c>
      <c r="B43" s="41" t="s">
        <v>180</v>
      </c>
      <c r="C43" s="41" t="s">
        <v>87</v>
      </c>
      <c r="D43" s="41" t="s">
        <v>104</v>
      </c>
      <c r="E43" s="41" t="s">
        <v>103</v>
      </c>
      <c r="F43" s="41" t="s">
        <v>80</v>
      </c>
      <c r="G43" s="41" t="n">
        <v>56.11</v>
      </c>
      <c r="H43" s="41" t="n">
        <v>2</v>
      </c>
      <c r="I43" s="41" t="n">
        <v>5.611</v>
      </c>
      <c r="J43" s="41" t="n">
        <v>117.831</v>
      </c>
      <c r="K43" s="41" t="s">
        <v>1258</v>
      </c>
      <c r="L43" s="41" t="s">
        <v>1259</v>
      </c>
      <c r="M43" s="41" t="s">
        <v>97</v>
      </c>
      <c r="N43" s="41" t="n">
        <v>112.22</v>
      </c>
      <c r="O43" s="41" t="n">
        <v>4.761904762</v>
      </c>
      <c r="P43" s="41" t="n">
        <v>5.611</v>
      </c>
      <c r="Q43" s="41" t="n">
        <v>6.3</v>
      </c>
    </row>
    <row r="44" customFormat="false" ht="15" hidden="false" customHeight="false" outlineLevel="0" collapsed="false">
      <c r="A44" s="41" t="s">
        <v>222</v>
      </c>
      <c r="B44" s="41" t="s">
        <v>189</v>
      </c>
      <c r="C44" s="41" t="s">
        <v>86</v>
      </c>
      <c r="D44" s="41" t="s">
        <v>104</v>
      </c>
      <c r="E44" s="41" t="s">
        <v>102</v>
      </c>
      <c r="F44" s="41" t="s">
        <v>77</v>
      </c>
      <c r="G44" s="41" t="n">
        <v>69.12</v>
      </c>
      <c r="H44" s="41" t="n">
        <v>6</v>
      </c>
      <c r="I44" s="41" t="n">
        <v>20.736</v>
      </c>
      <c r="J44" s="41" t="n">
        <v>435.456</v>
      </c>
      <c r="K44" s="41" t="s">
        <v>1196</v>
      </c>
      <c r="L44" s="41" t="s">
        <v>1260</v>
      </c>
      <c r="M44" s="41" t="s">
        <v>97</v>
      </c>
      <c r="N44" s="41" t="n">
        <v>414.72</v>
      </c>
      <c r="O44" s="41" t="n">
        <v>4.761904762</v>
      </c>
      <c r="P44" s="41" t="n">
        <v>20.736</v>
      </c>
      <c r="Q44" s="41" t="n">
        <v>5.6</v>
      </c>
    </row>
    <row r="45" customFormat="false" ht="15" hidden="false" customHeight="false" outlineLevel="0" collapsed="false">
      <c r="A45" s="41" t="s">
        <v>223</v>
      </c>
      <c r="B45" s="41" t="s">
        <v>180</v>
      </c>
      <c r="C45" s="41" t="s">
        <v>87</v>
      </c>
      <c r="D45" s="41" t="s">
        <v>104</v>
      </c>
      <c r="E45" s="41" t="s">
        <v>102</v>
      </c>
      <c r="F45" s="41" t="s">
        <v>76</v>
      </c>
      <c r="G45" s="41" t="n">
        <v>98.7</v>
      </c>
      <c r="H45" s="41" t="n">
        <v>8</v>
      </c>
      <c r="I45" s="41" t="n">
        <v>39.48</v>
      </c>
      <c r="J45" s="41" t="n">
        <v>829.08</v>
      </c>
      <c r="K45" s="41" t="s">
        <v>1261</v>
      </c>
      <c r="L45" s="41" t="s">
        <v>1262</v>
      </c>
      <c r="M45" s="41" t="s">
        <v>97</v>
      </c>
      <c r="N45" s="41" t="n">
        <v>789.6</v>
      </c>
      <c r="O45" s="41" t="n">
        <v>4.761904762</v>
      </c>
      <c r="P45" s="41" t="n">
        <v>39.48</v>
      </c>
      <c r="Q45" s="41" t="n">
        <v>7.6</v>
      </c>
    </row>
    <row r="46" customFormat="false" ht="15" hidden="false" customHeight="false" outlineLevel="0" collapsed="false">
      <c r="A46" s="41" t="s">
        <v>224</v>
      </c>
      <c r="B46" s="41" t="s">
        <v>180</v>
      </c>
      <c r="C46" s="41" t="s">
        <v>87</v>
      </c>
      <c r="D46" s="41" t="s">
        <v>104</v>
      </c>
      <c r="E46" s="41" t="s">
        <v>103</v>
      </c>
      <c r="F46" s="41" t="s">
        <v>81</v>
      </c>
      <c r="G46" s="41" t="n">
        <v>15.37</v>
      </c>
      <c r="H46" s="41" t="n">
        <v>2</v>
      </c>
      <c r="I46" s="41" t="n">
        <v>1.537</v>
      </c>
      <c r="J46" s="41" t="n">
        <v>32.277</v>
      </c>
      <c r="K46" s="41" t="s">
        <v>1263</v>
      </c>
      <c r="L46" s="41" t="s">
        <v>1264</v>
      </c>
      <c r="M46" s="41" t="s">
        <v>97</v>
      </c>
      <c r="N46" s="41" t="n">
        <v>30.74</v>
      </c>
      <c r="O46" s="41" t="n">
        <v>4.761904762</v>
      </c>
      <c r="P46" s="41" t="n">
        <v>1.537</v>
      </c>
      <c r="Q46" s="41" t="n">
        <v>7.2</v>
      </c>
    </row>
    <row r="47" customFormat="false" ht="15" hidden="false" customHeight="false" outlineLevel="0" collapsed="false">
      <c r="A47" s="41" t="s">
        <v>225</v>
      </c>
      <c r="B47" s="41" t="s">
        <v>189</v>
      </c>
      <c r="C47" s="41" t="s">
        <v>86</v>
      </c>
      <c r="D47" s="41" t="s">
        <v>104</v>
      </c>
      <c r="E47" s="41" t="s">
        <v>102</v>
      </c>
      <c r="F47" s="41" t="s">
        <v>78</v>
      </c>
      <c r="G47" s="41" t="n">
        <v>93.96</v>
      </c>
      <c r="H47" s="41" t="n">
        <v>4</v>
      </c>
      <c r="I47" s="41" t="n">
        <v>18.792</v>
      </c>
      <c r="J47" s="41" t="n">
        <v>394.632</v>
      </c>
      <c r="K47" s="41" t="s">
        <v>1210</v>
      </c>
      <c r="L47" s="41" t="s">
        <v>164</v>
      </c>
      <c r="M47" s="41" t="s">
        <v>97</v>
      </c>
      <c r="N47" s="41" t="n">
        <v>375.84</v>
      </c>
      <c r="O47" s="41" t="n">
        <v>4.761904762</v>
      </c>
      <c r="P47" s="41" t="n">
        <v>18.792</v>
      </c>
      <c r="Q47" s="41" t="n">
        <v>9.5</v>
      </c>
    </row>
    <row r="48" customFormat="false" ht="15" hidden="false" customHeight="false" outlineLevel="0" collapsed="false">
      <c r="A48" s="41" t="s">
        <v>226</v>
      </c>
      <c r="B48" s="41" t="s">
        <v>189</v>
      </c>
      <c r="C48" s="41" t="s">
        <v>86</v>
      </c>
      <c r="D48" s="41" t="s">
        <v>104</v>
      </c>
      <c r="E48" s="41" t="s">
        <v>103</v>
      </c>
      <c r="F48" s="41" t="s">
        <v>81</v>
      </c>
      <c r="G48" s="41" t="n">
        <v>56.69</v>
      </c>
      <c r="H48" s="41" t="n">
        <v>9</v>
      </c>
      <c r="I48" s="41" t="n">
        <v>25.5105</v>
      </c>
      <c r="J48" s="41" t="n">
        <v>535.7205</v>
      </c>
      <c r="K48" s="41" t="s">
        <v>1265</v>
      </c>
      <c r="L48" s="41" t="s">
        <v>1266</v>
      </c>
      <c r="M48" s="41" t="s">
        <v>99</v>
      </c>
      <c r="N48" s="41" t="n">
        <v>510.21</v>
      </c>
      <c r="O48" s="41" t="n">
        <v>4.761904762</v>
      </c>
      <c r="P48" s="41" t="n">
        <v>25.5105</v>
      </c>
      <c r="Q48" s="41" t="n">
        <v>8.4</v>
      </c>
    </row>
    <row r="49" customFormat="false" ht="15" hidden="false" customHeight="false" outlineLevel="0" collapsed="false">
      <c r="A49" s="41" t="s">
        <v>227</v>
      </c>
      <c r="B49" s="41" t="s">
        <v>189</v>
      </c>
      <c r="C49" s="41" t="s">
        <v>86</v>
      </c>
      <c r="D49" s="41" t="s">
        <v>104</v>
      </c>
      <c r="E49" s="41" t="s">
        <v>102</v>
      </c>
      <c r="F49" s="41" t="s">
        <v>76</v>
      </c>
      <c r="G49" s="41" t="n">
        <v>20.01</v>
      </c>
      <c r="H49" s="41" t="n">
        <v>9</v>
      </c>
      <c r="I49" s="41" t="n">
        <v>9.0045</v>
      </c>
      <c r="J49" s="41" t="n">
        <v>189.0945</v>
      </c>
      <c r="K49" s="41" t="s">
        <v>1208</v>
      </c>
      <c r="L49" s="41" t="s">
        <v>1267</v>
      </c>
      <c r="M49" s="41" t="s">
        <v>98</v>
      </c>
      <c r="N49" s="41" t="n">
        <v>180.09</v>
      </c>
      <c r="O49" s="41" t="n">
        <v>4.761904762</v>
      </c>
      <c r="P49" s="41" t="n">
        <v>9.0045</v>
      </c>
      <c r="Q49" s="41" t="n">
        <v>4.1</v>
      </c>
    </row>
    <row r="50" customFormat="false" ht="15" hidden="false" customHeight="false" outlineLevel="0" collapsed="false">
      <c r="A50" s="41" t="s">
        <v>228</v>
      </c>
      <c r="B50" s="41" t="s">
        <v>189</v>
      </c>
      <c r="C50" s="41" t="s">
        <v>86</v>
      </c>
      <c r="D50" s="41" t="s">
        <v>104</v>
      </c>
      <c r="E50" s="41" t="s">
        <v>103</v>
      </c>
      <c r="F50" s="41" t="s">
        <v>78</v>
      </c>
      <c r="G50" s="41" t="n">
        <v>18.93</v>
      </c>
      <c r="H50" s="41" t="n">
        <v>6</v>
      </c>
      <c r="I50" s="41" t="n">
        <v>5.679</v>
      </c>
      <c r="J50" s="41" t="n">
        <v>119.259</v>
      </c>
      <c r="K50" s="41" t="s">
        <v>1268</v>
      </c>
      <c r="L50" s="41" t="s">
        <v>1269</v>
      </c>
      <c r="M50" s="41" t="s">
        <v>99</v>
      </c>
      <c r="N50" s="41" t="n">
        <v>113.58</v>
      </c>
      <c r="O50" s="41" t="n">
        <v>4.761904762</v>
      </c>
      <c r="P50" s="41" t="n">
        <v>5.679</v>
      </c>
      <c r="Q50" s="41" t="n">
        <v>8.1</v>
      </c>
    </row>
    <row r="51" customFormat="false" ht="15" hidden="false" customHeight="false" outlineLevel="0" collapsed="false">
      <c r="A51" s="41" t="s">
        <v>229</v>
      </c>
      <c r="B51" s="41" t="s">
        <v>180</v>
      </c>
      <c r="C51" s="41" t="s">
        <v>87</v>
      </c>
      <c r="D51" s="41" t="s">
        <v>104</v>
      </c>
      <c r="E51" s="41" t="s">
        <v>102</v>
      </c>
      <c r="F51" s="41" t="s">
        <v>79</v>
      </c>
      <c r="G51" s="41" t="n">
        <v>82.63</v>
      </c>
      <c r="H51" s="41" t="n">
        <v>10</v>
      </c>
      <c r="I51" s="41" t="n">
        <v>41.315</v>
      </c>
      <c r="J51" s="41" t="n">
        <v>867.615</v>
      </c>
      <c r="K51" s="41" t="s">
        <v>1270</v>
      </c>
      <c r="L51" s="41" t="s">
        <v>1271</v>
      </c>
      <c r="M51" s="41" t="s">
        <v>98</v>
      </c>
      <c r="N51" s="41" t="n">
        <v>826.3</v>
      </c>
      <c r="O51" s="41" t="n">
        <v>4.761904762</v>
      </c>
      <c r="P51" s="41" t="n">
        <v>41.315</v>
      </c>
      <c r="Q51" s="41" t="n">
        <v>7.9</v>
      </c>
    </row>
    <row r="52" customFormat="false" ht="15" hidden="false" customHeight="false" outlineLevel="0" collapsed="false">
      <c r="A52" s="41" t="s">
        <v>230</v>
      </c>
      <c r="B52" s="41" t="s">
        <v>180</v>
      </c>
      <c r="C52" s="41" t="s">
        <v>87</v>
      </c>
      <c r="D52" s="41" t="s">
        <v>104</v>
      </c>
      <c r="E52" s="41" t="s">
        <v>103</v>
      </c>
      <c r="F52" s="41" t="s">
        <v>76</v>
      </c>
      <c r="G52" s="41" t="n">
        <v>91.4</v>
      </c>
      <c r="H52" s="41" t="n">
        <v>7</v>
      </c>
      <c r="I52" s="41" t="n">
        <v>31.99</v>
      </c>
      <c r="J52" s="41" t="n">
        <v>671.79</v>
      </c>
      <c r="K52" s="41" t="s">
        <v>1272</v>
      </c>
      <c r="L52" s="41" t="s">
        <v>1273</v>
      </c>
      <c r="M52" s="41" t="s">
        <v>97</v>
      </c>
      <c r="N52" s="41" t="n">
        <v>639.8</v>
      </c>
      <c r="O52" s="41" t="n">
        <v>4.761904762</v>
      </c>
      <c r="P52" s="41" t="n">
        <v>31.99</v>
      </c>
      <c r="Q52" s="41" t="n">
        <v>9.5</v>
      </c>
    </row>
    <row r="53" customFormat="false" ht="15" hidden="false" customHeight="false" outlineLevel="0" collapsed="false">
      <c r="A53" s="41" t="s">
        <v>231</v>
      </c>
      <c r="B53" s="41" t="s">
        <v>178</v>
      </c>
      <c r="C53" s="41" t="s">
        <v>85</v>
      </c>
      <c r="D53" s="41" t="s">
        <v>104</v>
      </c>
      <c r="E53" s="41" t="s">
        <v>102</v>
      </c>
      <c r="F53" s="41" t="s">
        <v>76</v>
      </c>
      <c r="G53" s="41" t="n">
        <v>44.59</v>
      </c>
      <c r="H53" s="41" t="n">
        <v>5</v>
      </c>
      <c r="I53" s="41" t="n">
        <v>11.1475</v>
      </c>
      <c r="J53" s="41" t="n">
        <v>234.0975</v>
      </c>
      <c r="K53" s="41" t="s">
        <v>1268</v>
      </c>
      <c r="L53" s="41" t="s">
        <v>1274</v>
      </c>
      <c r="M53" s="41" t="s">
        <v>97</v>
      </c>
      <c r="N53" s="41" t="n">
        <v>222.95</v>
      </c>
      <c r="O53" s="41" t="n">
        <v>4.761904762</v>
      </c>
      <c r="P53" s="41" t="n">
        <v>11.1475</v>
      </c>
      <c r="Q53" s="41" t="n">
        <v>8.5</v>
      </c>
    </row>
    <row r="54" customFormat="false" ht="15" hidden="false" customHeight="false" outlineLevel="0" collapsed="false">
      <c r="A54" s="41" t="s">
        <v>232</v>
      </c>
      <c r="B54" s="41" t="s">
        <v>189</v>
      </c>
      <c r="C54" s="41" t="s">
        <v>86</v>
      </c>
      <c r="D54" s="41" t="s">
        <v>104</v>
      </c>
      <c r="E54" s="41" t="s">
        <v>102</v>
      </c>
      <c r="F54" s="41" t="s">
        <v>79</v>
      </c>
      <c r="G54" s="41" t="n">
        <v>17.87</v>
      </c>
      <c r="H54" s="41" t="n">
        <v>4</v>
      </c>
      <c r="I54" s="41" t="n">
        <v>3.574</v>
      </c>
      <c r="J54" s="41" t="n">
        <v>75.054</v>
      </c>
      <c r="K54" s="41" t="s">
        <v>1235</v>
      </c>
      <c r="L54" s="41" t="s">
        <v>1275</v>
      </c>
      <c r="M54" s="41" t="s">
        <v>98</v>
      </c>
      <c r="N54" s="41" t="n">
        <v>71.48</v>
      </c>
      <c r="O54" s="41" t="n">
        <v>4.761904762</v>
      </c>
      <c r="P54" s="41" t="n">
        <v>3.574</v>
      </c>
      <c r="Q54" s="41" t="n">
        <v>6.5</v>
      </c>
    </row>
    <row r="55" customFormat="false" ht="15" hidden="false" customHeight="false" outlineLevel="0" collapsed="false">
      <c r="A55" s="41" t="s">
        <v>233</v>
      </c>
      <c r="B55" s="41" t="s">
        <v>180</v>
      </c>
      <c r="C55" s="41" t="s">
        <v>87</v>
      </c>
      <c r="D55" s="41" t="s">
        <v>104</v>
      </c>
      <c r="E55" s="41" t="s">
        <v>103</v>
      </c>
      <c r="F55" s="41" t="s">
        <v>79</v>
      </c>
      <c r="G55" s="41" t="n">
        <v>15.43</v>
      </c>
      <c r="H55" s="41" t="n">
        <v>1</v>
      </c>
      <c r="I55" s="41" t="n">
        <v>0.7715</v>
      </c>
      <c r="J55" s="41" t="n">
        <v>16.2015</v>
      </c>
      <c r="K55" s="41" t="s">
        <v>1240</v>
      </c>
      <c r="L55" s="41" t="s">
        <v>1276</v>
      </c>
      <c r="M55" s="41" t="s">
        <v>99</v>
      </c>
      <c r="N55" s="41" t="n">
        <v>15.43</v>
      </c>
      <c r="O55" s="41" t="n">
        <v>4.761904762</v>
      </c>
      <c r="P55" s="41" t="n">
        <v>0.7715</v>
      </c>
      <c r="Q55" s="41" t="n">
        <v>6.1</v>
      </c>
    </row>
    <row r="56" customFormat="false" ht="15" hidden="false" customHeight="false" outlineLevel="0" collapsed="false">
      <c r="A56" s="41" t="s">
        <v>234</v>
      </c>
      <c r="B56" s="41" t="s">
        <v>189</v>
      </c>
      <c r="C56" s="41" t="s">
        <v>86</v>
      </c>
      <c r="D56" s="41" t="s">
        <v>105</v>
      </c>
      <c r="E56" s="41" t="s">
        <v>103</v>
      </c>
      <c r="F56" s="41" t="s">
        <v>80</v>
      </c>
      <c r="G56" s="41" t="n">
        <v>16.16</v>
      </c>
      <c r="H56" s="41" t="n">
        <v>2</v>
      </c>
      <c r="I56" s="41" t="n">
        <v>1.616</v>
      </c>
      <c r="J56" s="41" t="n">
        <v>33.936</v>
      </c>
      <c r="K56" s="41" t="s">
        <v>1277</v>
      </c>
      <c r="L56" s="41" t="s">
        <v>1278</v>
      </c>
      <c r="M56" s="41" t="s">
        <v>98</v>
      </c>
      <c r="N56" s="41" t="n">
        <v>32.32</v>
      </c>
      <c r="O56" s="41" t="n">
        <v>4.761904762</v>
      </c>
      <c r="P56" s="41" t="n">
        <v>1.616</v>
      </c>
      <c r="Q56" s="41" t="n">
        <v>6.5</v>
      </c>
    </row>
    <row r="57" customFormat="false" ht="15" hidden="false" customHeight="false" outlineLevel="0" collapsed="false">
      <c r="A57" s="41" t="s">
        <v>235</v>
      </c>
      <c r="B57" s="41" t="s">
        <v>180</v>
      </c>
      <c r="C57" s="41" t="s">
        <v>87</v>
      </c>
      <c r="D57" s="41" t="s">
        <v>105</v>
      </c>
      <c r="E57" s="41" t="s">
        <v>102</v>
      </c>
      <c r="F57" s="41" t="s">
        <v>78</v>
      </c>
      <c r="G57" s="41" t="n">
        <v>85.98</v>
      </c>
      <c r="H57" s="41" t="n">
        <v>8</v>
      </c>
      <c r="I57" s="41" t="n">
        <v>34.392</v>
      </c>
      <c r="J57" s="41" t="n">
        <v>722.232</v>
      </c>
      <c r="K57" s="41" t="s">
        <v>1279</v>
      </c>
      <c r="L57" s="41" t="s">
        <v>1280</v>
      </c>
      <c r="M57" s="41" t="s">
        <v>97</v>
      </c>
      <c r="N57" s="41" t="n">
        <v>687.84</v>
      </c>
      <c r="O57" s="41" t="n">
        <v>4.761904762</v>
      </c>
      <c r="P57" s="41" t="n">
        <v>34.392</v>
      </c>
      <c r="Q57" s="41" t="n">
        <v>8.2</v>
      </c>
    </row>
    <row r="58" customFormat="false" ht="15" hidden="false" customHeight="false" outlineLevel="0" collapsed="false">
      <c r="A58" s="41" t="s">
        <v>236</v>
      </c>
      <c r="B58" s="41" t="s">
        <v>178</v>
      </c>
      <c r="C58" s="41" t="s">
        <v>85</v>
      </c>
      <c r="D58" s="41" t="s">
        <v>104</v>
      </c>
      <c r="E58" s="41" t="s">
        <v>103</v>
      </c>
      <c r="F58" s="41" t="s">
        <v>80</v>
      </c>
      <c r="G58" s="41" t="n">
        <v>44.34</v>
      </c>
      <c r="H58" s="41" t="n">
        <v>2</v>
      </c>
      <c r="I58" s="41" t="n">
        <v>4.434</v>
      </c>
      <c r="J58" s="41" t="n">
        <v>93.114</v>
      </c>
      <c r="K58" s="41" t="s">
        <v>1281</v>
      </c>
      <c r="L58" s="41" t="s">
        <v>1282</v>
      </c>
      <c r="M58" s="41" t="s">
        <v>97</v>
      </c>
      <c r="N58" s="41" t="n">
        <v>88.68</v>
      </c>
      <c r="O58" s="41" t="n">
        <v>4.761904762</v>
      </c>
      <c r="P58" s="41" t="n">
        <v>4.434</v>
      </c>
      <c r="Q58" s="41" t="n">
        <v>5.8</v>
      </c>
    </row>
    <row r="59" customFormat="false" ht="15" hidden="false" customHeight="false" outlineLevel="0" collapsed="false">
      <c r="A59" s="41" t="s">
        <v>237</v>
      </c>
      <c r="B59" s="41" t="s">
        <v>178</v>
      </c>
      <c r="C59" s="41" t="s">
        <v>85</v>
      </c>
      <c r="D59" s="41" t="s">
        <v>105</v>
      </c>
      <c r="E59" s="41" t="s">
        <v>103</v>
      </c>
      <c r="F59" s="41" t="s">
        <v>81</v>
      </c>
      <c r="G59" s="41" t="n">
        <v>89.6</v>
      </c>
      <c r="H59" s="41" t="n">
        <v>8</v>
      </c>
      <c r="I59" s="41" t="n">
        <v>35.84</v>
      </c>
      <c r="J59" s="41" t="n">
        <v>752.64</v>
      </c>
      <c r="K59" s="41" t="s">
        <v>1214</v>
      </c>
      <c r="L59" s="41" t="s">
        <v>1283</v>
      </c>
      <c r="M59" s="41" t="s">
        <v>98</v>
      </c>
      <c r="N59" s="41" t="n">
        <v>716.8</v>
      </c>
      <c r="O59" s="41" t="n">
        <v>4.761904762</v>
      </c>
      <c r="P59" s="41" t="n">
        <v>35.84</v>
      </c>
      <c r="Q59" s="41" t="n">
        <v>6.6</v>
      </c>
    </row>
    <row r="60" customFormat="false" ht="15" hidden="false" customHeight="false" outlineLevel="0" collapsed="false">
      <c r="A60" s="41" t="s">
        <v>238</v>
      </c>
      <c r="B60" s="41" t="s">
        <v>178</v>
      </c>
      <c r="C60" s="41" t="s">
        <v>85</v>
      </c>
      <c r="D60" s="41" t="s">
        <v>104</v>
      </c>
      <c r="E60" s="41" t="s">
        <v>102</v>
      </c>
      <c r="F60" s="41" t="s">
        <v>80</v>
      </c>
      <c r="G60" s="41" t="n">
        <v>72.35</v>
      </c>
      <c r="H60" s="41" t="n">
        <v>10</v>
      </c>
      <c r="I60" s="41" t="n">
        <v>36.175</v>
      </c>
      <c r="J60" s="41" t="n">
        <v>759.675</v>
      </c>
      <c r="K60" s="41" t="s">
        <v>1284</v>
      </c>
      <c r="L60" s="41" t="s">
        <v>1285</v>
      </c>
      <c r="M60" s="41" t="s">
        <v>97</v>
      </c>
      <c r="N60" s="41" t="n">
        <v>723.5</v>
      </c>
      <c r="O60" s="41" t="n">
        <v>4.761904762</v>
      </c>
      <c r="P60" s="41" t="n">
        <v>36.175</v>
      </c>
      <c r="Q60" s="41" t="n">
        <v>5.4</v>
      </c>
    </row>
    <row r="61" customFormat="false" ht="15" hidden="false" customHeight="false" outlineLevel="0" collapsed="false">
      <c r="A61" s="41" t="s">
        <v>239</v>
      </c>
      <c r="B61" s="41" t="s">
        <v>180</v>
      </c>
      <c r="C61" s="41" t="s">
        <v>87</v>
      </c>
      <c r="D61" s="41" t="s">
        <v>105</v>
      </c>
      <c r="E61" s="41" t="s">
        <v>103</v>
      </c>
      <c r="F61" s="41" t="s">
        <v>78</v>
      </c>
      <c r="G61" s="41" t="n">
        <v>30.61</v>
      </c>
      <c r="H61" s="41" t="n">
        <v>6</v>
      </c>
      <c r="I61" s="41" t="n">
        <v>9.183</v>
      </c>
      <c r="J61" s="41" t="n">
        <v>192.843</v>
      </c>
      <c r="K61" s="41" t="s">
        <v>1286</v>
      </c>
      <c r="L61" s="41" t="s">
        <v>1287</v>
      </c>
      <c r="M61" s="41" t="s">
        <v>97</v>
      </c>
      <c r="N61" s="41" t="n">
        <v>183.66</v>
      </c>
      <c r="O61" s="41" t="n">
        <v>4.761904762</v>
      </c>
      <c r="P61" s="41" t="n">
        <v>9.183</v>
      </c>
      <c r="Q61" s="41" t="n">
        <v>9.3</v>
      </c>
    </row>
    <row r="62" customFormat="false" ht="15" hidden="false" customHeight="false" outlineLevel="0" collapsed="false">
      <c r="A62" s="41" t="s">
        <v>240</v>
      </c>
      <c r="B62" s="41" t="s">
        <v>180</v>
      </c>
      <c r="C62" s="41" t="s">
        <v>87</v>
      </c>
      <c r="D62" s="41" t="s">
        <v>104</v>
      </c>
      <c r="E62" s="41" t="s">
        <v>102</v>
      </c>
      <c r="F62" s="41" t="s">
        <v>77</v>
      </c>
      <c r="G62" s="41" t="n">
        <v>24.74</v>
      </c>
      <c r="H62" s="41" t="n">
        <v>3</v>
      </c>
      <c r="I62" s="41" t="n">
        <v>3.711</v>
      </c>
      <c r="J62" s="41" t="n">
        <v>77.931</v>
      </c>
      <c r="K62" s="41" t="s">
        <v>1288</v>
      </c>
      <c r="L62" s="41" t="s">
        <v>1289</v>
      </c>
      <c r="M62" s="41" t="s">
        <v>99</v>
      </c>
      <c r="N62" s="41" t="n">
        <v>74.22</v>
      </c>
      <c r="O62" s="41" t="n">
        <v>4.761904762</v>
      </c>
      <c r="P62" s="41" t="n">
        <v>3.711</v>
      </c>
      <c r="Q62" s="41" t="n">
        <v>10</v>
      </c>
    </row>
    <row r="63" customFormat="false" ht="15" hidden="false" customHeight="false" outlineLevel="0" collapsed="false">
      <c r="A63" s="41" t="s">
        <v>241</v>
      </c>
      <c r="B63" s="41" t="s">
        <v>180</v>
      </c>
      <c r="C63" s="41" t="s">
        <v>87</v>
      </c>
      <c r="D63" s="41" t="s">
        <v>105</v>
      </c>
      <c r="E63" s="41" t="s">
        <v>103</v>
      </c>
      <c r="F63" s="41" t="s">
        <v>80</v>
      </c>
      <c r="G63" s="41" t="n">
        <v>55.73</v>
      </c>
      <c r="H63" s="41" t="n">
        <v>6</v>
      </c>
      <c r="I63" s="41" t="n">
        <v>16.719</v>
      </c>
      <c r="J63" s="41" t="n">
        <v>351.099</v>
      </c>
      <c r="K63" s="41" t="s">
        <v>1202</v>
      </c>
      <c r="L63" s="41" t="s">
        <v>1290</v>
      </c>
      <c r="M63" s="41" t="s">
        <v>98</v>
      </c>
      <c r="N63" s="41" t="n">
        <v>334.38</v>
      </c>
      <c r="O63" s="41" t="n">
        <v>4.761904762</v>
      </c>
      <c r="P63" s="41" t="n">
        <v>16.719</v>
      </c>
      <c r="Q63" s="41" t="n">
        <v>7</v>
      </c>
    </row>
    <row r="64" customFormat="false" ht="15" hidden="false" customHeight="false" outlineLevel="0" collapsed="false">
      <c r="A64" s="41" t="s">
        <v>242</v>
      </c>
      <c r="B64" s="41" t="s">
        <v>189</v>
      </c>
      <c r="C64" s="41" t="s">
        <v>86</v>
      </c>
      <c r="D64" s="41" t="s">
        <v>104</v>
      </c>
      <c r="E64" s="41" t="s">
        <v>102</v>
      </c>
      <c r="F64" s="41" t="s">
        <v>77</v>
      </c>
      <c r="G64" s="41" t="n">
        <v>55.07</v>
      </c>
      <c r="H64" s="41" t="n">
        <v>9</v>
      </c>
      <c r="I64" s="41" t="n">
        <v>24.7815</v>
      </c>
      <c r="J64" s="41" t="n">
        <v>520.4115</v>
      </c>
      <c r="K64" s="41" t="s">
        <v>1272</v>
      </c>
      <c r="L64" s="41" t="s">
        <v>1291</v>
      </c>
      <c r="M64" s="41" t="s">
        <v>98</v>
      </c>
      <c r="N64" s="41" t="n">
        <v>495.63</v>
      </c>
      <c r="O64" s="41" t="n">
        <v>4.761904762</v>
      </c>
      <c r="P64" s="41" t="n">
        <v>24.7815</v>
      </c>
      <c r="Q64" s="41" t="n">
        <v>10</v>
      </c>
    </row>
    <row r="65" customFormat="false" ht="15" hidden="false" customHeight="false" outlineLevel="0" collapsed="false">
      <c r="A65" s="41" t="s">
        <v>243</v>
      </c>
      <c r="B65" s="41" t="s">
        <v>178</v>
      </c>
      <c r="C65" s="41" t="s">
        <v>85</v>
      </c>
      <c r="D65" s="41" t="s">
        <v>104</v>
      </c>
      <c r="E65" s="41" t="s">
        <v>103</v>
      </c>
      <c r="F65" s="41" t="s">
        <v>77</v>
      </c>
      <c r="G65" s="41" t="n">
        <v>15.81</v>
      </c>
      <c r="H65" s="41" t="n">
        <v>10</v>
      </c>
      <c r="I65" s="41" t="n">
        <v>7.905</v>
      </c>
      <c r="J65" s="41" t="n">
        <v>166.005</v>
      </c>
      <c r="K65" s="41" t="s">
        <v>1292</v>
      </c>
      <c r="L65" s="41" t="s">
        <v>1293</v>
      </c>
      <c r="M65" s="41" t="s">
        <v>99</v>
      </c>
      <c r="N65" s="41" t="n">
        <v>158.1</v>
      </c>
      <c r="O65" s="41" t="n">
        <v>4.761904762</v>
      </c>
      <c r="P65" s="41" t="n">
        <v>7.905</v>
      </c>
      <c r="Q65" s="41" t="n">
        <v>8.6</v>
      </c>
    </row>
    <row r="66" customFormat="false" ht="15" hidden="false" customHeight="false" outlineLevel="0" collapsed="false">
      <c r="A66" s="41" t="s">
        <v>244</v>
      </c>
      <c r="B66" s="41" t="s">
        <v>189</v>
      </c>
      <c r="C66" s="41" t="s">
        <v>86</v>
      </c>
      <c r="D66" s="41" t="s">
        <v>104</v>
      </c>
      <c r="E66" s="41" t="s">
        <v>103</v>
      </c>
      <c r="F66" s="41" t="s">
        <v>81</v>
      </c>
      <c r="G66" s="41" t="n">
        <v>75.74</v>
      </c>
      <c r="H66" s="41" t="n">
        <v>4</v>
      </c>
      <c r="I66" s="41" t="n">
        <v>15.148</v>
      </c>
      <c r="J66" s="41" t="n">
        <v>318.108</v>
      </c>
      <c r="K66" s="41" t="s">
        <v>1294</v>
      </c>
      <c r="L66" s="41" t="s">
        <v>1295</v>
      </c>
      <c r="M66" s="41" t="s">
        <v>97</v>
      </c>
      <c r="N66" s="41" t="n">
        <v>302.96</v>
      </c>
      <c r="O66" s="41" t="n">
        <v>4.761904762</v>
      </c>
      <c r="P66" s="41" t="n">
        <v>15.148</v>
      </c>
      <c r="Q66" s="41" t="n">
        <v>7.6</v>
      </c>
    </row>
    <row r="67" customFormat="false" ht="15" hidden="false" customHeight="false" outlineLevel="0" collapsed="false">
      <c r="A67" s="41" t="s">
        <v>245</v>
      </c>
      <c r="B67" s="41" t="s">
        <v>178</v>
      </c>
      <c r="C67" s="41" t="s">
        <v>85</v>
      </c>
      <c r="D67" s="41" t="s">
        <v>104</v>
      </c>
      <c r="E67" s="41" t="s">
        <v>103</v>
      </c>
      <c r="F67" s="41" t="s">
        <v>81</v>
      </c>
      <c r="G67" s="41" t="n">
        <v>15.87</v>
      </c>
      <c r="H67" s="41" t="n">
        <v>10</v>
      </c>
      <c r="I67" s="41" t="n">
        <v>7.935</v>
      </c>
      <c r="J67" s="41" t="n">
        <v>166.635</v>
      </c>
      <c r="K67" s="41" t="s">
        <v>1296</v>
      </c>
      <c r="L67" s="41" t="s">
        <v>1297</v>
      </c>
      <c r="M67" s="41" t="s">
        <v>97</v>
      </c>
      <c r="N67" s="41" t="n">
        <v>158.7</v>
      </c>
      <c r="O67" s="41" t="n">
        <v>4.761904762</v>
      </c>
      <c r="P67" s="41" t="n">
        <v>7.935</v>
      </c>
      <c r="Q67" s="41" t="n">
        <v>5.8</v>
      </c>
    </row>
    <row r="68" customFormat="false" ht="15" hidden="false" customHeight="false" outlineLevel="0" collapsed="false">
      <c r="A68" s="41" t="s">
        <v>246</v>
      </c>
      <c r="B68" s="41" t="s">
        <v>180</v>
      </c>
      <c r="C68" s="41" t="s">
        <v>87</v>
      </c>
      <c r="D68" s="41" t="s">
        <v>105</v>
      </c>
      <c r="E68" s="41" t="s">
        <v>102</v>
      </c>
      <c r="F68" s="41" t="s">
        <v>81</v>
      </c>
      <c r="G68" s="41" t="n">
        <v>33.47</v>
      </c>
      <c r="H68" s="41" t="n">
        <v>2</v>
      </c>
      <c r="I68" s="41" t="n">
        <v>3.347</v>
      </c>
      <c r="J68" s="41" t="n">
        <v>70.287</v>
      </c>
      <c r="K68" s="41" t="s">
        <v>1268</v>
      </c>
      <c r="L68" s="41" t="s">
        <v>1298</v>
      </c>
      <c r="M68" s="41" t="s">
        <v>98</v>
      </c>
      <c r="N68" s="41" t="n">
        <v>66.94</v>
      </c>
      <c r="O68" s="41" t="n">
        <v>4.761904762</v>
      </c>
      <c r="P68" s="41" t="n">
        <v>3.347</v>
      </c>
      <c r="Q68" s="41" t="n">
        <v>6.7</v>
      </c>
    </row>
    <row r="69" customFormat="false" ht="15" hidden="false" customHeight="false" outlineLevel="0" collapsed="false">
      <c r="A69" s="41" t="s">
        <v>247</v>
      </c>
      <c r="B69" s="41" t="s">
        <v>189</v>
      </c>
      <c r="C69" s="41" t="s">
        <v>86</v>
      </c>
      <c r="D69" s="41" t="s">
        <v>104</v>
      </c>
      <c r="E69" s="41" t="s">
        <v>102</v>
      </c>
      <c r="F69" s="41" t="s">
        <v>79</v>
      </c>
      <c r="G69" s="41" t="n">
        <v>97.61</v>
      </c>
      <c r="H69" s="41" t="n">
        <v>6</v>
      </c>
      <c r="I69" s="41" t="n">
        <v>29.283</v>
      </c>
      <c r="J69" s="41" t="n">
        <v>614.943</v>
      </c>
      <c r="K69" s="41" t="s">
        <v>1249</v>
      </c>
      <c r="L69" s="41" t="s">
        <v>1299</v>
      </c>
      <c r="M69" s="41" t="s">
        <v>98</v>
      </c>
      <c r="N69" s="41" t="n">
        <v>585.66</v>
      </c>
      <c r="O69" s="41" t="n">
        <v>4.761904762</v>
      </c>
      <c r="P69" s="41" t="n">
        <v>29.283</v>
      </c>
      <c r="Q69" s="41" t="n">
        <v>9.9</v>
      </c>
    </row>
    <row r="70" customFormat="false" ht="15" hidden="false" customHeight="false" outlineLevel="0" collapsed="false">
      <c r="A70" s="41" t="s">
        <v>248</v>
      </c>
      <c r="B70" s="41" t="s">
        <v>178</v>
      </c>
      <c r="C70" s="41" t="s">
        <v>85</v>
      </c>
      <c r="D70" s="41" t="s">
        <v>105</v>
      </c>
      <c r="E70" s="41" t="s">
        <v>103</v>
      </c>
      <c r="F70" s="41" t="s">
        <v>77</v>
      </c>
      <c r="G70" s="41" t="n">
        <v>78.77</v>
      </c>
      <c r="H70" s="41" t="n">
        <v>10</v>
      </c>
      <c r="I70" s="41" t="n">
        <v>39.385</v>
      </c>
      <c r="J70" s="41" t="n">
        <v>827.085</v>
      </c>
      <c r="K70" s="41" t="s">
        <v>1300</v>
      </c>
      <c r="L70" s="41" t="s">
        <v>1301</v>
      </c>
      <c r="M70" s="41" t="s">
        <v>97</v>
      </c>
      <c r="N70" s="41" t="n">
        <v>787.7</v>
      </c>
      <c r="O70" s="41" t="n">
        <v>4.761904762</v>
      </c>
      <c r="P70" s="41" t="n">
        <v>39.385</v>
      </c>
      <c r="Q70" s="41" t="n">
        <v>6.4</v>
      </c>
    </row>
    <row r="71" customFormat="false" ht="15" hidden="false" customHeight="false" outlineLevel="0" collapsed="false">
      <c r="A71" s="41" t="s">
        <v>249</v>
      </c>
      <c r="B71" s="41" t="s">
        <v>178</v>
      </c>
      <c r="C71" s="41" t="s">
        <v>85</v>
      </c>
      <c r="D71" s="41" t="s">
        <v>104</v>
      </c>
      <c r="E71" s="41" t="s">
        <v>102</v>
      </c>
      <c r="F71" s="41" t="s">
        <v>81</v>
      </c>
      <c r="G71" s="41" t="n">
        <v>18.33</v>
      </c>
      <c r="H71" s="41" t="n">
        <v>1</v>
      </c>
      <c r="I71" s="41" t="n">
        <v>0.9165</v>
      </c>
      <c r="J71" s="41" t="n">
        <v>19.2465</v>
      </c>
      <c r="K71" s="41" t="s">
        <v>1258</v>
      </c>
      <c r="L71" s="41" t="s">
        <v>1302</v>
      </c>
      <c r="M71" s="41" t="s">
        <v>97</v>
      </c>
      <c r="N71" s="41" t="n">
        <v>18.33</v>
      </c>
      <c r="O71" s="41" t="n">
        <v>4.761904762</v>
      </c>
      <c r="P71" s="41" t="n">
        <v>0.9165</v>
      </c>
      <c r="Q71" s="41" t="n">
        <v>4.3</v>
      </c>
    </row>
    <row r="72" customFormat="false" ht="15" hidden="false" customHeight="false" outlineLevel="0" collapsed="false">
      <c r="A72" s="41" t="s">
        <v>250</v>
      </c>
      <c r="B72" s="41" t="s">
        <v>180</v>
      </c>
      <c r="C72" s="41" t="s">
        <v>87</v>
      </c>
      <c r="D72" s="41" t="s">
        <v>105</v>
      </c>
      <c r="E72" s="41" t="s">
        <v>103</v>
      </c>
      <c r="F72" s="41" t="s">
        <v>76</v>
      </c>
      <c r="G72" s="41" t="n">
        <v>89.48</v>
      </c>
      <c r="H72" s="41" t="n">
        <v>10</v>
      </c>
      <c r="I72" s="41" t="n">
        <v>44.74</v>
      </c>
      <c r="J72" s="41" t="n">
        <v>939.54</v>
      </c>
      <c r="K72" s="41" t="s">
        <v>1303</v>
      </c>
      <c r="L72" s="41" t="s">
        <v>1304</v>
      </c>
      <c r="M72" s="41" t="s">
        <v>99</v>
      </c>
      <c r="N72" s="41" t="n">
        <v>894.8</v>
      </c>
      <c r="O72" s="41" t="n">
        <v>4.761904762</v>
      </c>
      <c r="P72" s="41" t="n">
        <v>44.74</v>
      </c>
      <c r="Q72" s="41" t="n">
        <v>9.6</v>
      </c>
    </row>
    <row r="73" customFormat="false" ht="15" hidden="false" customHeight="false" outlineLevel="0" collapsed="false">
      <c r="A73" s="41" t="s">
        <v>251</v>
      </c>
      <c r="B73" s="41" t="s">
        <v>180</v>
      </c>
      <c r="C73" s="41" t="s">
        <v>87</v>
      </c>
      <c r="D73" s="41" t="s">
        <v>105</v>
      </c>
      <c r="E73" s="41" t="s">
        <v>103</v>
      </c>
      <c r="F73" s="41" t="s">
        <v>79</v>
      </c>
      <c r="G73" s="41" t="n">
        <v>62.12</v>
      </c>
      <c r="H73" s="41" t="n">
        <v>10</v>
      </c>
      <c r="I73" s="41" t="n">
        <v>31.06</v>
      </c>
      <c r="J73" s="41" t="n">
        <v>652.26</v>
      </c>
      <c r="K73" s="41" t="s">
        <v>1305</v>
      </c>
      <c r="L73" s="41" t="s">
        <v>1219</v>
      </c>
      <c r="M73" s="41" t="s">
        <v>97</v>
      </c>
      <c r="N73" s="41" t="n">
        <v>621.2</v>
      </c>
      <c r="O73" s="41" t="n">
        <v>4.761904762</v>
      </c>
      <c r="P73" s="41" t="n">
        <v>31.06</v>
      </c>
      <c r="Q73" s="41" t="n">
        <v>5.9</v>
      </c>
    </row>
    <row r="74" customFormat="false" ht="15" hidden="false" customHeight="false" outlineLevel="0" collapsed="false">
      <c r="A74" s="41" t="s">
        <v>252</v>
      </c>
      <c r="B74" s="41" t="s">
        <v>189</v>
      </c>
      <c r="C74" s="41" t="s">
        <v>86</v>
      </c>
      <c r="D74" s="41" t="s">
        <v>104</v>
      </c>
      <c r="E74" s="41" t="s">
        <v>102</v>
      </c>
      <c r="F74" s="41" t="s">
        <v>76</v>
      </c>
      <c r="G74" s="41" t="n">
        <v>48.52</v>
      </c>
      <c r="H74" s="41" t="n">
        <v>3</v>
      </c>
      <c r="I74" s="41" t="n">
        <v>7.278</v>
      </c>
      <c r="J74" s="41" t="n">
        <v>152.838</v>
      </c>
      <c r="K74" s="41" t="s">
        <v>1227</v>
      </c>
      <c r="L74" s="41" t="s">
        <v>1306</v>
      </c>
      <c r="M74" s="41" t="s">
        <v>98</v>
      </c>
      <c r="N74" s="41" t="n">
        <v>145.56</v>
      </c>
      <c r="O74" s="41" t="n">
        <v>4.761904762</v>
      </c>
      <c r="P74" s="41" t="n">
        <v>7.278</v>
      </c>
      <c r="Q74" s="41" t="n">
        <v>4</v>
      </c>
    </row>
    <row r="75" customFormat="false" ht="15" hidden="false" customHeight="false" outlineLevel="0" collapsed="false">
      <c r="A75" s="41" t="s">
        <v>253</v>
      </c>
      <c r="B75" s="41" t="s">
        <v>180</v>
      </c>
      <c r="C75" s="41" t="s">
        <v>87</v>
      </c>
      <c r="D75" s="41" t="s">
        <v>105</v>
      </c>
      <c r="E75" s="41" t="s">
        <v>102</v>
      </c>
      <c r="F75" s="41" t="s">
        <v>78</v>
      </c>
      <c r="G75" s="41" t="n">
        <v>75.91</v>
      </c>
      <c r="H75" s="41" t="n">
        <v>6</v>
      </c>
      <c r="I75" s="41" t="n">
        <v>22.773</v>
      </c>
      <c r="J75" s="41" t="n">
        <v>478.233</v>
      </c>
      <c r="K75" s="41" t="s">
        <v>1210</v>
      </c>
      <c r="L75" s="41" t="s">
        <v>1307</v>
      </c>
      <c r="M75" s="41" t="s">
        <v>97</v>
      </c>
      <c r="N75" s="41" t="n">
        <v>455.46</v>
      </c>
      <c r="O75" s="41" t="n">
        <v>4.761904762</v>
      </c>
      <c r="P75" s="41" t="n">
        <v>22.773</v>
      </c>
      <c r="Q75" s="41" t="n">
        <v>8.7</v>
      </c>
    </row>
    <row r="76" customFormat="false" ht="15" hidden="false" customHeight="false" outlineLevel="0" collapsed="false">
      <c r="A76" s="41" t="s">
        <v>254</v>
      </c>
      <c r="B76" s="41" t="s">
        <v>178</v>
      </c>
      <c r="C76" s="41" t="s">
        <v>85</v>
      </c>
      <c r="D76" s="41" t="s">
        <v>105</v>
      </c>
      <c r="E76" s="41" t="s">
        <v>103</v>
      </c>
      <c r="F76" s="41" t="s">
        <v>80</v>
      </c>
      <c r="G76" s="41" t="n">
        <v>74.67</v>
      </c>
      <c r="H76" s="41" t="n">
        <v>9</v>
      </c>
      <c r="I76" s="41" t="n">
        <v>33.6015</v>
      </c>
      <c r="J76" s="41" t="n">
        <v>705.6315</v>
      </c>
      <c r="K76" s="41" t="s">
        <v>1308</v>
      </c>
      <c r="L76" s="41" t="s">
        <v>1290</v>
      </c>
      <c r="M76" s="41" t="s">
        <v>98</v>
      </c>
      <c r="N76" s="41" t="n">
        <v>672.03</v>
      </c>
      <c r="O76" s="41" t="n">
        <v>4.761904762</v>
      </c>
      <c r="P76" s="41" t="n">
        <v>33.6015</v>
      </c>
      <c r="Q76" s="41" t="n">
        <v>9.4</v>
      </c>
    </row>
    <row r="77" customFormat="false" ht="15" hidden="false" customHeight="false" outlineLevel="0" collapsed="false">
      <c r="A77" s="41" t="s">
        <v>255</v>
      </c>
      <c r="B77" s="41" t="s">
        <v>180</v>
      </c>
      <c r="C77" s="41" t="s">
        <v>87</v>
      </c>
      <c r="D77" s="41" t="s">
        <v>105</v>
      </c>
      <c r="E77" s="41" t="s">
        <v>102</v>
      </c>
      <c r="F77" s="41" t="s">
        <v>78</v>
      </c>
      <c r="G77" s="41" t="n">
        <v>41.65</v>
      </c>
      <c r="H77" s="41" t="n">
        <v>10</v>
      </c>
      <c r="I77" s="41" t="n">
        <v>20.825</v>
      </c>
      <c r="J77" s="41" t="n">
        <v>437.325</v>
      </c>
      <c r="K77" s="41" t="s">
        <v>1309</v>
      </c>
      <c r="L77" s="41" t="s">
        <v>1310</v>
      </c>
      <c r="M77" s="41" t="s">
        <v>99</v>
      </c>
      <c r="N77" s="41" t="n">
        <v>416.5</v>
      </c>
      <c r="O77" s="41" t="n">
        <v>4.761904762</v>
      </c>
      <c r="P77" s="41" t="n">
        <v>20.825</v>
      </c>
      <c r="Q77" s="41" t="n">
        <v>5.4</v>
      </c>
    </row>
    <row r="78" customFormat="false" ht="15" hidden="false" customHeight="false" outlineLevel="0" collapsed="false">
      <c r="A78" s="41" t="s">
        <v>256</v>
      </c>
      <c r="B78" s="41" t="s">
        <v>180</v>
      </c>
      <c r="C78" s="41" t="s">
        <v>87</v>
      </c>
      <c r="D78" s="41" t="s">
        <v>104</v>
      </c>
      <c r="E78" s="41" t="s">
        <v>103</v>
      </c>
      <c r="F78" s="41" t="s">
        <v>79</v>
      </c>
      <c r="G78" s="41" t="n">
        <v>49.04</v>
      </c>
      <c r="H78" s="41" t="n">
        <v>9</v>
      </c>
      <c r="I78" s="41" t="n">
        <v>22.068</v>
      </c>
      <c r="J78" s="41" t="n">
        <v>463.428</v>
      </c>
      <c r="K78" s="41" t="s">
        <v>1311</v>
      </c>
      <c r="L78" s="41" t="s">
        <v>1312</v>
      </c>
      <c r="M78" s="41" t="s">
        <v>99</v>
      </c>
      <c r="N78" s="41" t="n">
        <v>441.36</v>
      </c>
      <c r="O78" s="41" t="n">
        <v>4.761904762</v>
      </c>
      <c r="P78" s="41" t="n">
        <v>22.068</v>
      </c>
      <c r="Q78" s="41" t="n">
        <v>8.6</v>
      </c>
    </row>
    <row r="79" customFormat="false" ht="15" hidden="false" customHeight="false" outlineLevel="0" collapsed="false">
      <c r="A79" s="41" t="s">
        <v>257</v>
      </c>
      <c r="B79" s="41" t="s">
        <v>178</v>
      </c>
      <c r="C79" s="41" t="s">
        <v>85</v>
      </c>
      <c r="D79" s="41" t="s">
        <v>104</v>
      </c>
      <c r="E79" s="41" t="s">
        <v>102</v>
      </c>
      <c r="F79" s="41" t="s">
        <v>79</v>
      </c>
      <c r="G79" s="41" t="n">
        <v>20.01</v>
      </c>
      <c r="H79" s="41" t="n">
        <v>9</v>
      </c>
      <c r="I79" s="41" t="n">
        <v>9.0045</v>
      </c>
      <c r="J79" s="41" t="n">
        <v>189.0945</v>
      </c>
      <c r="K79" s="41" t="s">
        <v>1313</v>
      </c>
      <c r="L79" s="41" t="s">
        <v>1314</v>
      </c>
      <c r="M79" s="41" t="s">
        <v>99</v>
      </c>
      <c r="N79" s="41" t="n">
        <v>180.09</v>
      </c>
      <c r="O79" s="41" t="n">
        <v>4.761904762</v>
      </c>
      <c r="P79" s="41" t="n">
        <v>9.0045</v>
      </c>
      <c r="Q79" s="41" t="n">
        <v>5.7</v>
      </c>
    </row>
    <row r="80" customFormat="false" ht="15" hidden="false" customHeight="false" outlineLevel="0" collapsed="false">
      <c r="A80" s="41" t="s">
        <v>258</v>
      </c>
      <c r="B80" s="41" t="s">
        <v>180</v>
      </c>
      <c r="C80" s="41" t="s">
        <v>87</v>
      </c>
      <c r="D80" s="41" t="s">
        <v>104</v>
      </c>
      <c r="E80" s="41" t="s">
        <v>102</v>
      </c>
      <c r="F80" s="41" t="s">
        <v>76</v>
      </c>
      <c r="G80" s="41" t="n">
        <v>78.31</v>
      </c>
      <c r="H80" s="41" t="n">
        <v>10</v>
      </c>
      <c r="I80" s="41" t="n">
        <v>39.155</v>
      </c>
      <c r="J80" s="41" t="n">
        <v>822.255</v>
      </c>
      <c r="K80" s="41" t="s">
        <v>1227</v>
      </c>
      <c r="L80" s="41" t="s">
        <v>1315</v>
      </c>
      <c r="M80" s="41" t="s">
        <v>98</v>
      </c>
      <c r="N80" s="41" t="n">
        <v>783.1</v>
      </c>
      <c r="O80" s="41" t="n">
        <v>4.761904762</v>
      </c>
      <c r="P80" s="41" t="n">
        <v>39.155</v>
      </c>
      <c r="Q80" s="41" t="n">
        <v>6.6</v>
      </c>
    </row>
    <row r="81" customFormat="false" ht="15" hidden="false" customHeight="false" outlineLevel="0" collapsed="false">
      <c r="A81" s="41" t="s">
        <v>259</v>
      </c>
      <c r="B81" s="41" t="s">
        <v>180</v>
      </c>
      <c r="C81" s="41" t="s">
        <v>87</v>
      </c>
      <c r="D81" s="41" t="s">
        <v>105</v>
      </c>
      <c r="E81" s="41" t="s">
        <v>102</v>
      </c>
      <c r="F81" s="41" t="s">
        <v>81</v>
      </c>
      <c r="G81" s="41" t="n">
        <v>20.38</v>
      </c>
      <c r="H81" s="41" t="n">
        <v>5</v>
      </c>
      <c r="I81" s="41" t="n">
        <v>5.095</v>
      </c>
      <c r="J81" s="41" t="n">
        <v>106.995</v>
      </c>
      <c r="K81" s="41" t="s">
        <v>1308</v>
      </c>
      <c r="L81" s="41" t="s">
        <v>1316</v>
      </c>
      <c r="M81" s="41" t="s">
        <v>97</v>
      </c>
      <c r="N81" s="41" t="n">
        <v>101.9</v>
      </c>
      <c r="O81" s="41" t="n">
        <v>4.761904762</v>
      </c>
      <c r="P81" s="41" t="n">
        <v>5.095</v>
      </c>
      <c r="Q81" s="41" t="n">
        <v>6</v>
      </c>
    </row>
    <row r="82" customFormat="false" ht="15" hidden="false" customHeight="false" outlineLevel="0" collapsed="false">
      <c r="A82" s="41" t="s">
        <v>260</v>
      </c>
      <c r="B82" s="41" t="s">
        <v>180</v>
      </c>
      <c r="C82" s="41" t="s">
        <v>87</v>
      </c>
      <c r="D82" s="41" t="s">
        <v>105</v>
      </c>
      <c r="E82" s="41" t="s">
        <v>102</v>
      </c>
      <c r="F82" s="41" t="s">
        <v>81</v>
      </c>
      <c r="G82" s="41" t="n">
        <v>99.19</v>
      </c>
      <c r="H82" s="41" t="n">
        <v>6</v>
      </c>
      <c r="I82" s="41" t="n">
        <v>29.757</v>
      </c>
      <c r="J82" s="41" t="n">
        <v>624.897</v>
      </c>
      <c r="K82" s="41" t="s">
        <v>1224</v>
      </c>
      <c r="L82" s="41" t="s">
        <v>1275</v>
      </c>
      <c r="M82" s="41" t="s">
        <v>99</v>
      </c>
      <c r="N82" s="41" t="n">
        <v>595.14</v>
      </c>
      <c r="O82" s="41" t="n">
        <v>4.761904762</v>
      </c>
      <c r="P82" s="41" t="n">
        <v>29.757</v>
      </c>
      <c r="Q82" s="41" t="n">
        <v>5.5</v>
      </c>
    </row>
    <row r="83" customFormat="false" ht="15" hidden="false" customHeight="false" outlineLevel="0" collapsed="false">
      <c r="A83" s="41" t="s">
        <v>261</v>
      </c>
      <c r="B83" s="41" t="s">
        <v>189</v>
      </c>
      <c r="C83" s="41" t="s">
        <v>86</v>
      </c>
      <c r="D83" s="41" t="s">
        <v>105</v>
      </c>
      <c r="E83" s="41" t="s">
        <v>102</v>
      </c>
      <c r="F83" s="41" t="s">
        <v>76</v>
      </c>
      <c r="G83" s="41" t="n">
        <v>96.68</v>
      </c>
      <c r="H83" s="41" t="n">
        <v>3</v>
      </c>
      <c r="I83" s="41" t="n">
        <v>14.502</v>
      </c>
      <c r="J83" s="41" t="n">
        <v>304.542</v>
      </c>
      <c r="K83" s="41" t="s">
        <v>1317</v>
      </c>
      <c r="L83" s="41" t="s">
        <v>1318</v>
      </c>
      <c r="M83" s="41" t="s">
        <v>98</v>
      </c>
      <c r="N83" s="41" t="n">
        <v>290.04</v>
      </c>
      <c r="O83" s="41" t="n">
        <v>4.761904762</v>
      </c>
      <c r="P83" s="41" t="n">
        <v>14.502</v>
      </c>
      <c r="Q83" s="41" t="n">
        <v>6.4</v>
      </c>
    </row>
    <row r="84" customFormat="false" ht="15" hidden="false" customHeight="false" outlineLevel="0" collapsed="false">
      <c r="A84" s="41" t="s">
        <v>262</v>
      </c>
      <c r="B84" s="41" t="s">
        <v>180</v>
      </c>
      <c r="C84" s="41" t="s">
        <v>87</v>
      </c>
      <c r="D84" s="41" t="s">
        <v>105</v>
      </c>
      <c r="E84" s="41" t="s">
        <v>103</v>
      </c>
      <c r="F84" s="41" t="s">
        <v>76</v>
      </c>
      <c r="G84" s="41" t="n">
        <v>19.25</v>
      </c>
      <c r="H84" s="41" t="n">
        <v>8</v>
      </c>
      <c r="I84" s="41" t="n">
        <v>7.7</v>
      </c>
      <c r="J84" s="41" t="n">
        <v>161.7</v>
      </c>
      <c r="K84" s="41" t="s">
        <v>1319</v>
      </c>
      <c r="L84" s="41" t="s">
        <v>1320</v>
      </c>
      <c r="M84" s="41" t="s">
        <v>98</v>
      </c>
      <c r="N84" s="41" t="n">
        <v>154</v>
      </c>
      <c r="O84" s="41" t="n">
        <v>4.761904762</v>
      </c>
      <c r="P84" s="41" t="n">
        <v>7.7</v>
      </c>
      <c r="Q84" s="41" t="n">
        <v>6.6</v>
      </c>
    </row>
    <row r="85" customFormat="false" ht="15" hidden="false" customHeight="false" outlineLevel="0" collapsed="false">
      <c r="A85" s="41" t="s">
        <v>263</v>
      </c>
      <c r="B85" s="41" t="s">
        <v>180</v>
      </c>
      <c r="C85" s="41" t="s">
        <v>87</v>
      </c>
      <c r="D85" s="41" t="s">
        <v>104</v>
      </c>
      <c r="E85" s="41" t="s">
        <v>102</v>
      </c>
      <c r="F85" s="41" t="s">
        <v>76</v>
      </c>
      <c r="G85" s="41" t="n">
        <v>80.36</v>
      </c>
      <c r="H85" s="41" t="n">
        <v>4</v>
      </c>
      <c r="I85" s="41" t="n">
        <v>16.072</v>
      </c>
      <c r="J85" s="41" t="n">
        <v>337.512</v>
      </c>
      <c r="K85" s="41" t="s">
        <v>1321</v>
      </c>
      <c r="L85" s="41" t="s">
        <v>1257</v>
      </c>
      <c r="M85" s="41" t="s">
        <v>99</v>
      </c>
      <c r="N85" s="41" t="n">
        <v>321.44</v>
      </c>
      <c r="O85" s="41" t="n">
        <v>4.761904762</v>
      </c>
      <c r="P85" s="41" t="n">
        <v>16.072</v>
      </c>
      <c r="Q85" s="41" t="n">
        <v>8.3</v>
      </c>
    </row>
    <row r="86" customFormat="false" ht="15" hidden="false" customHeight="false" outlineLevel="0" collapsed="false">
      <c r="A86" s="41" t="s">
        <v>264</v>
      </c>
      <c r="B86" s="41" t="s">
        <v>180</v>
      </c>
      <c r="C86" s="41" t="s">
        <v>87</v>
      </c>
      <c r="D86" s="41" t="s">
        <v>104</v>
      </c>
      <c r="E86" s="41" t="s">
        <v>103</v>
      </c>
      <c r="F86" s="41" t="s">
        <v>77</v>
      </c>
      <c r="G86" s="41" t="n">
        <v>48.91</v>
      </c>
      <c r="H86" s="41" t="n">
        <v>5</v>
      </c>
      <c r="I86" s="41" t="n">
        <v>12.2275</v>
      </c>
      <c r="J86" s="41" t="n">
        <v>256.7775</v>
      </c>
      <c r="K86" s="41" t="s">
        <v>1210</v>
      </c>
      <c r="L86" s="41" t="s">
        <v>1322</v>
      </c>
      <c r="M86" s="41" t="s">
        <v>97</v>
      </c>
      <c r="N86" s="41" t="n">
        <v>244.55</v>
      </c>
      <c r="O86" s="41" t="n">
        <v>4.761904762</v>
      </c>
      <c r="P86" s="41" t="n">
        <v>12.2275</v>
      </c>
      <c r="Q86" s="41" t="n">
        <v>6.6</v>
      </c>
    </row>
    <row r="87" customFormat="false" ht="15" hidden="false" customHeight="false" outlineLevel="0" collapsed="false">
      <c r="A87" s="41" t="s">
        <v>265</v>
      </c>
      <c r="B87" s="41" t="s">
        <v>180</v>
      </c>
      <c r="C87" s="41" t="s">
        <v>87</v>
      </c>
      <c r="D87" s="41" t="s">
        <v>105</v>
      </c>
      <c r="E87" s="41" t="s">
        <v>102</v>
      </c>
      <c r="F87" s="41" t="s">
        <v>77</v>
      </c>
      <c r="G87" s="41" t="n">
        <v>83.06</v>
      </c>
      <c r="H87" s="41" t="n">
        <v>7</v>
      </c>
      <c r="I87" s="41" t="n">
        <v>29.071</v>
      </c>
      <c r="J87" s="41" t="n">
        <v>610.491</v>
      </c>
      <c r="K87" s="41" t="s">
        <v>1227</v>
      </c>
      <c r="L87" s="41" t="s">
        <v>1323</v>
      </c>
      <c r="M87" s="41" t="s">
        <v>98</v>
      </c>
      <c r="N87" s="41" t="n">
        <v>581.42</v>
      </c>
      <c r="O87" s="41" t="n">
        <v>4.761904762</v>
      </c>
      <c r="P87" s="41" t="n">
        <v>29.071</v>
      </c>
      <c r="Q87" s="41" t="n">
        <v>4</v>
      </c>
    </row>
    <row r="88" customFormat="false" ht="15" hidden="false" customHeight="false" outlineLevel="0" collapsed="false">
      <c r="A88" s="41" t="s">
        <v>266</v>
      </c>
      <c r="B88" s="41" t="s">
        <v>180</v>
      </c>
      <c r="C88" s="41" t="s">
        <v>87</v>
      </c>
      <c r="D88" s="41" t="s">
        <v>105</v>
      </c>
      <c r="E88" s="41" t="s">
        <v>103</v>
      </c>
      <c r="F88" s="41" t="s">
        <v>79</v>
      </c>
      <c r="G88" s="41" t="n">
        <v>76.52</v>
      </c>
      <c r="H88" s="41" t="n">
        <v>5</v>
      </c>
      <c r="I88" s="41" t="n">
        <v>19.13</v>
      </c>
      <c r="J88" s="41" t="n">
        <v>401.73</v>
      </c>
      <c r="K88" s="41" t="s">
        <v>1198</v>
      </c>
      <c r="L88" s="41" t="s">
        <v>1324</v>
      </c>
      <c r="M88" s="41" t="s">
        <v>97</v>
      </c>
      <c r="N88" s="41" t="n">
        <v>382.6</v>
      </c>
      <c r="O88" s="41" t="n">
        <v>4.761904762</v>
      </c>
      <c r="P88" s="41" t="n">
        <v>19.13</v>
      </c>
      <c r="Q88" s="41" t="n">
        <v>9.9</v>
      </c>
    </row>
    <row r="89" customFormat="false" ht="15" hidden="false" customHeight="false" outlineLevel="0" collapsed="false">
      <c r="A89" s="41" t="s">
        <v>267</v>
      </c>
      <c r="B89" s="41" t="s">
        <v>178</v>
      </c>
      <c r="C89" s="41" t="s">
        <v>85</v>
      </c>
      <c r="D89" s="41" t="s">
        <v>104</v>
      </c>
      <c r="E89" s="41" t="s">
        <v>103</v>
      </c>
      <c r="F89" s="41" t="s">
        <v>76</v>
      </c>
      <c r="G89" s="41" t="n">
        <v>49.38</v>
      </c>
      <c r="H89" s="41" t="n">
        <v>7</v>
      </c>
      <c r="I89" s="41" t="n">
        <v>17.283</v>
      </c>
      <c r="J89" s="41" t="n">
        <v>362.943</v>
      </c>
      <c r="K89" s="41" t="s">
        <v>1281</v>
      </c>
      <c r="L89" s="41" t="s">
        <v>1325</v>
      </c>
      <c r="M89" s="41" t="s">
        <v>99</v>
      </c>
      <c r="N89" s="41" t="n">
        <v>345.66</v>
      </c>
      <c r="O89" s="41" t="n">
        <v>4.761904762</v>
      </c>
      <c r="P89" s="41" t="n">
        <v>17.283</v>
      </c>
      <c r="Q89" s="41" t="n">
        <v>7.3</v>
      </c>
    </row>
    <row r="90" customFormat="false" ht="15" hidden="false" customHeight="false" outlineLevel="0" collapsed="false">
      <c r="A90" s="41" t="s">
        <v>268</v>
      </c>
      <c r="B90" s="41" t="s">
        <v>178</v>
      </c>
      <c r="C90" s="41" t="s">
        <v>85</v>
      </c>
      <c r="D90" s="41" t="s">
        <v>105</v>
      </c>
      <c r="E90" s="41" t="s">
        <v>103</v>
      </c>
      <c r="F90" s="41" t="s">
        <v>77</v>
      </c>
      <c r="G90" s="41" t="n">
        <v>42.47</v>
      </c>
      <c r="H90" s="41" t="n">
        <v>1</v>
      </c>
      <c r="I90" s="41" t="n">
        <v>2.1235</v>
      </c>
      <c r="J90" s="41" t="n">
        <v>44.5935</v>
      </c>
      <c r="K90" s="41" t="s">
        <v>1326</v>
      </c>
      <c r="L90" s="41" t="s">
        <v>1327</v>
      </c>
      <c r="M90" s="41" t="s">
        <v>97</v>
      </c>
      <c r="N90" s="41" t="n">
        <v>42.47</v>
      </c>
      <c r="O90" s="41" t="n">
        <v>4.761904762</v>
      </c>
      <c r="P90" s="41" t="n">
        <v>2.1235</v>
      </c>
      <c r="Q90" s="41" t="n">
        <v>5.7</v>
      </c>
    </row>
    <row r="91" customFormat="false" ht="15" hidden="false" customHeight="false" outlineLevel="0" collapsed="false">
      <c r="A91" s="41" t="s">
        <v>269</v>
      </c>
      <c r="B91" s="41" t="s">
        <v>189</v>
      </c>
      <c r="C91" s="41" t="s">
        <v>86</v>
      </c>
      <c r="D91" s="41" t="s">
        <v>105</v>
      </c>
      <c r="E91" s="41" t="s">
        <v>102</v>
      </c>
      <c r="F91" s="41" t="s">
        <v>81</v>
      </c>
      <c r="G91" s="41" t="n">
        <v>76.99</v>
      </c>
      <c r="H91" s="41" t="n">
        <v>6</v>
      </c>
      <c r="I91" s="41" t="n">
        <v>23.097</v>
      </c>
      <c r="J91" s="41" t="n">
        <v>485.037</v>
      </c>
      <c r="K91" s="41" t="s">
        <v>1265</v>
      </c>
      <c r="L91" s="41" t="s">
        <v>1328</v>
      </c>
      <c r="M91" s="41" t="s">
        <v>97</v>
      </c>
      <c r="N91" s="41" t="n">
        <v>461.94</v>
      </c>
      <c r="O91" s="41" t="n">
        <v>4.761904762</v>
      </c>
      <c r="P91" s="41" t="n">
        <v>23.097</v>
      </c>
      <c r="Q91" s="41" t="n">
        <v>6.1</v>
      </c>
    </row>
    <row r="92" customFormat="false" ht="15" hidden="false" customHeight="false" outlineLevel="0" collapsed="false">
      <c r="A92" s="41" t="s">
        <v>270</v>
      </c>
      <c r="B92" s="41" t="s">
        <v>180</v>
      </c>
      <c r="C92" s="41" t="s">
        <v>87</v>
      </c>
      <c r="D92" s="41" t="s">
        <v>104</v>
      </c>
      <c r="E92" s="41" t="s">
        <v>102</v>
      </c>
      <c r="F92" s="41" t="s">
        <v>80</v>
      </c>
      <c r="G92" s="41" t="n">
        <v>47.38</v>
      </c>
      <c r="H92" s="41" t="n">
        <v>4</v>
      </c>
      <c r="I92" s="41" t="n">
        <v>9.476</v>
      </c>
      <c r="J92" s="41" t="n">
        <v>198.996</v>
      </c>
      <c r="K92" s="41" t="s">
        <v>1319</v>
      </c>
      <c r="L92" s="41" t="s">
        <v>1213</v>
      </c>
      <c r="M92" s="41" t="s">
        <v>97</v>
      </c>
      <c r="N92" s="41" t="n">
        <v>189.52</v>
      </c>
      <c r="O92" s="41" t="n">
        <v>4.761904762</v>
      </c>
      <c r="P92" s="41" t="n">
        <v>9.476</v>
      </c>
      <c r="Q92" s="41" t="n">
        <v>7.1</v>
      </c>
    </row>
    <row r="93" customFormat="false" ht="15" hidden="false" customHeight="false" outlineLevel="0" collapsed="false">
      <c r="A93" s="41" t="s">
        <v>271</v>
      </c>
      <c r="B93" s="41" t="s">
        <v>180</v>
      </c>
      <c r="C93" s="41" t="s">
        <v>87</v>
      </c>
      <c r="D93" s="41" t="s">
        <v>105</v>
      </c>
      <c r="E93" s="41" t="s">
        <v>102</v>
      </c>
      <c r="F93" s="41" t="s">
        <v>77</v>
      </c>
      <c r="G93" s="41" t="n">
        <v>44.86</v>
      </c>
      <c r="H93" s="41" t="n">
        <v>10</v>
      </c>
      <c r="I93" s="41" t="n">
        <v>22.43</v>
      </c>
      <c r="J93" s="41" t="n">
        <v>471.03</v>
      </c>
      <c r="K93" s="41" t="s">
        <v>1317</v>
      </c>
      <c r="L93" s="41" t="s">
        <v>1329</v>
      </c>
      <c r="M93" s="41" t="s">
        <v>98</v>
      </c>
      <c r="N93" s="41" t="n">
        <v>448.6</v>
      </c>
      <c r="O93" s="41" t="n">
        <v>4.761904762</v>
      </c>
      <c r="P93" s="41" t="n">
        <v>22.43</v>
      </c>
      <c r="Q93" s="41" t="n">
        <v>8.2</v>
      </c>
    </row>
    <row r="94" customFormat="false" ht="15" hidden="false" customHeight="false" outlineLevel="0" collapsed="false">
      <c r="A94" s="41" t="s">
        <v>272</v>
      </c>
      <c r="B94" s="41" t="s">
        <v>178</v>
      </c>
      <c r="C94" s="41" t="s">
        <v>85</v>
      </c>
      <c r="D94" s="41" t="s">
        <v>104</v>
      </c>
      <c r="E94" s="41" t="s">
        <v>102</v>
      </c>
      <c r="F94" s="41" t="s">
        <v>77</v>
      </c>
      <c r="G94" s="41" t="n">
        <v>21.98</v>
      </c>
      <c r="H94" s="41" t="n">
        <v>7</v>
      </c>
      <c r="I94" s="41" t="n">
        <v>7.693</v>
      </c>
      <c r="J94" s="41" t="n">
        <v>161.553</v>
      </c>
      <c r="K94" s="41" t="s">
        <v>1204</v>
      </c>
      <c r="L94" s="41" t="s">
        <v>1330</v>
      </c>
      <c r="M94" s="41" t="s">
        <v>98</v>
      </c>
      <c r="N94" s="41" t="n">
        <v>153.86</v>
      </c>
      <c r="O94" s="41" t="n">
        <v>4.761904762</v>
      </c>
      <c r="P94" s="41" t="n">
        <v>7.693</v>
      </c>
      <c r="Q94" s="41" t="n">
        <v>5.1</v>
      </c>
    </row>
    <row r="95" customFormat="false" ht="15" hidden="false" customHeight="false" outlineLevel="0" collapsed="false">
      <c r="A95" s="41" t="s">
        <v>273</v>
      </c>
      <c r="B95" s="41" t="s">
        <v>189</v>
      </c>
      <c r="C95" s="41" t="s">
        <v>86</v>
      </c>
      <c r="D95" s="41" t="s">
        <v>104</v>
      </c>
      <c r="E95" s="41" t="s">
        <v>103</v>
      </c>
      <c r="F95" s="41" t="s">
        <v>81</v>
      </c>
      <c r="G95" s="41" t="n">
        <v>64.36</v>
      </c>
      <c r="H95" s="41" t="n">
        <v>9</v>
      </c>
      <c r="I95" s="41" t="n">
        <v>28.962</v>
      </c>
      <c r="J95" s="41" t="n">
        <v>608.202</v>
      </c>
      <c r="K95" s="41" t="s">
        <v>1286</v>
      </c>
      <c r="L95" s="41" t="s">
        <v>1331</v>
      </c>
      <c r="M95" s="41" t="s">
        <v>99</v>
      </c>
      <c r="N95" s="41" t="n">
        <v>579.24</v>
      </c>
      <c r="O95" s="41" t="n">
        <v>4.761904762</v>
      </c>
      <c r="P95" s="41" t="n">
        <v>28.962</v>
      </c>
      <c r="Q95" s="41" t="n">
        <v>8.6</v>
      </c>
    </row>
    <row r="96" customFormat="false" ht="15" hidden="false" customHeight="false" outlineLevel="0" collapsed="false">
      <c r="A96" s="41" t="s">
        <v>274</v>
      </c>
      <c r="B96" s="41" t="s">
        <v>180</v>
      </c>
      <c r="C96" s="41" t="s">
        <v>87</v>
      </c>
      <c r="D96" s="41" t="s">
        <v>105</v>
      </c>
      <c r="E96" s="41" t="s">
        <v>103</v>
      </c>
      <c r="F96" s="41" t="s">
        <v>81</v>
      </c>
      <c r="G96" s="41" t="n">
        <v>89.75</v>
      </c>
      <c r="H96" s="41" t="n">
        <v>1</v>
      </c>
      <c r="I96" s="41" t="n">
        <v>4.4875</v>
      </c>
      <c r="J96" s="41" t="n">
        <v>94.2375</v>
      </c>
      <c r="K96" s="41" t="s">
        <v>1208</v>
      </c>
      <c r="L96" s="41" t="s">
        <v>1332</v>
      </c>
      <c r="M96" s="41" t="s">
        <v>99</v>
      </c>
      <c r="N96" s="41" t="n">
        <v>89.75</v>
      </c>
      <c r="O96" s="41" t="n">
        <v>4.761904762</v>
      </c>
      <c r="P96" s="41" t="n">
        <v>4.4875</v>
      </c>
      <c r="Q96" s="41" t="n">
        <v>6.6</v>
      </c>
    </row>
    <row r="97" customFormat="false" ht="15" hidden="false" customHeight="false" outlineLevel="0" collapsed="false">
      <c r="A97" s="41" t="s">
        <v>275</v>
      </c>
      <c r="B97" s="41" t="s">
        <v>178</v>
      </c>
      <c r="C97" s="41" t="s">
        <v>85</v>
      </c>
      <c r="D97" s="41" t="s">
        <v>105</v>
      </c>
      <c r="E97" s="41" t="s">
        <v>103</v>
      </c>
      <c r="F97" s="41" t="s">
        <v>78</v>
      </c>
      <c r="G97" s="41" t="n">
        <v>97.16</v>
      </c>
      <c r="H97" s="41" t="n">
        <v>1</v>
      </c>
      <c r="I97" s="41" t="n">
        <v>4.858</v>
      </c>
      <c r="J97" s="41" t="n">
        <v>102.018</v>
      </c>
      <c r="K97" s="41" t="s">
        <v>1190</v>
      </c>
      <c r="L97" s="41" t="s">
        <v>1333</v>
      </c>
      <c r="M97" s="41" t="s">
        <v>98</v>
      </c>
      <c r="N97" s="41" t="n">
        <v>97.16</v>
      </c>
      <c r="O97" s="41" t="n">
        <v>4.761904762</v>
      </c>
      <c r="P97" s="41" t="n">
        <v>4.858</v>
      </c>
      <c r="Q97" s="41" t="n">
        <v>7.2</v>
      </c>
    </row>
    <row r="98" customFormat="false" ht="15" hidden="false" customHeight="false" outlineLevel="0" collapsed="false">
      <c r="A98" s="41" t="s">
        <v>276</v>
      </c>
      <c r="B98" s="41" t="s">
        <v>189</v>
      </c>
      <c r="C98" s="41" t="s">
        <v>86</v>
      </c>
      <c r="D98" s="41" t="s">
        <v>105</v>
      </c>
      <c r="E98" s="41" t="s">
        <v>103</v>
      </c>
      <c r="F98" s="41" t="s">
        <v>81</v>
      </c>
      <c r="G98" s="41" t="n">
        <v>87.87</v>
      </c>
      <c r="H98" s="41" t="n">
        <v>10</v>
      </c>
      <c r="I98" s="41" t="n">
        <v>43.935</v>
      </c>
      <c r="J98" s="41" t="n">
        <v>922.635</v>
      </c>
      <c r="K98" s="41" t="s">
        <v>1216</v>
      </c>
      <c r="L98" s="41" t="s">
        <v>1213</v>
      </c>
      <c r="M98" s="41" t="s">
        <v>98</v>
      </c>
      <c r="N98" s="41" t="n">
        <v>878.7</v>
      </c>
      <c r="O98" s="41" t="n">
        <v>4.761904762</v>
      </c>
      <c r="P98" s="41" t="n">
        <v>43.935</v>
      </c>
      <c r="Q98" s="41" t="n">
        <v>5.1</v>
      </c>
    </row>
    <row r="99" customFormat="false" ht="15" hidden="false" customHeight="false" outlineLevel="0" collapsed="false">
      <c r="A99" s="41" t="s">
        <v>277</v>
      </c>
      <c r="B99" s="41" t="s">
        <v>180</v>
      </c>
      <c r="C99" s="41" t="s">
        <v>87</v>
      </c>
      <c r="D99" s="41" t="s">
        <v>105</v>
      </c>
      <c r="E99" s="41" t="s">
        <v>102</v>
      </c>
      <c r="F99" s="41" t="s">
        <v>78</v>
      </c>
      <c r="G99" s="41" t="n">
        <v>12.45</v>
      </c>
      <c r="H99" s="41" t="n">
        <v>6</v>
      </c>
      <c r="I99" s="41" t="n">
        <v>3.735</v>
      </c>
      <c r="J99" s="41" t="n">
        <v>78.435</v>
      </c>
      <c r="K99" s="41" t="s">
        <v>1334</v>
      </c>
      <c r="L99" s="41" t="s">
        <v>1335</v>
      </c>
      <c r="M99" s="41" t="s">
        <v>97</v>
      </c>
      <c r="N99" s="41" t="n">
        <v>74.7</v>
      </c>
      <c r="O99" s="41" t="n">
        <v>4.761904762</v>
      </c>
      <c r="P99" s="41" t="n">
        <v>3.735</v>
      </c>
      <c r="Q99" s="41" t="n">
        <v>4.1</v>
      </c>
    </row>
    <row r="100" customFormat="false" ht="15" hidden="false" customHeight="false" outlineLevel="0" collapsed="false">
      <c r="A100" s="41" t="s">
        <v>278</v>
      </c>
      <c r="B100" s="41" t="s">
        <v>178</v>
      </c>
      <c r="C100" s="41" t="s">
        <v>85</v>
      </c>
      <c r="D100" s="41" t="s">
        <v>105</v>
      </c>
      <c r="E100" s="41" t="s">
        <v>103</v>
      </c>
      <c r="F100" s="41" t="s">
        <v>76</v>
      </c>
      <c r="G100" s="41" t="n">
        <v>52.75</v>
      </c>
      <c r="H100" s="41" t="n">
        <v>3</v>
      </c>
      <c r="I100" s="41" t="n">
        <v>7.9125</v>
      </c>
      <c r="J100" s="41" t="n">
        <v>166.1625</v>
      </c>
      <c r="K100" s="41" t="s">
        <v>1253</v>
      </c>
      <c r="L100" s="41" t="s">
        <v>1336</v>
      </c>
      <c r="M100" s="41" t="s">
        <v>98</v>
      </c>
      <c r="N100" s="41" t="n">
        <v>158.25</v>
      </c>
      <c r="O100" s="41" t="n">
        <v>4.761904762</v>
      </c>
      <c r="P100" s="41" t="n">
        <v>7.9125</v>
      </c>
      <c r="Q100" s="41" t="n">
        <v>9.3</v>
      </c>
    </row>
    <row r="101" customFormat="false" ht="15" hidden="false" customHeight="false" outlineLevel="0" collapsed="false">
      <c r="A101" s="41" t="s">
        <v>279</v>
      </c>
      <c r="B101" s="41" t="s">
        <v>189</v>
      </c>
      <c r="C101" s="41" t="s">
        <v>86</v>
      </c>
      <c r="D101" s="41" t="s">
        <v>105</v>
      </c>
      <c r="E101" s="41" t="s">
        <v>103</v>
      </c>
      <c r="F101" s="41" t="s">
        <v>80</v>
      </c>
      <c r="G101" s="41" t="n">
        <v>82.7</v>
      </c>
      <c r="H101" s="41" t="n">
        <v>6</v>
      </c>
      <c r="I101" s="41" t="n">
        <v>24.81</v>
      </c>
      <c r="J101" s="41" t="n">
        <v>521.01</v>
      </c>
      <c r="K101" s="41" t="s">
        <v>1227</v>
      </c>
      <c r="L101" s="41" t="s">
        <v>1337</v>
      </c>
      <c r="M101" s="41" t="s">
        <v>97</v>
      </c>
      <c r="N101" s="41" t="n">
        <v>496.2</v>
      </c>
      <c r="O101" s="41" t="n">
        <v>4.761904762</v>
      </c>
      <c r="P101" s="41" t="n">
        <v>24.81</v>
      </c>
      <c r="Q101" s="41" t="n">
        <v>7.4</v>
      </c>
    </row>
    <row r="102" customFormat="false" ht="15" hidden="false" customHeight="false" outlineLevel="0" collapsed="false">
      <c r="A102" s="41" t="s">
        <v>280</v>
      </c>
      <c r="B102" s="41" t="s">
        <v>180</v>
      </c>
      <c r="C102" s="41" t="s">
        <v>87</v>
      </c>
      <c r="D102" s="41" t="s">
        <v>104</v>
      </c>
      <c r="E102" s="41" t="s">
        <v>103</v>
      </c>
      <c r="F102" s="41" t="s">
        <v>79</v>
      </c>
      <c r="G102" s="41" t="n">
        <v>48.71</v>
      </c>
      <c r="H102" s="41" t="n">
        <v>1</v>
      </c>
      <c r="I102" s="41" t="n">
        <v>2.4355</v>
      </c>
      <c r="J102" s="41" t="n">
        <v>51.1455</v>
      </c>
      <c r="K102" s="41" t="s">
        <v>1338</v>
      </c>
      <c r="L102" s="41" t="s">
        <v>1236</v>
      </c>
      <c r="M102" s="41" t="s">
        <v>97</v>
      </c>
      <c r="N102" s="41" t="n">
        <v>48.71</v>
      </c>
      <c r="O102" s="41" t="n">
        <v>4.761904762</v>
      </c>
      <c r="P102" s="41" t="n">
        <v>2.4355</v>
      </c>
      <c r="Q102" s="41" t="n">
        <v>4.1</v>
      </c>
    </row>
    <row r="103" customFormat="false" ht="15" hidden="false" customHeight="false" outlineLevel="0" collapsed="false">
      <c r="A103" s="41" t="s">
        <v>281</v>
      </c>
      <c r="B103" s="41" t="s">
        <v>180</v>
      </c>
      <c r="C103" s="41" t="s">
        <v>87</v>
      </c>
      <c r="D103" s="41" t="s">
        <v>105</v>
      </c>
      <c r="E103" s="41" t="s">
        <v>103</v>
      </c>
      <c r="F103" s="41" t="s">
        <v>79</v>
      </c>
      <c r="G103" s="41" t="n">
        <v>78.55</v>
      </c>
      <c r="H103" s="41" t="n">
        <v>9</v>
      </c>
      <c r="I103" s="41" t="n">
        <v>35.3475</v>
      </c>
      <c r="J103" s="41" t="n">
        <v>742.2975</v>
      </c>
      <c r="K103" s="41" t="s">
        <v>1339</v>
      </c>
      <c r="L103" s="41" t="s">
        <v>1340</v>
      </c>
      <c r="M103" s="41" t="s">
        <v>97</v>
      </c>
      <c r="N103" s="41" t="n">
        <v>706.95</v>
      </c>
      <c r="O103" s="41" t="n">
        <v>4.761904762</v>
      </c>
      <c r="P103" s="41" t="n">
        <v>35.3475</v>
      </c>
      <c r="Q103" s="41" t="n">
        <v>7.2</v>
      </c>
    </row>
    <row r="104" customFormat="false" ht="15" hidden="false" customHeight="false" outlineLevel="0" collapsed="false">
      <c r="A104" s="41" t="s">
        <v>282</v>
      </c>
      <c r="B104" s="41" t="s">
        <v>180</v>
      </c>
      <c r="C104" s="41" t="s">
        <v>87</v>
      </c>
      <c r="D104" s="41" t="s">
        <v>105</v>
      </c>
      <c r="E104" s="41" t="s">
        <v>102</v>
      </c>
      <c r="F104" s="41" t="s">
        <v>78</v>
      </c>
      <c r="G104" s="41" t="n">
        <v>23.07</v>
      </c>
      <c r="H104" s="41" t="n">
        <v>9</v>
      </c>
      <c r="I104" s="41" t="n">
        <v>10.3815</v>
      </c>
      <c r="J104" s="41" t="n">
        <v>218.0115</v>
      </c>
      <c r="K104" s="41" t="s">
        <v>1341</v>
      </c>
      <c r="L104" s="41" t="s">
        <v>1342</v>
      </c>
      <c r="M104" s="41" t="s">
        <v>97</v>
      </c>
      <c r="N104" s="41" t="n">
        <v>207.63</v>
      </c>
      <c r="O104" s="41" t="n">
        <v>4.761904762</v>
      </c>
      <c r="P104" s="41" t="n">
        <v>10.3815</v>
      </c>
      <c r="Q104" s="41" t="n">
        <v>4.9</v>
      </c>
    </row>
    <row r="105" customFormat="false" ht="15" hidden="false" customHeight="false" outlineLevel="0" collapsed="false">
      <c r="A105" s="41" t="s">
        <v>283</v>
      </c>
      <c r="B105" s="41" t="s">
        <v>178</v>
      </c>
      <c r="C105" s="41" t="s">
        <v>85</v>
      </c>
      <c r="D105" s="41" t="s">
        <v>105</v>
      </c>
      <c r="E105" s="41" t="s">
        <v>103</v>
      </c>
      <c r="F105" s="41" t="s">
        <v>76</v>
      </c>
      <c r="G105" s="41" t="n">
        <v>58.26</v>
      </c>
      <c r="H105" s="41" t="n">
        <v>6</v>
      </c>
      <c r="I105" s="41" t="n">
        <v>17.478</v>
      </c>
      <c r="J105" s="41" t="n">
        <v>367.038</v>
      </c>
      <c r="K105" s="41" t="s">
        <v>1343</v>
      </c>
      <c r="L105" s="41" t="s">
        <v>1344</v>
      </c>
      <c r="M105" s="41" t="s">
        <v>97</v>
      </c>
      <c r="N105" s="41" t="n">
        <v>349.56</v>
      </c>
      <c r="O105" s="41" t="n">
        <v>4.761904762</v>
      </c>
      <c r="P105" s="41" t="n">
        <v>17.478</v>
      </c>
      <c r="Q105" s="41" t="n">
        <v>9.9</v>
      </c>
    </row>
    <row r="106" customFormat="false" ht="15" hidden="false" customHeight="false" outlineLevel="0" collapsed="false">
      <c r="A106" s="41" t="s">
        <v>284</v>
      </c>
      <c r="B106" s="41" t="s">
        <v>189</v>
      </c>
      <c r="C106" s="41" t="s">
        <v>86</v>
      </c>
      <c r="D106" s="41" t="s">
        <v>105</v>
      </c>
      <c r="E106" s="41" t="s">
        <v>103</v>
      </c>
      <c r="F106" s="41" t="s">
        <v>81</v>
      </c>
      <c r="G106" s="41" t="n">
        <v>30.35</v>
      </c>
      <c r="H106" s="41" t="n">
        <v>7</v>
      </c>
      <c r="I106" s="41" t="n">
        <v>10.6225</v>
      </c>
      <c r="J106" s="41" t="n">
        <v>223.0725</v>
      </c>
      <c r="K106" s="41" t="s">
        <v>1270</v>
      </c>
      <c r="L106" s="41" t="s">
        <v>1345</v>
      </c>
      <c r="M106" s="41" t="s">
        <v>97</v>
      </c>
      <c r="N106" s="41" t="n">
        <v>212.45</v>
      </c>
      <c r="O106" s="41" t="n">
        <v>4.761904762</v>
      </c>
      <c r="P106" s="41" t="n">
        <v>10.6225</v>
      </c>
      <c r="Q106" s="41" t="n">
        <v>8</v>
      </c>
    </row>
    <row r="107" customFormat="false" ht="15" hidden="false" customHeight="false" outlineLevel="0" collapsed="false">
      <c r="A107" s="41" t="s">
        <v>285</v>
      </c>
      <c r="B107" s="41" t="s">
        <v>178</v>
      </c>
      <c r="C107" s="41" t="s">
        <v>85</v>
      </c>
      <c r="D107" s="41" t="s">
        <v>104</v>
      </c>
      <c r="E107" s="41" t="s">
        <v>103</v>
      </c>
      <c r="F107" s="41" t="s">
        <v>78</v>
      </c>
      <c r="G107" s="41" t="n">
        <v>88.67</v>
      </c>
      <c r="H107" s="41" t="n">
        <v>10</v>
      </c>
      <c r="I107" s="41" t="n">
        <v>44.335</v>
      </c>
      <c r="J107" s="41" t="n">
        <v>931.035</v>
      </c>
      <c r="K107" s="41" t="s">
        <v>1313</v>
      </c>
      <c r="L107" s="41" t="s">
        <v>1346</v>
      </c>
      <c r="M107" s="41" t="s">
        <v>98</v>
      </c>
      <c r="N107" s="41" t="n">
        <v>886.7</v>
      </c>
      <c r="O107" s="41" t="n">
        <v>4.761904762</v>
      </c>
      <c r="P107" s="41" t="n">
        <v>44.335</v>
      </c>
      <c r="Q107" s="41" t="n">
        <v>7.3</v>
      </c>
    </row>
    <row r="108" customFormat="false" ht="15" hidden="false" customHeight="false" outlineLevel="0" collapsed="false">
      <c r="A108" s="41" t="s">
        <v>286</v>
      </c>
      <c r="B108" s="41" t="s">
        <v>180</v>
      </c>
      <c r="C108" s="41" t="s">
        <v>87</v>
      </c>
      <c r="D108" s="41" t="s">
        <v>105</v>
      </c>
      <c r="E108" s="41" t="s">
        <v>103</v>
      </c>
      <c r="F108" s="41" t="s">
        <v>79</v>
      </c>
      <c r="G108" s="41" t="n">
        <v>27.38</v>
      </c>
      <c r="H108" s="41" t="n">
        <v>6</v>
      </c>
      <c r="I108" s="41" t="n">
        <v>8.214</v>
      </c>
      <c r="J108" s="41" t="n">
        <v>172.494</v>
      </c>
      <c r="K108" s="41" t="s">
        <v>1188</v>
      </c>
      <c r="L108" s="41" t="s">
        <v>1347</v>
      </c>
      <c r="M108" s="41" t="s">
        <v>99</v>
      </c>
      <c r="N108" s="41" t="n">
        <v>164.28</v>
      </c>
      <c r="O108" s="41" t="n">
        <v>4.761904762</v>
      </c>
      <c r="P108" s="41" t="n">
        <v>8.214</v>
      </c>
      <c r="Q108" s="41" t="n">
        <v>7.9</v>
      </c>
    </row>
    <row r="109" customFormat="false" ht="15" hidden="false" customHeight="false" outlineLevel="0" collapsed="false">
      <c r="A109" s="41" t="s">
        <v>287</v>
      </c>
      <c r="B109" s="41" t="s">
        <v>178</v>
      </c>
      <c r="C109" s="41" t="s">
        <v>85</v>
      </c>
      <c r="D109" s="41" t="s">
        <v>105</v>
      </c>
      <c r="E109" s="41" t="s">
        <v>103</v>
      </c>
      <c r="F109" s="41" t="s">
        <v>77</v>
      </c>
      <c r="G109" s="41" t="n">
        <v>62.13</v>
      </c>
      <c r="H109" s="41" t="n">
        <v>6</v>
      </c>
      <c r="I109" s="41" t="n">
        <v>18.639</v>
      </c>
      <c r="J109" s="41" t="n">
        <v>391.419</v>
      </c>
      <c r="K109" s="41" t="s">
        <v>1235</v>
      </c>
      <c r="L109" s="41" t="s">
        <v>1348</v>
      </c>
      <c r="M109" s="41" t="s">
        <v>97</v>
      </c>
      <c r="N109" s="41" t="n">
        <v>372.78</v>
      </c>
      <c r="O109" s="41" t="n">
        <v>4.761904762</v>
      </c>
      <c r="P109" s="41" t="n">
        <v>18.639</v>
      </c>
      <c r="Q109" s="41" t="n">
        <v>7.4</v>
      </c>
    </row>
    <row r="110" customFormat="false" ht="15" hidden="false" customHeight="false" outlineLevel="0" collapsed="false">
      <c r="A110" s="41" t="s">
        <v>288</v>
      </c>
      <c r="B110" s="41" t="s">
        <v>180</v>
      </c>
      <c r="C110" s="41" t="s">
        <v>87</v>
      </c>
      <c r="D110" s="41" t="s">
        <v>105</v>
      </c>
      <c r="E110" s="41" t="s">
        <v>102</v>
      </c>
      <c r="F110" s="41" t="s">
        <v>76</v>
      </c>
      <c r="G110" s="41" t="n">
        <v>33.98</v>
      </c>
      <c r="H110" s="41" t="n">
        <v>9</v>
      </c>
      <c r="I110" s="41" t="n">
        <v>15.291</v>
      </c>
      <c r="J110" s="41" t="n">
        <v>321.111</v>
      </c>
      <c r="K110" s="41" t="s">
        <v>1349</v>
      </c>
      <c r="L110" s="41" t="s">
        <v>1350</v>
      </c>
      <c r="M110" s="41" t="s">
        <v>97</v>
      </c>
      <c r="N110" s="41" t="n">
        <v>305.82</v>
      </c>
      <c r="O110" s="41" t="n">
        <v>4.761904762</v>
      </c>
      <c r="P110" s="41" t="n">
        <v>15.291</v>
      </c>
      <c r="Q110" s="41" t="n">
        <v>4.2</v>
      </c>
    </row>
    <row r="111" customFormat="false" ht="15" hidden="false" customHeight="false" outlineLevel="0" collapsed="false">
      <c r="A111" s="41" t="s">
        <v>289</v>
      </c>
      <c r="B111" s="41" t="s">
        <v>180</v>
      </c>
      <c r="C111" s="41" t="s">
        <v>87</v>
      </c>
      <c r="D111" s="41" t="s">
        <v>104</v>
      </c>
      <c r="E111" s="41" t="s">
        <v>103</v>
      </c>
      <c r="F111" s="41" t="s">
        <v>78</v>
      </c>
      <c r="G111" s="41" t="n">
        <v>81.97</v>
      </c>
      <c r="H111" s="41" t="n">
        <v>10</v>
      </c>
      <c r="I111" s="41" t="n">
        <v>40.985</v>
      </c>
      <c r="J111" s="41" t="n">
        <v>860.685</v>
      </c>
      <c r="K111" s="41" t="s">
        <v>1192</v>
      </c>
      <c r="L111" s="41" t="s">
        <v>1351</v>
      </c>
      <c r="M111" s="41" t="s">
        <v>97</v>
      </c>
      <c r="N111" s="41" t="n">
        <v>819.7</v>
      </c>
      <c r="O111" s="41" t="n">
        <v>4.761904762</v>
      </c>
      <c r="P111" s="41" t="n">
        <v>40.985</v>
      </c>
      <c r="Q111" s="41" t="n">
        <v>9.2</v>
      </c>
    </row>
    <row r="112" customFormat="false" ht="15" hidden="false" customHeight="false" outlineLevel="0" collapsed="false">
      <c r="A112" s="41" t="s">
        <v>290</v>
      </c>
      <c r="B112" s="41" t="s">
        <v>189</v>
      </c>
      <c r="C112" s="41" t="s">
        <v>86</v>
      </c>
      <c r="D112" s="41" t="s">
        <v>104</v>
      </c>
      <c r="E112" s="41" t="s">
        <v>102</v>
      </c>
      <c r="F112" s="41" t="s">
        <v>77</v>
      </c>
      <c r="G112" s="41" t="n">
        <v>16.49</v>
      </c>
      <c r="H112" s="41" t="n">
        <v>2</v>
      </c>
      <c r="I112" s="41" t="n">
        <v>1.649</v>
      </c>
      <c r="J112" s="41" t="n">
        <v>34.629</v>
      </c>
      <c r="K112" s="41" t="s">
        <v>1352</v>
      </c>
      <c r="L112" s="41" t="s">
        <v>1353</v>
      </c>
      <c r="M112" s="41" t="s">
        <v>98</v>
      </c>
      <c r="N112" s="41" t="n">
        <v>32.98</v>
      </c>
      <c r="O112" s="41" t="n">
        <v>4.761904762</v>
      </c>
      <c r="P112" s="41" t="n">
        <v>1.649</v>
      </c>
      <c r="Q112" s="41" t="n">
        <v>4.6</v>
      </c>
    </row>
    <row r="113" customFormat="false" ht="15" hidden="false" customHeight="false" outlineLevel="0" collapsed="false">
      <c r="A113" s="41" t="s">
        <v>291</v>
      </c>
      <c r="B113" s="41" t="s">
        <v>180</v>
      </c>
      <c r="C113" s="41" t="s">
        <v>87</v>
      </c>
      <c r="D113" s="41" t="s">
        <v>104</v>
      </c>
      <c r="E113" s="41" t="s">
        <v>102</v>
      </c>
      <c r="F113" s="41" t="s">
        <v>81</v>
      </c>
      <c r="G113" s="41" t="n">
        <v>98.21</v>
      </c>
      <c r="H113" s="41" t="n">
        <v>3</v>
      </c>
      <c r="I113" s="41" t="n">
        <v>14.7315</v>
      </c>
      <c r="J113" s="41" t="n">
        <v>309.3615</v>
      </c>
      <c r="K113" s="41" t="s">
        <v>1352</v>
      </c>
      <c r="L113" s="41" t="s">
        <v>1354</v>
      </c>
      <c r="M113" s="41" t="s">
        <v>99</v>
      </c>
      <c r="N113" s="41" t="n">
        <v>294.63</v>
      </c>
      <c r="O113" s="41" t="n">
        <v>4.761904762</v>
      </c>
      <c r="P113" s="41" t="n">
        <v>14.7315</v>
      </c>
      <c r="Q113" s="41" t="n">
        <v>7.8</v>
      </c>
    </row>
    <row r="114" customFormat="false" ht="15" hidden="false" customHeight="false" outlineLevel="0" collapsed="false">
      <c r="A114" s="41" t="s">
        <v>292</v>
      </c>
      <c r="B114" s="41" t="s">
        <v>189</v>
      </c>
      <c r="C114" s="41" t="s">
        <v>86</v>
      </c>
      <c r="D114" s="41" t="s">
        <v>105</v>
      </c>
      <c r="E114" s="41" t="s">
        <v>102</v>
      </c>
      <c r="F114" s="41" t="s">
        <v>79</v>
      </c>
      <c r="G114" s="41" t="n">
        <v>72.84</v>
      </c>
      <c r="H114" s="41" t="n">
        <v>7</v>
      </c>
      <c r="I114" s="41" t="n">
        <v>25.494</v>
      </c>
      <c r="J114" s="41" t="n">
        <v>535.374</v>
      </c>
      <c r="K114" s="41" t="s">
        <v>1288</v>
      </c>
      <c r="L114" s="41" t="s">
        <v>1355</v>
      </c>
      <c r="M114" s="41" t="s">
        <v>97</v>
      </c>
      <c r="N114" s="41" t="n">
        <v>509.88</v>
      </c>
      <c r="O114" s="41" t="n">
        <v>4.761904762</v>
      </c>
      <c r="P114" s="41" t="n">
        <v>25.494</v>
      </c>
      <c r="Q114" s="41" t="n">
        <v>8.4</v>
      </c>
    </row>
    <row r="115" customFormat="false" ht="15" hidden="false" customHeight="false" outlineLevel="0" collapsed="false">
      <c r="A115" s="41" t="s">
        <v>293</v>
      </c>
      <c r="B115" s="41" t="s">
        <v>178</v>
      </c>
      <c r="C115" s="41" t="s">
        <v>85</v>
      </c>
      <c r="D115" s="41" t="s">
        <v>104</v>
      </c>
      <c r="E115" s="41" t="s">
        <v>103</v>
      </c>
      <c r="F115" s="41" t="s">
        <v>80</v>
      </c>
      <c r="G115" s="41" t="n">
        <v>58.07</v>
      </c>
      <c r="H115" s="41" t="n">
        <v>9</v>
      </c>
      <c r="I115" s="41" t="n">
        <v>26.1315</v>
      </c>
      <c r="J115" s="41" t="n">
        <v>548.7615</v>
      </c>
      <c r="K115" s="41" t="s">
        <v>1356</v>
      </c>
      <c r="L115" s="41" t="s">
        <v>1357</v>
      </c>
      <c r="M115" s="41" t="s">
        <v>98</v>
      </c>
      <c r="N115" s="41" t="n">
        <v>522.63</v>
      </c>
      <c r="O115" s="41" t="n">
        <v>4.761904762</v>
      </c>
      <c r="P115" s="41" t="n">
        <v>26.1315</v>
      </c>
      <c r="Q115" s="41" t="n">
        <v>4.3</v>
      </c>
    </row>
    <row r="116" customFormat="false" ht="15" hidden="false" customHeight="false" outlineLevel="0" collapsed="false">
      <c r="A116" s="41" t="s">
        <v>294</v>
      </c>
      <c r="B116" s="41" t="s">
        <v>180</v>
      </c>
      <c r="C116" s="41" t="s">
        <v>87</v>
      </c>
      <c r="D116" s="41" t="s">
        <v>104</v>
      </c>
      <c r="E116" s="41" t="s">
        <v>102</v>
      </c>
      <c r="F116" s="41" t="s">
        <v>80</v>
      </c>
      <c r="G116" s="41" t="n">
        <v>80.79</v>
      </c>
      <c r="H116" s="41" t="n">
        <v>9</v>
      </c>
      <c r="I116" s="41" t="n">
        <v>36.3555</v>
      </c>
      <c r="J116" s="41" t="n">
        <v>763.4655</v>
      </c>
      <c r="K116" s="41" t="s">
        <v>1341</v>
      </c>
      <c r="L116" s="41" t="s">
        <v>1358</v>
      </c>
      <c r="M116" s="41" t="s">
        <v>99</v>
      </c>
      <c r="N116" s="41" t="n">
        <v>727.11</v>
      </c>
      <c r="O116" s="41" t="n">
        <v>4.761904762</v>
      </c>
      <c r="P116" s="41" t="n">
        <v>36.3555</v>
      </c>
      <c r="Q116" s="41" t="n">
        <v>9.5</v>
      </c>
    </row>
    <row r="117" customFormat="false" ht="15" hidden="false" customHeight="false" outlineLevel="0" collapsed="false">
      <c r="A117" s="41" t="s">
        <v>295</v>
      </c>
      <c r="B117" s="41" t="s">
        <v>180</v>
      </c>
      <c r="C117" s="41" t="s">
        <v>87</v>
      </c>
      <c r="D117" s="41" t="s">
        <v>105</v>
      </c>
      <c r="E117" s="41" t="s">
        <v>102</v>
      </c>
      <c r="F117" s="41" t="s">
        <v>79</v>
      </c>
      <c r="G117" s="41" t="n">
        <v>27.02</v>
      </c>
      <c r="H117" s="41" t="n">
        <v>3</v>
      </c>
      <c r="I117" s="41" t="n">
        <v>4.053</v>
      </c>
      <c r="J117" s="41" t="n">
        <v>85.113</v>
      </c>
      <c r="K117" s="41" t="s">
        <v>1233</v>
      </c>
      <c r="L117" s="41" t="s">
        <v>1255</v>
      </c>
      <c r="M117" s="41" t="s">
        <v>99</v>
      </c>
      <c r="N117" s="41" t="n">
        <v>81.06</v>
      </c>
      <c r="O117" s="41" t="n">
        <v>4.761904762</v>
      </c>
      <c r="P117" s="41" t="n">
        <v>4.053</v>
      </c>
      <c r="Q117" s="41" t="n">
        <v>7.1</v>
      </c>
    </row>
    <row r="118" customFormat="false" ht="15" hidden="false" customHeight="false" outlineLevel="0" collapsed="false">
      <c r="A118" s="41" t="s">
        <v>296</v>
      </c>
      <c r="B118" s="41" t="s">
        <v>189</v>
      </c>
      <c r="C118" s="41" t="s">
        <v>86</v>
      </c>
      <c r="D118" s="41" t="s">
        <v>104</v>
      </c>
      <c r="E118" s="41" t="s">
        <v>103</v>
      </c>
      <c r="F118" s="41" t="s">
        <v>79</v>
      </c>
      <c r="G118" s="41" t="n">
        <v>21.94</v>
      </c>
      <c r="H118" s="41" t="n">
        <v>5</v>
      </c>
      <c r="I118" s="41" t="n">
        <v>5.485</v>
      </c>
      <c r="J118" s="41" t="n">
        <v>115.185</v>
      </c>
      <c r="K118" s="41" t="s">
        <v>1227</v>
      </c>
      <c r="L118" s="41" t="s">
        <v>1359</v>
      </c>
      <c r="M118" s="41" t="s">
        <v>98</v>
      </c>
      <c r="N118" s="41" t="n">
        <v>109.7</v>
      </c>
      <c r="O118" s="41" t="n">
        <v>4.761904762</v>
      </c>
      <c r="P118" s="41" t="n">
        <v>5.485</v>
      </c>
      <c r="Q118" s="41" t="n">
        <v>5.3</v>
      </c>
    </row>
    <row r="119" customFormat="false" ht="15" hidden="false" customHeight="false" outlineLevel="0" collapsed="false">
      <c r="A119" s="41" t="s">
        <v>297</v>
      </c>
      <c r="B119" s="41" t="s">
        <v>189</v>
      </c>
      <c r="C119" s="41" t="s">
        <v>86</v>
      </c>
      <c r="D119" s="41" t="s">
        <v>104</v>
      </c>
      <c r="E119" s="41" t="s">
        <v>103</v>
      </c>
      <c r="F119" s="41" t="s">
        <v>79</v>
      </c>
      <c r="G119" s="41" t="n">
        <v>51.36</v>
      </c>
      <c r="H119" s="41" t="n">
        <v>1</v>
      </c>
      <c r="I119" s="41" t="n">
        <v>2.568</v>
      </c>
      <c r="J119" s="41" t="n">
        <v>53.928</v>
      </c>
      <c r="K119" s="41" t="s">
        <v>1360</v>
      </c>
      <c r="L119" s="41" t="s">
        <v>1361</v>
      </c>
      <c r="M119" s="41" t="s">
        <v>98</v>
      </c>
      <c r="N119" s="41" t="n">
        <v>51.36</v>
      </c>
      <c r="O119" s="41" t="n">
        <v>4.761904762</v>
      </c>
      <c r="P119" s="41" t="n">
        <v>2.568</v>
      </c>
      <c r="Q119" s="41" t="n">
        <v>5.2</v>
      </c>
    </row>
    <row r="120" customFormat="false" ht="15" hidden="false" customHeight="false" outlineLevel="0" collapsed="false">
      <c r="A120" s="41" t="s">
        <v>298</v>
      </c>
      <c r="B120" s="41" t="s">
        <v>178</v>
      </c>
      <c r="C120" s="41" t="s">
        <v>85</v>
      </c>
      <c r="D120" s="41" t="s">
        <v>105</v>
      </c>
      <c r="E120" s="41" t="s">
        <v>102</v>
      </c>
      <c r="F120" s="41" t="s">
        <v>76</v>
      </c>
      <c r="G120" s="41" t="n">
        <v>10.96</v>
      </c>
      <c r="H120" s="41" t="n">
        <v>10</v>
      </c>
      <c r="I120" s="41" t="n">
        <v>5.48</v>
      </c>
      <c r="J120" s="41" t="n">
        <v>115.08</v>
      </c>
      <c r="K120" s="41" t="s">
        <v>1258</v>
      </c>
      <c r="L120" s="41" t="s">
        <v>1362</v>
      </c>
      <c r="M120" s="41" t="s">
        <v>98</v>
      </c>
      <c r="N120" s="41" t="n">
        <v>109.6</v>
      </c>
      <c r="O120" s="41" t="n">
        <v>4.761904762</v>
      </c>
      <c r="P120" s="41" t="n">
        <v>5.48</v>
      </c>
      <c r="Q120" s="41" t="n">
        <v>6</v>
      </c>
    </row>
    <row r="121" customFormat="false" ht="15" hidden="false" customHeight="false" outlineLevel="0" collapsed="false">
      <c r="A121" s="41" t="s">
        <v>299</v>
      </c>
      <c r="B121" s="41" t="s">
        <v>189</v>
      </c>
      <c r="C121" s="41" t="s">
        <v>86</v>
      </c>
      <c r="D121" s="41" t="s">
        <v>105</v>
      </c>
      <c r="E121" s="41" t="s">
        <v>103</v>
      </c>
      <c r="F121" s="41" t="s">
        <v>80</v>
      </c>
      <c r="G121" s="41" t="n">
        <v>53.44</v>
      </c>
      <c r="H121" s="41" t="n">
        <v>2</v>
      </c>
      <c r="I121" s="41" t="n">
        <v>5.344</v>
      </c>
      <c r="J121" s="41" t="n">
        <v>112.224</v>
      </c>
      <c r="K121" s="41" t="s">
        <v>1284</v>
      </c>
      <c r="L121" s="41" t="s">
        <v>1333</v>
      </c>
      <c r="M121" s="41" t="s">
        <v>98</v>
      </c>
      <c r="N121" s="41" t="n">
        <v>106.88</v>
      </c>
      <c r="O121" s="41" t="n">
        <v>4.761904762</v>
      </c>
      <c r="P121" s="41" t="n">
        <v>5.344</v>
      </c>
      <c r="Q121" s="41" t="n">
        <v>4.1</v>
      </c>
    </row>
    <row r="122" customFormat="false" ht="15" hidden="false" customHeight="false" outlineLevel="0" collapsed="false">
      <c r="A122" s="41" t="s">
        <v>300</v>
      </c>
      <c r="B122" s="41" t="s">
        <v>178</v>
      </c>
      <c r="C122" s="41" t="s">
        <v>85</v>
      </c>
      <c r="D122" s="41" t="s">
        <v>105</v>
      </c>
      <c r="E122" s="41" t="s">
        <v>102</v>
      </c>
      <c r="F122" s="41" t="s">
        <v>78</v>
      </c>
      <c r="G122" s="41" t="n">
        <v>99.56</v>
      </c>
      <c r="H122" s="41" t="n">
        <v>8</v>
      </c>
      <c r="I122" s="41" t="n">
        <v>39.824</v>
      </c>
      <c r="J122" s="41" t="n">
        <v>836.304</v>
      </c>
      <c r="K122" s="41" t="s">
        <v>1294</v>
      </c>
      <c r="L122" s="41" t="s">
        <v>1211</v>
      </c>
      <c r="M122" s="41" t="s">
        <v>99</v>
      </c>
      <c r="N122" s="41" t="n">
        <v>796.48</v>
      </c>
      <c r="O122" s="41" t="n">
        <v>4.761904762</v>
      </c>
      <c r="P122" s="41" t="n">
        <v>39.824</v>
      </c>
      <c r="Q122" s="41" t="n">
        <v>5.2</v>
      </c>
    </row>
    <row r="123" customFormat="false" ht="15" hidden="false" customHeight="false" outlineLevel="0" collapsed="false">
      <c r="A123" s="41" t="s">
        <v>301</v>
      </c>
      <c r="B123" s="41" t="s">
        <v>180</v>
      </c>
      <c r="C123" s="41" t="s">
        <v>87</v>
      </c>
      <c r="D123" s="41" t="s">
        <v>104</v>
      </c>
      <c r="E123" s="41" t="s">
        <v>103</v>
      </c>
      <c r="F123" s="41" t="s">
        <v>77</v>
      </c>
      <c r="G123" s="41" t="n">
        <v>57.12</v>
      </c>
      <c r="H123" s="41" t="n">
        <v>7</v>
      </c>
      <c r="I123" s="41" t="n">
        <v>19.992</v>
      </c>
      <c r="J123" s="41" t="n">
        <v>419.832</v>
      </c>
      <c r="K123" s="41" t="s">
        <v>1313</v>
      </c>
      <c r="L123" s="41" t="s">
        <v>1363</v>
      </c>
      <c r="M123" s="41" t="s">
        <v>99</v>
      </c>
      <c r="N123" s="41" t="n">
        <v>399.84</v>
      </c>
      <c r="O123" s="41" t="n">
        <v>4.761904762</v>
      </c>
      <c r="P123" s="41" t="n">
        <v>19.992</v>
      </c>
      <c r="Q123" s="41" t="n">
        <v>6.5</v>
      </c>
    </row>
    <row r="124" customFormat="false" ht="15" hidden="false" customHeight="false" outlineLevel="0" collapsed="false">
      <c r="A124" s="41" t="s">
        <v>302</v>
      </c>
      <c r="B124" s="41" t="s">
        <v>189</v>
      </c>
      <c r="C124" s="41" t="s">
        <v>86</v>
      </c>
      <c r="D124" s="41" t="s">
        <v>104</v>
      </c>
      <c r="E124" s="41" t="s">
        <v>103</v>
      </c>
      <c r="F124" s="41" t="s">
        <v>77</v>
      </c>
      <c r="G124" s="41" t="n">
        <v>99.96</v>
      </c>
      <c r="H124" s="41" t="n">
        <v>9</v>
      </c>
      <c r="I124" s="41" t="n">
        <v>44.982</v>
      </c>
      <c r="J124" s="41" t="n">
        <v>944.622</v>
      </c>
      <c r="K124" s="41" t="s">
        <v>1210</v>
      </c>
      <c r="L124" s="41" t="s">
        <v>1364</v>
      </c>
      <c r="M124" s="41" t="s">
        <v>99</v>
      </c>
      <c r="N124" s="41" t="n">
        <v>899.64</v>
      </c>
      <c r="O124" s="41" t="n">
        <v>4.761904762</v>
      </c>
      <c r="P124" s="41" t="n">
        <v>44.982</v>
      </c>
      <c r="Q124" s="41" t="n">
        <v>4.2</v>
      </c>
    </row>
    <row r="125" customFormat="false" ht="15" hidden="false" customHeight="false" outlineLevel="0" collapsed="false">
      <c r="A125" s="41" t="s">
        <v>303</v>
      </c>
      <c r="B125" s="41" t="s">
        <v>180</v>
      </c>
      <c r="C125" s="41" t="s">
        <v>87</v>
      </c>
      <c r="D125" s="41" t="s">
        <v>104</v>
      </c>
      <c r="E125" s="41" t="s">
        <v>103</v>
      </c>
      <c r="F125" s="41" t="s">
        <v>80</v>
      </c>
      <c r="G125" s="41" t="n">
        <v>63.91</v>
      </c>
      <c r="H125" s="41" t="n">
        <v>8</v>
      </c>
      <c r="I125" s="41" t="n">
        <v>25.564</v>
      </c>
      <c r="J125" s="41" t="n">
        <v>536.844</v>
      </c>
      <c r="K125" s="41" t="s">
        <v>1296</v>
      </c>
      <c r="L125" s="41" t="s">
        <v>1365</v>
      </c>
      <c r="M125" s="41" t="s">
        <v>99</v>
      </c>
      <c r="N125" s="41" t="n">
        <v>511.28</v>
      </c>
      <c r="O125" s="41" t="n">
        <v>4.761904762</v>
      </c>
      <c r="P125" s="41" t="n">
        <v>25.564</v>
      </c>
      <c r="Q125" s="41" t="n">
        <v>4.6</v>
      </c>
    </row>
    <row r="126" customFormat="false" ht="15" hidden="false" customHeight="false" outlineLevel="0" collapsed="false">
      <c r="A126" s="41" t="s">
        <v>304</v>
      </c>
      <c r="B126" s="41" t="s">
        <v>189</v>
      </c>
      <c r="C126" s="41" t="s">
        <v>86</v>
      </c>
      <c r="D126" s="41" t="s">
        <v>104</v>
      </c>
      <c r="E126" s="41" t="s">
        <v>102</v>
      </c>
      <c r="F126" s="41" t="s">
        <v>79</v>
      </c>
      <c r="G126" s="41" t="n">
        <v>56.47</v>
      </c>
      <c r="H126" s="41" t="n">
        <v>8</v>
      </c>
      <c r="I126" s="41" t="n">
        <v>22.588</v>
      </c>
      <c r="J126" s="41" t="n">
        <v>474.348</v>
      </c>
      <c r="K126" s="41" t="s">
        <v>1210</v>
      </c>
      <c r="L126" s="41" t="s">
        <v>1366</v>
      </c>
      <c r="M126" s="41" t="s">
        <v>98</v>
      </c>
      <c r="N126" s="41" t="n">
        <v>451.76</v>
      </c>
      <c r="O126" s="41" t="n">
        <v>4.761904762</v>
      </c>
      <c r="P126" s="41" t="n">
        <v>22.588</v>
      </c>
      <c r="Q126" s="41" t="n">
        <v>7.3</v>
      </c>
    </row>
    <row r="127" customFormat="false" ht="15" hidden="false" customHeight="false" outlineLevel="0" collapsed="false">
      <c r="A127" s="41" t="s">
        <v>305</v>
      </c>
      <c r="B127" s="41" t="s">
        <v>178</v>
      </c>
      <c r="C127" s="41" t="s">
        <v>85</v>
      </c>
      <c r="D127" s="41" t="s">
        <v>105</v>
      </c>
      <c r="E127" s="41" t="s">
        <v>102</v>
      </c>
      <c r="F127" s="41" t="s">
        <v>80</v>
      </c>
      <c r="G127" s="41" t="n">
        <v>93.69</v>
      </c>
      <c r="H127" s="41" t="n">
        <v>7</v>
      </c>
      <c r="I127" s="41" t="n">
        <v>32.7915</v>
      </c>
      <c r="J127" s="41" t="n">
        <v>688.6215</v>
      </c>
      <c r="K127" s="41" t="s">
        <v>1238</v>
      </c>
      <c r="L127" s="41" t="s">
        <v>1367</v>
      </c>
      <c r="M127" s="41" t="s">
        <v>99</v>
      </c>
      <c r="N127" s="41" t="n">
        <v>655.83</v>
      </c>
      <c r="O127" s="41" t="n">
        <v>4.761904762</v>
      </c>
      <c r="P127" s="41" t="n">
        <v>32.7915</v>
      </c>
      <c r="Q127" s="41" t="n">
        <v>4.5</v>
      </c>
    </row>
    <row r="128" customFormat="false" ht="15" hidden="false" customHeight="false" outlineLevel="0" collapsed="false">
      <c r="A128" s="41" t="s">
        <v>306</v>
      </c>
      <c r="B128" s="41" t="s">
        <v>178</v>
      </c>
      <c r="C128" s="41" t="s">
        <v>85</v>
      </c>
      <c r="D128" s="41" t="s">
        <v>105</v>
      </c>
      <c r="E128" s="41" t="s">
        <v>102</v>
      </c>
      <c r="F128" s="41" t="s">
        <v>77</v>
      </c>
      <c r="G128" s="41" t="n">
        <v>32.25</v>
      </c>
      <c r="H128" s="41" t="n">
        <v>5</v>
      </c>
      <c r="I128" s="41" t="n">
        <v>8.0625</v>
      </c>
      <c r="J128" s="41" t="n">
        <v>169.3125</v>
      </c>
      <c r="K128" s="41" t="s">
        <v>1194</v>
      </c>
      <c r="L128" s="41" t="s">
        <v>1368</v>
      </c>
      <c r="M128" s="41" t="s">
        <v>97</v>
      </c>
      <c r="N128" s="41" t="n">
        <v>161.25</v>
      </c>
      <c r="O128" s="41" t="n">
        <v>4.761904762</v>
      </c>
      <c r="P128" s="41" t="n">
        <v>8.0625</v>
      </c>
      <c r="Q128" s="41" t="n">
        <v>9</v>
      </c>
    </row>
    <row r="129" customFormat="false" ht="15" hidden="false" customHeight="false" outlineLevel="0" collapsed="false">
      <c r="A129" s="41" t="s">
        <v>307</v>
      </c>
      <c r="B129" s="41" t="s">
        <v>180</v>
      </c>
      <c r="C129" s="41" t="s">
        <v>87</v>
      </c>
      <c r="D129" s="41" t="s">
        <v>105</v>
      </c>
      <c r="E129" s="41" t="s">
        <v>102</v>
      </c>
      <c r="F129" s="41" t="s">
        <v>79</v>
      </c>
      <c r="G129" s="41" t="n">
        <v>31.73</v>
      </c>
      <c r="H129" s="41" t="n">
        <v>9</v>
      </c>
      <c r="I129" s="41" t="n">
        <v>14.2785</v>
      </c>
      <c r="J129" s="41" t="n">
        <v>299.8485</v>
      </c>
      <c r="K129" s="41" t="s">
        <v>1369</v>
      </c>
      <c r="L129" s="41" t="s">
        <v>1370</v>
      </c>
      <c r="M129" s="41" t="s">
        <v>99</v>
      </c>
      <c r="N129" s="41" t="n">
        <v>285.57</v>
      </c>
      <c r="O129" s="41" t="n">
        <v>4.761904762</v>
      </c>
      <c r="P129" s="41" t="n">
        <v>14.2785</v>
      </c>
      <c r="Q129" s="41" t="n">
        <v>5.9</v>
      </c>
    </row>
    <row r="130" customFormat="false" ht="15" hidden="false" customHeight="false" outlineLevel="0" collapsed="false">
      <c r="A130" s="41" t="s">
        <v>308</v>
      </c>
      <c r="B130" s="41" t="s">
        <v>180</v>
      </c>
      <c r="C130" s="41" t="s">
        <v>87</v>
      </c>
      <c r="D130" s="41" t="s">
        <v>104</v>
      </c>
      <c r="E130" s="41" t="s">
        <v>102</v>
      </c>
      <c r="F130" s="41" t="s">
        <v>76</v>
      </c>
      <c r="G130" s="41" t="n">
        <v>68.54</v>
      </c>
      <c r="H130" s="41" t="n">
        <v>8</v>
      </c>
      <c r="I130" s="41" t="n">
        <v>27.416</v>
      </c>
      <c r="J130" s="41" t="n">
        <v>575.736</v>
      </c>
      <c r="K130" s="41" t="s">
        <v>1369</v>
      </c>
      <c r="L130" s="41" t="s">
        <v>1371</v>
      </c>
      <c r="M130" s="41" t="s">
        <v>98</v>
      </c>
      <c r="N130" s="41" t="n">
        <v>548.32</v>
      </c>
      <c r="O130" s="41" t="n">
        <v>4.761904762</v>
      </c>
      <c r="P130" s="41" t="n">
        <v>27.416</v>
      </c>
      <c r="Q130" s="41" t="n">
        <v>8.5</v>
      </c>
    </row>
    <row r="131" customFormat="false" ht="15" hidden="false" customHeight="false" outlineLevel="0" collapsed="false">
      <c r="A131" s="41" t="s">
        <v>309</v>
      </c>
      <c r="B131" s="41" t="s">
        <v>189</v>
      </c>
      <c r="C131" s="41" t="s">
        <v>86</v>
      </c>
      <c r="D131" s="41" t="s">
        <v>105</v>
      </c>
      <c r="E131" s="41" t="s">
        <v>102</v>
      </c>
      <c r="F131" s="41" t="s">
        <v>77</v>
      </c>
      <c r="G131" s="41" t="n">
        <v>90.28</v>
      </c>
      <c r="H131" s="41" t="n">
        <v>9</v>
      </c>
      <c r="I131" s="41" t="n">
        <v>40.626</v>
      </c>
      <c r="J131" s="41" t="n">
        <v>853.146</v>
      </c>
      <c r="K131" s="41" t="s">
        <v>1196</v>
      </c>
      <c r="L131" s="41" t="s">
        <v>1232</v>
      </c>
      <c r="M131" s="41" t="s">
        <v>98</v>
      </c>
      <c r="N131" s="41" t="n">
        <v>812.52</v>
      </c>
      <c r="O131" s="41" t="n">
        <v>4.761904762</v>
      </c>
      <c r="P131" s="41" t="n">
        <v>40.626</v>
      </c>
      <c r="Q131" s="41" t="n">
        <v>7.2</v>
      </c>
    </row>
    <row r="132" customFormat="false" ht="15" hidden="false" customHeight="false" outlineLevel="0" collapsed="false">
      <c r="A132" s="41" t="s">
        <v>310</v>
      </c>
      <c r="B132" s="41" t="s">
        <v>189</v>
      </c>
      <c r="C132" s="41" t="s">
        <v>86</v>
      </c>
      <c r="D132" s="41" t="s">
        <v>105</v>
      </c>
      <c r="E132" s="41" t="s">
        <v>102</v>
      </c>
      <c r="F132" s="41" t="s">
        <v>79</v>
      </c>
      <c r="G132" s="41" t="n">
        <v>39.62</v>
      </c>
      <c r="H132" s="41" t="n">
        <v>7</v>
      </c>
      <c r="I132" s="41" t="n">
        <v>13.867</v>
      </c>
      <c r="J132" s="41" t="n">
        <v>291.207</v>
      </c>
      <c r="K132" s="41" t="s">
        <v>1240</v>
      </c>
      <c r="L132" s="41" t="s">
        <v>1372</v>
      </c>
      <c r="M132" s="41" t="s">
        <v>97</v>
      </c>
      <c r="N132" s="41" t="n">
        <v>277.34</v>
      </c>
      <c r="O132" s="41" t="n">
        <v>4.761904762</v>
      </c>
      <c r="P132" s="41" t="n">
        <v>13.867</v>
      </c>
      <c r="Q132" s="41" t="n">
        <v>7.5</v>
      </c>
    </row>
    <row r="133" customFormat="false" ht="15" hidden="false" customHeight="false" outlineLevel="0" collapsed="false">
      <c r="A133" s="41" t="s">
        <v>311</v>
      </c>
      <c r="B133" s="41" t="s">
        <v>178</v>
      </c>
      <c r="C133" s="41" t="s">
        <v>85</v>
      </c>
      <c r="D133" s="41" t="s">
        <v>104</v>
      </c>
      <c r="E133" s="41" t="s">
        <v>102</v>
      </c>
      <c r="F133" s="41" t="s">
        <v>77</v>
      </c>
      <c r="G133" s="41" t="n">
        <v>92.13</v>
      </c>
      <c r="H133" s="41" t="n">
        <v>6</v>
      </c>
      <c r="I133" s="41" t="n">
        <v>27.639</v>
      </c>
      <c r="J133" s="41" t="n">
        <v>580.419</v>
      </c>
      <c r="K133" s="41" t="s">
        <v>1292</v>
      </c>
      <c r="L133" s="41" t="s">
        <v>1373</v>
      </c>
      <c r="M133" s="41" t="s">
        <v>97</v>
      </c>
      <c r="N133" s="41" t="n">
        <v>552.78</v>
      </c>
      <c r="O133" s="41" t="n">
        <v>4.761904762</v>
      </c>
      <c r="P133" s="41" t="n">
        <v>27.639</v>
      </c>
      <c r="Q133" s="41" t="n">
        <v>8.3</v>
      </c>
    </row>
    <row r="134" customFormat="false" ht="15" hidden="false" customHeight="false" outlineLevel="0" collapsed="false">
      <c r="A134" s="41" t="s">
        <v>312</v>
      </c>
      <c r="B134" s="41" t="s">
        <v>189</v>
      </c>
      <c r="C134" s="41" t="s">
        <v>86</v>
      </c>
      <c r="D134" s="41" t="s">
        <v>105</v>
      </c>
      <c r="E134" s="41" t="s">
        <v>102</v>
      </c>
      <c r="F134" s="41" t="s">
        <v>77</v>
      </c>
      <c r="G134" s="41" t="n">
        <v>34.84</v>
      </c>
      <c r="H134" s="41" t="n">
        <v>4</v>
      </c>
      <c r="I134" s="41" t="n">
        <v>6.968</v>
      </c>
      <c r="J134" s="41" t="n">
        <v>146.328</v>
      </c>
      <c r="K134" s="41" t="s">
        <v>1268</v>
      </c>
      <c r="L134" s="41" t="s">
        <v>1374</v>
      </c>
      <c r="M134" s="41" t="s">
        <v>97</v>
      </c>
      <c r="N134" s="41" t="n">
        <v>139.36</v>
      </c>
      <c r="O134" s="41" t="n">
        <v>4.761904762</v>
      </c>
      <c r="P134" s="41" t="n">
        <v>6.968</v>
      </c>
      <c r="Q134" s="41" t="n">
        <v>7.4</v>
      </c>
    </row>
    <row r="135" customFormat="false" ht="15" hidden="false" customHeight="false" outlineLevel="0" collapsed="false">
      <c r="A135" s="41" t="s">
        <v>313</v>
      </c>
      <c r="B135" s="41" t="s">
        <v>189</v>
      </c>
      <c r="C135" s="41" t="s">
        <v>86</v>
      </c>
      <c r="D135" s="41" t="s">
        <v>104</v>
      </c>
      <c r="E135" s="41" t="s">
        <v>103</v>
      </c>
      <c r="F135" s="41" t="s">
        <v>78</v>
      </c>
      <c r="G135" s="41" t="n">
        <v>87.45</v>
      </c>
      <c r="H135" s="41" t="n">
        <v>6</v>
      </c>
      <c r="I135" s="41" t="n">
        <v>26.235</v>
      </c>
      <c r="J135" s="41" t="n">
        <v>550.935</v>
      </c>
      <c r="K135" s="41" t="s">
        <v>1231</v>
      </c>
      <c r="L135" s="41" t="s">
        <v>1375</v>
      </c>
      <c r="M135" s="41" t="s">
        <v>99</v>
      </c>
      <c r="N135" s="41" t="n">
        <v>524.7</v>
      </c>
      <c r="O135" s="41" t="n">
        <v>4.761904762</v>
      </c>
      <c r="P135" s="41" t="n">
        <v>26.235</v>
      </c>
      <c r="Q135" s="41" t="n">
        <v>8.8</v>
      </c>
    </row>
    <row r="136" customFormat="false" ht="15" hidden="false" customHeight="false" outlineLevel="0" collapsed="false">
      <c r="A136" s="41" t="s">
        <v>314</v>
      </c>
      <c r="B136" s="41" t="s">
        <v>180</v>
      </c>
      <c r="C136" s="41" t="s">
        <v>87</v>
      </c>
      <c r="D136" s="41" t="s">
        <v>105</v>
      </c>
      <c r="E136" s="41" t="s">
        <v>102</v>
      </c>
      <c r="F136" s="41" t="s">
        <v>81</v>
      </c>
      <c r="G136" s="41" t="n">
        <v>81.3</v>
      </c>
      <c r="H136" s="41" t="n">
        <v>6</v>
      </c>
      <c r="I136" s="41" t="n">
        <v>24.39</v>
      </c>
      <c r="J136" s="41" t="n">
        <v>512.19</v>
      </c>
      <c r="K136" s="41" t="s">
        <v>1190</v>
      </c>
      <c r="L136" s="41" t="s">
        <v>1376</v>
      </c>
      <c r="M136" s="41" t="s">
        <v>98</v>
      </c>
      <c r="N136" s="41" t="n">
        <v>487.8</v>
      </c>
      <c r="O136" s="41" t="n">
        <v>4.761904762</v>
      </c>
      <c r="P136" s="41" t="n">
        <v>24.39</v>
      </c>
      <c r="Q136" s="41" t="n">
        <v>5.3</v>
      </c>
    </row>
    <row r="137" customFormat="false" ht="15" hidden="false" customHeight="false" outlineLevel="0" collapsed="false">
      <c r="A137" s="41" t="s">
        <v>315</v>
      </c>
      <c r="B137" s="41" t="s">
        <v>180</v>
      </c>
      <c r="C137" s="41" t="s">
        <v>87</v>
      </c>
      <c r="D137" s="41" t="s">
        <v>105</v>
      </c>
      <c r="E137" s="41" t="s">
        <v>103</v>
      </c>
      <c r="F137" s="41" t="s">
        <v>79</v>
      </c>
      <c r="G137" s="41" t="n">
        <v>90.22</v>
      </c>
      <c r="H137" s="41" t="n">
        <v>3</v>
      </c>
      <c r="I137" s="41" t="n">
        <v>13.533</v>
      </c>
      <c r="J137" s="41" t="n">
        <v>284.193</v>
      </c>
      <c r="K137" s="41" t="s">
        <v>1377</v>
      </c>
      <c r="L137" s="41" t="s">
        <v>1243</v>
      </c>
      <c r="M137" s="41" t="s">
        <v>97</v>
      </c>
      <c r="N137" s="41" t="n">
        <v>270.66</v>
      </c>
      <c r="O137" s="41" t="n">
        <v>4.761904762</v>
      </c>
      <c r="P137" s="41" t="n">
        <v>13.533</v>
      </c>
      <c r="Q137" s="41" t="n">
        <v>6.2</v>
      </c>
    </row>
    <row r="138" customFormat="false" ht="15" hidden="false" customHeight="false" outlineLevel="0" collapsed="false">
      <c r="A138" s="41" t="s">
        <v>316</v>
      </c>
      <c r="B138" s="41" t="s">
        <v>178</v>
      </c>
      <c r="C138" s="41" t="s">
        <v>85</v>
      </c>
      <c r="D138" s="41" t="s">
        <v>105</v>
      </c>
      <c r="E138" s="41" t="s">
        <v>102</v>
      </c>
      <c r="F138" s="41" t="s">
        <v>78</v>
      </c>
      <c r="G138" s="41" t="n">
        <v>26.31</v>
      </c>
      <c r="H138" s="41" t="n">
        <v>5</v>
      </c>
      <c r="I138" s="41" t="n">
        <v>6.5775</v>
      </c>
      <c r="J138" s="41" t="n">
        <v>138.1275</v>
      </c>
      <c r="K138" s="41" t="s">
        <v>1378</v>
      </c>
      <c r="L138" s="41" t="s">
        <v>1379</v>
      </c>
      <c r="M138" s="41" t="s">
        <v>99</v>
      </c>
      <c r="N138" s="41" t="n">
        <v>131.55</v>
      </c>
      <c r="O138" s="41" t="n">
        <v>4.761904762</v>
      </c>
      <c r="P138" s="41" t="n">
        <v>6.5775</v>
      </c>
      <c r="Q138" s="41" t="n">
        <v>8.8</v>
      </c>
    </row>
    <row r="139" customFormat="false" ht="15" hidden="false" customHeight="false" outlineLevel="0" collapsed="false">
      <c r="A139" s="41" t="s">
        <v>317</v>
      </c>
      <c r="B139" s="41" t="s">
        <v>178</v>
      </c>
      <c r="C139" s="41" t="s">
        <v>85</v>
      </c>
      <c r="D139" s="41" t="s">
        <v>104</v>
      </c>
      <c r="E139" s="41" t="s">
        <v>102</v>
      </c>
      <c r="F139" s="41" t="s">
        <v>80</v>
      </c>
      <c r="G139" s="41" t="n">
        <v>34.42</v>
      </c>
      <c r="H139" s="41" t="n">
        <v>6</v>
      </c>
      <c r="I139" s="41" t="n">
        <v>10.326</v>
      </c>
      <c r="J139" s="41" t="n">
        <v>216.846</v>
      </c>
      <c r="K139" s="41" t="s">
        <v>1377</v>
      </c>
      <c r="L139" s="41" t="s">
        <v>1380</v>
      </c>
      <c r="M139" s="41" t="s">
        <v>97</v>
      </c>
      <c r="N139" s="41" t="n">
        <v>206.52</v>
      </c>
      <c r="O139" s="41" t="n">
        <v>4.761904762</v>
      </c>
      <c r="P139" s="41" t="n">
        <v>10.326</v>
      </c>
      <c r="Q139" s="41" t="n">
        <v>9.8</v>
      </c>
    </row>
    <row r="140" customFormat="false" ht="15" hidden="false" customHeight="false" outlineLevel="0" collapsed="false">
      <c r="A140" s="41" t="s">
        <v>318</v>
      </c>
      <c r="B140" s="41" t="s">
        <v>189</v>
      </c>
      <c r="C140" s="41" t="s">
        <v>86</v>
      </c>
      <c r="D140" s="41" t="s">
        <v>105</v>
      </c>
      <c r="E140" s="41" t="s">
        <v>103</v>
      </c>
      <c r="F140" s="41" t="s">
        <v>77</v>
      </c>
      <c r="G140" s="41" t="n">
        <v>51.91</v>
      </c>
      <c r="H140" s="41" t="n">
        <v>10</v>
      </c>
      <c r="I140" s="41" t="n">
        <v>25.955</v>
      </c>
      <c r="J140" s="41" t="n">
        <v>545.055</v>
      </c>
      <c r="K140" s="41" t="s">
        <v>1381</v>
      </c>
      <c r="L140" s="41" t="s">
        <v>1382</v>
      </c>
      <c r="M140" s="41" t="s">
        <v>97</v>
      </c>
      <c r="N140" s="41" t="n">
        <v>519.1</v>
      </c>
      <c r="O140" s="41" t="n">
        <v>4.761904762</v>
      </c>
      <c r="P140" s="41" t="n">
        <v>25.955</v>
      </c>
      <c r="Q140" s="41" t="n">
        <v>8.2</v>
      </c>
    </row>
    <row r="141" customFormat="false" ht="15" hidden="false" customHeight="false" outlineLevel="0" collapsed="false">
      <c r="A141" s="41" t="s">
        <v>319</v>
      </c>
      <c r="B141" s="41" t="s">
        <v>178</v>
      </c>
      <c r="C141" s="41" t="s">
        <v>85</v>
      </c>
      <c r="D141" s="41" t="s">
        <v>105</v>
      </c>
      <c r="E141" s="41" t="s">
        <v>103</v>
      </c>
      <c r="F141" s="41" t="s">
        <v>77</v>
      </c>
      <c r="G141" s="41" t="n">
        <v>72.5</v>
      </c>
      <c r="H141" s="41" t="n">
        <v>8</v>
      </c>
      <c r="I141" s="41" t="n">
        <v>29</v>
      </c>
      <c r="J141" s="41" t="n">
        <v>609</v>
      </c>
      <c r="K141" s="41" t="s">
        <v>1263</v>
      </c>
      <c r="L141" s="41" t="s">
        <v>1383</v>
      </c>
      <c r="M141" s="41" t="s">
        <v>98</v>
      </c>
      <c r="N141" s="41" t="n">
        <v>580</v>
      </c>
      <c r="O141" s="41" t="n">
        <v>4.761904762</v>
      </c>
      <c r="P141" s="41" t="n">
        <v>29</v>
      </c>
      <c r="Q141" s="41" t="n">
        <v>9.2</v>
      </c>
    </row>
    <row r="142" customFormat="false" ht="15" hidden="false" customHeight="false" outlineLevel="0" collapsed="false">
      <c r="A142" s="41" t="s">
        <v>320</v>
      </c>
      <c r="B142" s="41" t="s">
        <v>180</v>
      </c>
      <c r="C142" s="41" t="s">
        <v>87</v>
      </c>
      <c r="D142" s="41" t="s">
        <v>104</v>
      </c>
      <c r="E142" s="41" t="s">
        <v>102</v>
      </c>
      <c r="F142" s="41" t="s">
        <v>77</v>
      </c>
      <c r="G142" s="41" t="n">
        <v>89.8</v>
      </c>
      <c r="H142" s="41" t="n">
        <v>10</v>
      </c>
      <c r="I142" s="41" t="n">
        <v>44.9</v>
      </c>
      <c r="J142" s="41" t="n">
        <v>942.9</v>
      </c>
      <c r="K142" s="41" t="s">
        <v>1319</v>
      </c>
      <c r="L142" s="41" t="s">
        <v>159</v>
      </c>
      <c r="M142" s="41" t="s">
        <v>99</v>
      </c>
      <c r="N142" s="41" t="n">
        <v>898</v>
      </c>
      <c r="O142" s="41" t="n">
        <v>4.761904762</v>
      </c>
      <c r="P142" s="41" t="n">
        <v>44.9</v>
      </c>
      <c r="Q142" s="41" t="n">
        <v>5.4</v>
      </c>
    </row>
    <row r="143" customFormat="false" ht="15" hidden="false" customHeight="false" outlineLevel="0" collapsed="false">
      <c r="A143" s="41" t="s">
        <v>321</v>
      </c>
      <c r="B143" s="41" t="s">
        <v>180</v>
      </c>
      <c r="C143" s="41" t="s">
        <v>87</v>
      </c>
      <c r="D143" s="41" t="s">
        <v>104</v>
      </c>
      <c r="E143" s="41" t="s">
        <v>103</v>
      </c>
      <c r="F143" s="41" t="s">
        <v>81</v>
      </c>
      <c r="G143" s="41" t="n">
        <v>90.5</v>
      </c>
      <c r="H143" s="41" t="n">
        <v>10</v>
      </c>
      <c r="I143" s="41" t="n">
        <v>45.25</v>
      </c>
      <c r="J143" s="41" t="n">
        <v>950.25</v>
      </c>
      <c r="K143" s="41" t="s">
        <v>1240</v>
      </c>
      <c r="L143" s="41" t="s">
        <v>1384</v>
      </c>
      <c r="M143" s="41" t="s">
        <v>97</v>
      </c>
      <c r="N143" s="41" t="n">
        <v>905</v>
      </c>
      <c r="O143" s="41" t="n">
        <v>4.761904762</v>
      </c>
      <c r="P143" s="41" t="n">
        <v>45.25</v>
      </c>
      <c r="Q143" s="41" t="n">
        <v>8.1</v>
      </c>
    </row>
    <row r="144" customFormat="false" ht="15" hidden="false" customHeight="false" outlineLevel="0" collapsed="false">
      <c r="A144" s="41" t="s">
        <v>322</v>
      </c>
      <c r="B144" s="41" t="s">
        <v>180</v>
      </c>
      <c r="C144" s="41" t="s">
        <v>87</v>
      </c>
      <c r="D144" s="41" t="s">
        <v>104</v>
      </c>
      <c r="E144" s="41" t="s">
        <v>102</v>
      </c>
      <c r="F144" s="41" t="s">
        <v>81</v>
      </c>
      <c r="G144" s="41" t="n">
        <v>68.6</v>
      </c>
      <c r="H144" s="41" t="n">
        <v>10</v>
      </c>
      <c r="I144" s="41" t="n">
        <v>34.3</v>
      </c>
      <c r="J144" s="41" t="n">
        <v>720.3</v>
      </c>
      <c r="K144" s="41" t="s">
        <v>1352</v>
      </c>
      <c r="L144" s="41" t="s">
        <v>1385</v>
      </c>
      <c r="M144" s="41" t="s">
        <v>97</v>
      </c>
      <c r="N144" s="41" t="n">
        <v>686</v>
      </c>
      <c r="O144" s="41" t="n">
        <v>4.761904762</v>
      </c>
      <c r="P144" s="41" t="n">
        <v>34.3</v>
      </c>
      <c r="Q144" s="41" t="n">
        <v>9.1</v>
      </c>
    </row>
    <row r="145" customFormat="false" ht="15" hidden="false" customHeight="false" outlineLevel="0" collapsed="false">
      <c r="A145" s="41" t="s">
        <v>323</v>
      </c>
      <c r="B145" s="41" t="s">
        <v>180</v>
      </c>
      <c r="C145" s="41" t="s">
        <v>87</v>
      </c>
      <c r="D145" s="41" t="s">
        <v>104</v>
      </c>
      <c r="E145" s="41" t="s">
        <v>102</v>
      </c>
      <c r="F145" s="41" t="s">
        <v>76</v>
      </c>
      <c r="G145" s="41" t="n">
        <v>30.41</v>
      </c>
      <c r="H145" s="41" t="n">
        <v>1</v>
      </c>
      <c r="I145" s="41" t="n">
        <v>1.5205</v>
      </c>
      <c r="J145" s="41" t="n">
        <v>31.9305</v>
      </c>
      <c r="K145" s="41" t="s">
        <v>1386</v>
      </c>
      <c r="L145" s="41" t="s">
        <v>1387</v>
      </c>
      <c r="M145" s="41" t="s">
        <v>99</v>
      </c>
      <c r="N145" s="41" t="n">
        <v>30.41</v>
      </c>
      <c r="O145" s="41" t="n">
        <v>4.761904762</v>
      </c>
      <c r="P145" s="41" t="n">
        <v>1.5205</v>
      </c>
      <c r="Q145" s="41" t="n">
        <v>8.4</v>
      </c>
    </row>
    <row r="146" customFormat="false" ht="15" hidden="false" customHeight="false" outlineLevel="0" collapsed="false">
      <c r="A146" s="41" t="s">
        <v>324</v>
      </c>
      <c r="B146" s="41" t="s">
        <v>178</v>
      </c>
      <c r="C146" s="41" t="s">
        <v>85</v>
      </c>
      <c r="D146" s="41" t="s">
        <v>105</v>
      </c>
      <c r="E146" s="41" t="s">
        <v>102</v>
      </c>
      <c r="F146" s="41" t="s">
        <v>80</v>
      </c>
      <c r="G146" s="41" t="n">
        <v>77.95</v>
      </c>
      <c r="H146" s="41" t="n">
        <v>6</v>
      </c>
      <c r="I146" s="41" t="n">
        <v>23.385</v>
      </c>
      <c r="J146" s="41" t="n">
        <v>491.085</v>
      </c>
      <c r="K146" s="41" t="s">
        <v>1224</v>
      </c>
      <c r="L146" s="41" t="s">
        <v>1388</v>
      </c>
      <c r="M146" s="41" t="s">
        <v>98</v>
      </c>
      <c r="N146" s="41" t="n">
        <v>467.7</v>
      </c>
      <c r="O146" s="41" t="n">
        <v>4.761904762</v>
      </c>
      <c r="P146" s="41" t="n">
        <v>23.385</v>
      </c>
      <c r="Q146" s="41" t="n">
        <v>8</v>
      </c>
    </row>
    <row r="147" customFormat="false" ht="15" hidden="false" customHeight="false" outlineLevel="0" collapsed="false">
      <c r="A147" s="41" t="s">
        <v>325</v>
      </c>
      <c r="B147" s="41" t="s">
        <v>180</v>
      </c>
      <c r="C147" s="41" t="s">
        <v>87</v>
      </c>
      <c r="D147" s="41" t="s">
        <v>105</v>
      </c>
      <c r="E147" s="41" t="s">
        <v>102</v>
      </c>
      <c r="F147" s="41" t="s">
        <v>81</v>
      </c>
      <c r="G147" s="41" t="n">
        <v>46.26</v>
      </c>
      <c r="H147" s="41" t="n">
        <v>6</v>
      </c>
      <c r="I147" s="41" t="n">
        <v>13.878</v>
      </c>
      <c r="J147" s="41" t="n">
        <v>291.438</v>
      </c>
      <c r="K147" s="41" t="s">
        <v>1190</v>
      </c>
      <c r="L147" s="41" t="s">
        <v>1389</v>
      </c>
      <c r="M147" s="41" t="s">
        <v>99</v>
      </c>
      <c r="N147" s="41" t="n">
        <v>277.56</v>
      </c>
      <c r="O147" s="41" t="n">
        <v>4.761904762</v>
      </c>
      <c r="P147" s="41" t="n">
        <v>13.878</v>
      </c>
      <c r="Q147" s="41" t="n">
        <v>9.5</v>
      </c>
    </row>
    <row r="148" customFormat="false" ht="15" hidden="false" customHeight="false" outlineLevel="0" collapsed="false">
      <c r="A148" s="41" t="s">
        <v>326</v>
      </c>
      <c r="B148" s="41" t="s">
        <v>178</v>
      </c>
      <c r="C148" s="41" t="s">
        <v>85</v>
      </c>
      <c r="D148" s="41" t="s">
        <v>104</v>
      </c>
      <c r="E148" s="41" t="s">
        <v>102</v>
      </c>
      <c r="F148" s="41" t="s">
        <v>79</v>
      </c>
      <c r="G148" s="41" t="n">
        <v>30.14</v>
      </c>
      <c r="H148" s="41" t="n">
        <v>10</v>
      </c>
      <c r="I148" s="41" t="n">
        <v>15.07</v>
      </c>
      <c r="J148" s="41" t="n">
        <v>316.47</v>
      </c>
      <c r="K148" s="41" t="s">
        <v>1268</v>
      </c>
      <c r="L148" s="41" t="s">
        <v>1250</v>
      </c>
      <c r="M148" s="41" t="s">
        <v>98</v>
      </c>
      <c r="N148" s="41" t="n">
        <v>301.4</v>
      </c>
      <c r="O148" s="41" t="n">
        <v>4.761904762</v>
      </c>
      <c r="P148" s="41" t="n">
        <v>15.07</v>
      </c>
      <c r="Q148" s="41" t="n">
        <v>9.2</v>
      </c>
    </row>
    <row r="149" customFormat="false" ht="15" hidden="false" customHeight="false" outlineLevel="0" collapsed="false">
      <c r="A149" s="41" t="s">
        <v>327</v>
      </c>
      <c r="B149" s="41" t="s">
        <v>180</v>
      </c>
      <c r="C149" s="41" t="s">
        <v>87</v>
      </c>
      <c r="D149" s="41" t="s">
        <v>105</v>
      </c>
      <c r="E149" s="41" t="s">
        <v>103</v>
      </c>
      <c r="F149" s="41" t="s">
        <v>81</v>
      </c>
      <c r="G149" s="41" t="n">
        <v>66.14</v>
      </c>
      <c r="H149" s="41" t="n">
        <v>4</v>
      </c>
      <c r="I149" s="41" t="n">
        <v>13.228</v>
      </c>
      <c r="J149" s="41" t="n">
        <v>277.788</v>
      </c>
      <c r="K149" s="41" t="s">
        <v>1270</v>
      </c>
      <c r="L149" s="41" t="s">
        <v>1304</v>
      </c>
      <c r="M149" s="41" t="s">
        <v>99</v>
      </c>
      <c r="N149" s="41" t="n">
        <v>264.56</v>
      </c>
      <c r="O149" s="41" t="n">
        <v>4.761904762</v>
      </c>
      <c r="P149" s="41" t="n">
        <v>13.228</v>
      </c>
      <c r="Q149" s="41" t="n">
        <v>5.6</v>
      </c>
    </row>
    <row r="150" customFormat="false" ht="15" hidden="false" customHeight="false" outlineLevel="0" collapsed="false">
      <c r="A150" s="41" t="s">
        <v>328</v>
      </c>
      <c r="B150" s="41" t="s">
        <v>189</v>
      </c>
      <c r="C150" s="41" t="s">
        <v>86</v>
      </c>
      <c r="D150" s="41" t="s">
        <v>104</v>
      </c>
      <c r="E150" s="41" t="s">
        <v>103</v>
      </c>
      <c r="F150" s="41" t="s">
        <v>80</v>
      </c>
      <c r="G150" s="41" t="n">
        <v>71.86</v>
      </c>
      <c r="H150" s="41" t="n">
        <v>8</v>
      </c>
      <c r="I150" s="41" t="n">
        <v>28.744</v>
      </c>
      <c r="J150" s="41" t="n">
        <v>603.624</v>
      </c>
      <c r="K150" s="41" t="s">
        <v>1292</v>
      </c>
      <c r="L150" s="41" t="s">
        <v>1390</v>
      </c>
      <c r="M150" s="41" t="s">
        <v>99</v>
      </c>
      <c r="N150" s="41" t="n">
        <v>574.88</v>
      </c>
      <c r="O150" s="41" t="n">
        <v>4.761904762</v>
      </c>
      <c r="P150" s="41" t="n">
        <v>28.744</v>
      </c>
      <c r="Q150" s="41" t="n">
        <v>6.2</v>
      </c>
    </row>
    <row r="151" customFormat="false" ht="15" hidden="false" customHeight="false" outlineLevel="0" collapsed="false">
      <c r="A151" s="41" t="s">
        <v>329</v>
      </c>
      <c r="B151" s="41" t="s">
        <v>178</v>
      </c>
      <c r="C151" s="41" t="s">
        <v>85</v>
      </c>
      <c r="D151" s="41" t="s">
        <v>105</v>
      </c>
      <c r="E151" s="41" t="s">
        <v>103</v>
      </c>
      <c r="F151" s="41" t="s">
        <v>81</v>
      </c>
      <c r="G151" s="41" t="n">
        <v>32.46</v>
      </c>
      <c r="H151" s="41" t="n">
        <v>8</v>
      </c>
      <c r="I151" s="41" t="n">
        <v>12.984</v>
      </c>
      <c r="J151" s="41" t="n">
        <v>272.664</v>
      </c>
      <c r="K151" s="41" t="s">
        <v>1281</v>
      </c>
      <c r="L151" s="41" t="s">
        <v>1384</v>
      </c>
      <c r="M151" s="41" t="s">
        <v>99</v>
      </c>
      <c r="N151" s="41" t="n">
        <v>259.68</v>
      </c>
      <c r="O151" s="41" t="n">
        <v>4.761904762</v>
      </c>
      <c r="P151" s="41" t="n">
        <v>12.984</v>
      </c>
      <c r="Q151" s="41" t="n">
        <v>4.9</v>
      </c>
    </row>
    <row r="152" customFormat="false" ht="15" hidden="false" customHeight="false" outlineLevel="0" collapsed="false">
      <c r="A152" s="41" t="s">
        <v>330</v>
      </c>
      <c r="B152" s="41" t="s">
        <v>189</v>
      </c>
      <c r="C152" s="41" t="s">
        <v>86</v>
      </c>
      <c r="D152" s="41" t="s">
        <v>104</v>
      </c>
      <c r="E152" s="41" t="s">
        <v>102</v>
      </c>
      <c r="F152" s="41" t="s">
        <v>79</v>
      </c>
      <c r="G152" s="41" t="n">
        <v>91.54</v>
      </c>
      <c r="H152" s="41" t="n">
        <v>4</v>
      </c>
      <c r="I152" s="41" t="n">
        <v>18.308</v>
      </c>
      <c r="J152" s="41" t="n">
        <v>384.468</v>
      </c>
      <c r="K152" s="41" t="s">
        <v>1253</v>
      </c>
      <c r="L152" s="41" t="s">
        <v>1236</v>
      </c>
      <c r="M152" s="41" t="s">
        <v>99</v>
      </c>
      <c r="N152" s="41" t="n">
        <v>366.16</v>
      </c>
      <c r="O152" s="41" t="n">
        <v>4.761904762</v>
      </c>
      <c r="P152" s="41" t="n">
        <v>18.308</v>
      </c>
      <c r="Q152" s="41" t="n">
        <v>4.8</v>
      </c>
    </row>
    <row r="153" customFormat="false" ht="15" hidden="false" customHeight="false" outlineLevel="0" collapsed="false">
      <c r="A153" s="41" t="s">
        <v>331</v>
      </c>
      <c r="B153" s="41" t="s">
        <v>180</v>
      </c>
      <c r="C153" s="41" t="s">
        <v>87</v>
      </c>
      <c r="D153" s="41" t="s">
        <v>104</v>
      </c>
      <c r="E153" s="41" t="s">
        <v>103</v>
      </c>
      <c r="F153" s="41" t="s">
        <v>77</v>
      </c>
      <c r="G153" s="41" t="n">
        <v>34.56</v>
      </c>
      <c r="H153" s="41" t="n">
        <v>7</v>
      </c>
      <c r="I153" s="41" t="n">
        <v>12.096</v>
      </c>
      <c r="J153" s="41" t="n">
        <v>254.016</v>
      </c>
      <c r="K153" s="41" t="s">
        <v>1220</v>
      </c>
      <c r="L153" s="41" t="s">
        <v>1391</v>
      </c>
      <c r="M153" s="41" t="s">
        <v>99</v>
      </c>
      <c r="N153" s="41" t="n">
        <v>241.92</v>
      </c>
      <c r="O153" s="41" t="n">
        <v>4.761904762</v>
      </c>
      <c r="P153" s="41" t="n">
        <v>12.096</v>
      </c>
      <c r="Q153" s="41" t="n">
        <v>7.3</v>
      </c>
    </row>
    <row r="154" customFormat="false" ht="15" hidden="false" customHeight="false" outlineLevel="0" collapsed="false">
      <c r="A154" s="41" t="s">
        <v>332</v>
      </c>
      <c r="B154" s="41" t="s">
        <v>178</v>
      </c>
      <c r="C154" s="41" t="s">
        <v>85</v>
      </c>
      <c r="D154" s="41" t="s">
        <v>105</v>
      </c>
      <c r="E154" s="41" t="s">
        <v>103</v>
      </c>
      <c r="F154" s="41" t="s">
        <v>79</v>
      </c>
      <c r="G154" s="41" t="n">
        <v>83.24</v>
      </c>
      <c r="H154" s="41" t="n">
        <v>9</v>
      </c>
      <c r="I154" s="41" t="n">
        <v>37.458</v>
      </c>
      <c r="J154" s="41" t="n">
        <v>786.618</v>
      </c>
      <c r="K154" s="41" t="s">
        <v>1392</v>
      </c>
      <c r="L154" s="41" t="s">
        <v>1393</v>
      </c>
      <c r="M154" s="41" t="s">
        <v>99</v>
      </c>
      <c r="N154" s="41" t="n">
        <v>749.16</v>
      </c>
      <c r="O154" s="41" t="n">
        <v>4.761904762</v>
      </c>
      <c r="P154" s="41" t="n">
        <v>37.458</v>
      </c>
      <c r="Q154" s="41" t="n">
        <v>7.4</v>
      </c>
    </row>
    <row r="155" customFormat="false" ht="15" hidden="false" customHeight="false" outlineLevel="0" collapsed="false">
      <c r="A155" s="41" t="s">
        <v>333</v>
      </c>
      <c r="B155" s="41" t="s">
        <v>180</v>
      </c>
      <c r="C155" s="41" t="s">
        <v>87</v>
      </c>
      <c r="D155" s="41" t="s">
        <v>105</v>
      </c>
      <c r="E155" s="41" t="s">
        <v>102</v>
      </c>
      <c r="F155" s="41" t="s">
        <v>76</v>
      </c>
      <c r="G155" s="41" t="n">
        <v>16.48</v>
      </c>
      <c r="H155" s="41" t="n">
        <v>6</v>
      </c>
      <c r="I155" s="41" t="n">
        <v>4.944</v>
      </c>
      <c r="J155" s="41" t="n">
        <v>103.824</v>
      </c>
      <c r="K155" s="41" t="s">
        <v>1214</v>
      </c>
      <c r="L155" s="41" t="s">
        <v>1394</v>
      </c>
      <c r="M155" s="41" t="s">
        <v>98</v>
      </c>
      <c r="N155" s="41" t="n">
        <v>98.88</v>
      </c>
      <c r="O155" s="41" t="n">
        <v>4.761904762</v>
      </c>
      <c r="P155" s="41" t="n">
        <v>4.944</v>
      </c>
      <c r="Q155" s="41" t="n">
        <v>9.9</v>
      </c>
    </row>
    <row r="156" customFormat="false" ht="15" hidden="false" customHeight="false" outlineLevel="0" collapsed="false">
      <c r="A156" s="41" t="s">
        <v>334</v>
      </c>
      <c r="B156" s="41" t="s">
        <v>180</v>
      </c>
      <c r="C156" s="41" t="s">
        <v>87</v>
      </c>
      <c r="D156" s="41" t="s">
        <v>105</v>
      </c>
      <c r="E156" s="41" t="s">
        <v>102</v>
      </c>
      <c r="F156" s="41" t="s">
        <v>77</v>
      </c>
      <c r="G156" s="41" t="n">
        <v>80.97</v>
      </c>
      <c r="H156" s="41" t="n">
        <v>8</v>
      </c>
      <c r="I156" s="41" t="n">
        <v>32.388</v>
      </c>
      <c r="J156" s="41" t="n">
        <v>680.148</v>
      </c>
      <c r="K156" s="41" t="s">
        <v>1244</v>
      </c>
      <c r="L156" s="41" t="s">
        <v>1395</v>
      </c>
      <c r="M156" s="41" t="s">
        <v>97</v>
      </c>
      <c r="N156" s="41" t="n">
        <v>647.76</v>
      </c>
      <c r="O156" s="41" t="n">
        <v>4.761904762</v>
      </c>
      <c r="P156" s="41" t="n">
        <v>32.388</v>
      </c>
      <c r="Q156" s="41" t="n">
        <v>9.3</v>
      </c>
    </row>
    <row r="157" customFormat="false" ht="15" hidden="false" customHeight="false" outlineLevel="0" collapsed="false">
      <c r="A157" s="41" t="s">
        <v>335</v>
      </c>
      <c r="B157" s="41" t="s">
        <v>178</v>
      </c>
      <c r="C157" s="41" t="s">
        <v>85</v>
      </c>
      <c r="D157" s="41" t="s">
        <v>104</v>
      </c>
      <c r="E157" s="41" t="s">
        <v>103</v>
      </c>
      <c r="F157" s="41" t="s">
        <v>76</v>
      </c>
      <c r="G157" s="41" t="n">
        <v>92.29</v>
      </c>
      <c r="H157" s="41" t="n">
        <v>5</v>
      </c>
      <c r="I157" s="41" t="n">
        <v>23.0725</v>
      </c>
      <c r="J157" s="41" t="n">
        <v>484.5225</v>
      </c>
      <c r="K157" s="41" t="s">
        <v>1206</v>
      </c>
      <c r="L157" s="41" t="s">
        <v>1285</v>
      </c>
      <c r="M157" s="41" t="s">
        <v>99</v>
      </c>
      <c r="N157" s="41" t="n">
        <v>461.45</v>
      </c>
      <c r="O157" s="41" t="n">
        <v>4.761904762</v>
      </c>
      <c r="P157" s="41" t="n">
        <v>23.0725</v>
      </c>
      <c r="Q157" s="41" t="n">
        <v>9</v>
      </c>
    </row>
    <row r="158" customFormat="false" ht="15" hidden="false" customHeight="false" outlineLevel="0" collapsed="false">
      <c r="A158" s="41" t="s">
        <v>336</v>
      </c>
      <c r="B158" s="41" t="s">
        <v>189</v>
      </c>
      <c r="C158" s="41" t="s">
        <v>86</v>
      </c>
      <c r="D158" s="41" t="s">
        <v>104</v>
      </c>
      <c r="E158" s="41" t="s">
        <v>103</v>
      </c>
      <c r="F158" s="41" t="s">
        <v>78</v>
      </c>
      <c r="G158" s="41" t="n">
        <v>72.17</v>
      </c>
      <c r="H158" s="41" t="n">
        <v>1</v>
      </c>
      <c r="I158" s="41" t="n">
        <v>3.6085</v>
      </c>
      <c r="J158" s="41" t="n">
        <v>75.7785</v>
      </c>
      <c r="K158" s="41" t="s">
        <v>1396</v>
      </c>
      <c r="L158" s="41" t="s">
        <v>1397</v>
      </c>
      <c r="M158" s="41" t="s">
        <v>97</v>
      </c>
      <c r="N158" s="41" t="n">
        <v>72.17</v>
      </c>
      <c r="O158" s="41" t="n">
        <v>4.761904762</v>
      </c>
      <c r="P158" s="41" t="n">
        <v>3.6085</v>
      </c>
      <c r="Q158" s="41" t="n">
        <v>6.1</v>
      </c>
    </row>
    <row r="159" customFormat="false" ht="15" hidden="false" customHeight="false" outlineLevel="0" collapsed="false">
      <c r="A159" s="41" t="s">
        <v>337</v>
      </c>
      <c r="B159" s="41" t="s">
        <v>189</v>
      </c>
      <c r="C159" s="41" t="s">
        <v>86</v>
      </c>
      <c r="D159" s="41" t="s">
        <v>105</v>
      </c>
      <c r="E159" s="41" t="s">
        <v>103</v>
      </c>
      <c r="F159" s="41" t="s">
        <v>80</v>
      </c>
      <c r="G159" s="41" t="n">
        <v>50.28</v>
      </c>
      <c r="H159" s="41" t="n">
        <v>5</v>
      </c>
      <c r="I159" s="41" t="n">
        <v>12.57</v>
      </c>
      <c r="J159" s="41" t="n">
        <v>263.97</v>
      </c>
      <c r="K159" s="41" t="s">
        <v>1277</v>
      </c>
      <c r="L159" s="41" t="s">
        <v>1398</v>
      </c>
      <c r="M159" s="41" t="s">
        <v>98</v>
      </c>
      <c r="N159" s="41" t="n">
        <v>251.4</v>
      </c>
      <c r="O159" s="41" t="n">
        <v>4.761904762</v>
      </c>
      <c r="P159" s="41" t="n">
        <v>12.57</v>
      </c>
      <c r="Q159" s="41" t="n">
        <v>9.7</v>
      </c>
    </row>
    <row r="160" customFormat="false" ht="15" hidden="false" customHeight="false" outlineLevel="0" collapsed="false">
      <c r="A160" s="41" t="s">
        <v>338</v>
      </c>
      <c r="B160" s="41" t="s">
        <v>189</v>
      </c>
      <c r="C160" s="41" t="s">
        <v>86</v>
      </c>
      <c r="D160" s="41" t="s">
        <v>104</v>
      </c>
      <c r="E160" s="41" t="s">
        <v>103</v>
      </c>
      <c r="F160" s="41" t="s">
        <v>81</v>
      </c>
      <c r="G160" s="41" t="n">
        <v>97.22</v>
      </c>
      <c r="H160" s="41" t="n">
        <v>9</v>
      </c>
      <c r="I160" s="41" t="n">
        <v>43.749</v>
      </c>
      <c r="J160" s="41" t="n">
        <v>918.729</v>
      </c>
      <c r="K160" s="41" t="s">
        <v>1399</v>
      </c>
      <c r="L160" s="41" t="s">
        <v>1400</v>
      </c>
      <c r="M160" s="41" t="s">
        <v>98</v>
      </c>
      <c r="N160" s="41" t="n">
        <v>874.98</v>
      </c>
      <c r="O160" s="41" t="n">
        <v>4.761904762</v>
      </c>
      <c r="P160" s="41" t="n">
        <v>43.749</v>
      </c>
      <c r="Q160" s="41" t="n">
        <v>6</v>
      </c>
    </row>
    <row r="161" customFormat="false" ht="15" hidden="false" customHeight="false" outlineLevel="0" collapsed="false">
      <c r="A161" s="41" t="s">
        <v>339</v>
      </c>
      <c r="B161" s="41" t="s">
        <v>189</v>
      </c>
      <c r="C161" s="41" t="s">
        <v>86</v>
      </c>
      <c r="D161" s="41" t="s">
        <v>105</v>
      </c>
      <c r="E161" s="41" t="s">
        <v>103</v>
      </c>
      <c r="F161" s="41" t="s">
        <v>77</v>
      </c>
      <c r="G161" s="41" t="n">
        <v>93.39</v>
      </c>
      <c r="H161" s="41" t="n">
        <v>6</v>
      </c>
      <c r="I161" s="41" t="n">
        <v>28.017</v>
      </c>
      <c r="J161" s="41" t="n">
        <v>588.357</v>
      </c>
      <c r="K161" s="41" t="s">
        <v>1281</v>
      </c>
      <c r="L161" s="41" t="s">
        <v>1401</v>
      </c>
      <c r="M161" s="41" t="s">
        <v>98</v>
      </c>
      <c r="N161" s="41" t="n">
        <v>560.34</v>
      </c>
      <c r="O161" s="41" t="n">
        <v>4.761904762</v>
      </c>
      <c r="P161" s="41" t="n">
        <v>28.017</v>
      </c>
      <c r="Q161" s="41" t="n">
        <v>10</v>
      </c>
    </row>
    <row r="162" customFormat="false" ht="15" hidden="false" customHeight="false" outlineLevel="0" collapsed="false">
      <c r="A162" s="41" t="s">
        <v>340</v>
      </c>
      <c r="B162" s="41" t="s">
        <v>180</v>
      </c>
      <c r="C162" s="41" t="s">
        <v>87</v>
      </c>
      <c r="D162" s="41" t="s">
        <v>105</v>
      </c>
      <c r="E162" s="41" t="s">
        <v>102</v>
      </c>
      <c r="F162" s="41" t="s">
        <v>76</v>
      </c>
      <c r="G162" s="41" t="n">
        <v>43.18</v>
      </c>
      <c r="H162" s="41" t="n">
        <v>8</v>
      </c>
      <c r="I162" s="41" t="n">
        <v>17.272</v>
      </c>
      <c r="J162" s="41" t="n">
        <v>362.712</v>
      </c>
      <c r="K162" s="41" t="s">
        <v>1356</v>
      </c>
      <c r="L162" s="41" t="s">
        <v>1243</v>
      </c>
      <c r="M162" s="41" t="s">
        <v>99</v>
      </c>
      <c r="N162" s="41" t="n">
        <v>345.44</v>
      </c>
      <c r="O162" s="41" t="n">
        <v>4.761904762</v>
      </c>
      <c r="P162" s="41" t="n">
        <v>17.272</v>
      </c>
      <c r="Q162" s="41" t="n">
        <v>8.3</v>
      </c>
    </row>
    <row r="163" customFormat="false" ht="15" hidden="false" customHeight="false" outlineLevel="0" collapsed="false">
      <c r="A163" s="41" t="s">
        <v>341</v>
      </c>
      <c r="B163" s="41" t="s">
        <v>178</v>
      </c>
      <c r="C163" s="41" t="s">
        <v>85</v>
      </c>
      <c r="D163" s="41" t="s">
        <v>105</v>
      </c>
      <c r="E163" s="41" t="s">
        <v>103</v>
      </c>
      <c r="F163" s="41" t="s">
        <v>77</v>
      </c>
      <c r="G163" s="41" t="n">
        <v>63.69</v>
      </c>
      <c r="H163" s="41" t="n">
        <v>1</v>
      </c>
      <c r="I163" s="41" t="n">
        <v>3.1845</v>
      </c>
      <c r="J163" s="41" t="n">
        <v>66.8745</v>
      </c>
      <c r="K163" s="41" t="s">
        <v>1200</v>
      </c>
      <c r="L163" s="41" t="s">
        <v>1402</v>
      </c>
      <c r="M163" s="41" t="s">
        <v>97</v>
      </c>
      <c r="N163" s="41" t="n">
        <v>63.69</v>
      </c>
      <c r="O163" s="41" t="n">
        <v>4.761904762</v>
      </c>
      <c r="P163" s="41" t="n">
        <v>3.1845</v>
      </c>
      <c r="Q163" s="41" t="n">
        <v>6</v>
      </c>
    </row>
    <row r="164" customFormat="false" ht="15" hidden="false" customHeight="false" outlineLevel="0" collapsed="false">
      <c r="A164" s="41" t="s">
        <v>342</v>
      </c>
      <c r="B164" s="41" t="s">
        <v>178</v>
      </c>
      <c r="C164" s="41" t="s">
        <v>85</v>
      </c>
      <c r="D164" s="41" t="s">
        <v>105</v>
      </c>
      <c r="E164" s="41" t="s">
        <v>103</v>
      </c>
      <c r="F164" s="41" t="s">
        <v>76</v>
      </c>
      <c r="G164" s="41" t="n">
        <v>45.79</v>
      </c>
      <c r="H164" s="41" t="n">
        <v>7</v>
      </c>
      <c r="I164" s="41" t="n">
        <v>16.0265</v>
      </c>
      <c r="J164" s="41" t="n">
        <v>336.5565</v>
      </c>
      <c r="K164" s="41" t="s">
        <v>1296</v>
      </c>
      <c r="L164" s="41" t="s">
        <v>1403</v>
      </c>
      <c r="M164" s="41" t="s">
        <v>99</v>
      </c>
      <c r="N164" s="41" t="n">
        <v>320.53</v>
      </c>
      <c r="O164" s="41" t="n">
        <v>4.761904762</v>
      </c>
      <c r="P164" s="41" t="n">
        <v>16.0265</v>
      </c>
      <c r="Q164" s="41" t="n">
        <v>7</v>
      </c>
    </row>
    <row r="165" customFormat="false" ht="15" hidden="false" customHeight="false" outlineLevel="0" collapsed="false">
      <c r="A165" s="41" t="s">
        <v>343</v>
      </c>
      <c r="B165" s="41" t="s">
        <v>180</v>
      </c>
      <c r="C165" s="41" t="s">
        <v>87</v>
      </c>
      <c r="D165" s="41" t="s">
        <v>105</v>
      </c>
      <c r="E165" s="41" t="s">
        <v>103</v>
      </c>
      <c r="F165" s="41" t="s">
        <v>77</v>
      </c>
      <c r="G165" s="41" t="n">
        <v>76.4</v>
      </c>
      <c r="H165" s="41" t="n">
        <v>2</v>
      </c>
      <c r="I165" s="41" t="n">
        <v>7.64</v>
      </c>
      <c r="J165" s="41" t="n">
        <v>160.44</v>
      </c>
      <c r="K165" s="41" t="s">
        <v>1404</v>
      </c>
      <c r="L165" s="41" t="s">
        <v>1405</v>
      </c>
      <c r="M165" s="41" t="s">
        <v>98</v>
      </c>
      <c r="N165" s="41" t="n">
        <v>152.8</v>
      </c>
      <c r="O165" s="41" t="n">
        <v>4.761904762</v>
      </c>
      <c r="P165" s="41" t="n">
        <v>7.64</v>
      </c>
      <c r="Q165" s="41" t="n">
        <v>6.5</v>
      </c>
    </row>
    <row r="166" customFormat="false" ht="15" hidden="false" customHeight="false" outlineLevel="0" collapsed="false">
      <c r="A166" s="41" t="s">
        <v>344</v>
      </c>
      <c r="B166" s="41" t="s">
        <v>189</v>
      </c>
      <c r="C166" s="41" t="s">
        <v>86</v>
      </c>
      <c r="D166" s="41" t="s">
        <v>105</v>
      </c>
      <c r="E166" s="41" t="s">
        <v>103</v>
      </c>
      <c r="F166" s="41" t="s">
        <v>76</v>
      </c>
      <c r="G166" s="41" t="n">
        <v>39.9</v>
      </c>
      <c r="H166" s="41" t="n">
        <v>10</v>
      </c>
      <c r="I166" s="41" t="n">
        <v>19.95</v>
      </c>
      <c r="J166" s="41" t="n">
        <v>418.95</v>
      </c>
      <c r="K166" s="41" t="s">
        <v>1206</v>
      </c>
      <c r="L166" s="41" t="s">
        <v>1406</v>
      </c>
      <c r="M166" s="41" t="s">
        <v>99</v>
      </c>
      <c r="N166" s="41" t="n">
        <v>399</v>
      </c>
      <c r="O166" s="41" t="n">
        <v>4.761904762</v>
      </c>
      <c r="P166" s="41" t="n">
        <v>19.95</v>
      </c>
      <c r="Q166" s="41" t="n">
        <v>5.9</v>
      </c>
    </row>
    <row r="167" customFormat="false" ht="15" hidden="false" customHeight="false" outlineLevel="0" collapsed="false">
      <c r="A167" s="41" t="s">
        <v>345</v>
      </c>
      <c r="B167" s="41" t="s">
        <v>189</v>
      </c>
      <c r="C167" s="41" t="s">
        <v>86</v>
      </c>
      <c r="D167" s="41" t="s">
        <v>104</v>
      </c>
      <c r="E167" s="41" t="s">
        <v>103</v>
      </c>
      <c r="F167" s="41" t="s">
        <v>81</v>
      </c>
      <c r="G167" s="41" t="n">
        <v>42.57</v>
      </c>
      <c r="H167" s="41" t="n">
        <v>8</v>
      </c>
      <c r="I167" s="41" t="n">
        <v>17.028</v>
      </c>
      <c r="J167" s="41" t="n">
        <v>357.588</v>
      </c>
      <c r="K167" s="41" t="s">
        <v>1200</v>
      </c>
      <c r="L167" s="41" t="s">
        <v>1407</v>
      </c>
      <c r="M167" s="41" t="s">
        <v>98</v>
      </c>
      <c r="N167" s="41" t="n">
        <v>340.56</v>
      </c>
      <c r="O167" s="41" t="n">
        <v>4.761904762</v>
      </c>
      <c r="P167" s="41" t="n">
        <v>17.028</v>
      </c>
      <c r="Q167" s="41" t="n">
        <v>5.6</v>
      </c>
    </row>
    <row r="168" customFormat="false" ht="15" hidden="false" customHeight="false" outlineLevel="0" collapsed="false">
      <c r="A168" s="41" t="s">
        <v>346</v>
      </c>
      <c r="B168" s="41" t="s">
        <v>180</v>
      </c>
      <c r="C168" s="41" t="s">
        <v>87</v>
      </c>
      <c r="D168" s="41" t="s">
        <v>105</v>
      </c>
      <c r="E168" s="41" t="s">
        <v>103</v>
      </c>
      <c r="F168" s="41" t="s">
        <v>80</v>
      </c>
      <c r="G168" s="41" t="n">
        <v>95.58</v>
      </c>
      <c r="H168" s="41" t="n">
        <v>10</v>
      </c>
      <c r="I168" s="41" t="n">
        <v>47.79</v>
      </c>
      <c r="J168" s="41" t="n">
        <v>1003.59</v>
      </c>
      <c r="K168" s="41" t="s">
        <v>1360</v>
      </c>
      <c r="L168" s="41" t="s">
        <v>1408</v>
      </c>
      <c r="M168" s="41" t="s">
        <v>97</v>
      </c>
      <c r="N168" s="41" t="n">
        <v>955.8</v>
      </c>
      <c r="O168" s="41" t="n">
        <v>4.761904762</v>
      </c>
      <c r="P168" s="41" t="n">
        <v>47.79</v>
      </c>
      <c r="Q168" s="41" t="n">
        <v>4.8</v>
      </c>
    </row>
    <row r="169" customFormat="false" ht="15" hidden="false" customHeight="false" outlineLevel="0" collapsed="false">
      <c r="A169" s="41" t="s">
        <v>347</v>
      </c>
      <c r="B169" s="41" t="s">
        <v>178</v>
      </c>
      <c r="C169" s="41" t="s">
        <v>85</v>
      </c>
      <c r="D169" s="41" t="s">
        <v>105</v>
      </c>
      <c r="E169" s="41" t="s">
        <v>103</v>
      </c>
      <c r="F169" s="41" t="s">
        <v>79</v>
      </c>
      <c r="G169" s="41" t="n">
        <v>98.98</v>
      </c>
      <c r="H169" s="41" t="n">
        <v>10</v>
      </c>
      <c r="I169" s="41" t="n">
        <v>49.49</v>
      </c>
      <c r="J169" s="41" t="n">
        <v>1039.29</v>
      </c>
      <c r="K169" s="41" t="s">
        <v>1196</v>
      </c>
      <c r="L169" s="41" t="s">
        <v>1409</v>
      </c>
      <c r="M169" s="41" t="s">
        <v>99</v>
      </c>
      <c r="N169" s="41" t="n">
        <v>989.8</v>
      </c>
      <c r="O169" s="41" t="n">
        <v>4.761904762</v>
      </c>
      <c r="P169" s="41" t="n">
        <v>49.49</v>
      </c>
      <c r="Q169" s="41" t="n">
        <v>8.7</v>
      </c>
    </row>
    <row r="170" customFormat="false" ht="15" hidden="false" customHeight="false" outlineLevel="0" collapsed="false">
      <c r="A170" s="41" t="s">
        <v>348</v>
      </c>
      <c r="B170" s="41" t="s">
        <v>178</v>
      </c>
      <c r="C170" s="41" t="s">
        <v>85</v>
      </c>
      <c r="D170" s="41" t="s">
        <v>105</v>
      </c>
      <c r="E170" s="41" t="s">
        <v>103</v>
      </c>
      <c r="F170" s="41" t="s">
        <v>76</v>
      </c>
      <c r="G170" s="41" t="n">
        <v>51.28</v>
      </c>
      <c r="H170" s="41" t="n">
        <v>6</v>
      </c>
      <c r="I170" s="41" t="n">
        <v>15.384</v>
      </c>
      <c r="J170" s="41" t="n">
        <v>323.064</v>
      </c>
      <c r="K170" s="41" t="s">
        <v>1356</v>
      </c>
      <c r="L170" s="41" t="s">
        <v>1410</v>
      </c>
      <c r="M170" s="41" t="s">
        <v>97</v>
      </c>
      <c r="N170" s="41" t="n">
        <v>307.68</v>
      </c>
      <c r="O170" s="41" t="n">
        <v>4.761904762</v>
      </c>
      <c r="P170" s="41" t="n">
        <v>15.384</v>
      </c>
      <c r="Q170" s="41" t="n">
        <v>6.5</v>
      </c>
    </row>
    <row r="171" customFormat="false" ht="15" hidden="false" customHeight="false" outlineLevel="0" collapsed="false">
      <c r="A171" s="41" t="s">
        <v>349</v>
      </c>
      <c r="B171" s="41" t="s">
        <v>178</v>
      </c>
      <c r="C171" s="41" t="s">
        <v>85</v>
      </c>
      <c r="D171" s="41" t="s">
        <v>104</v>
      </c>
      <c r="E171" s="41" t="s">
        <v>103</v>
      </c>
      <c r="F171" s="41" t="s">
        <v>77</v>
      </c>
      <c r="G171" s="41" t="n">
        <v>69.52</v>
      </c>
      <c r="H171" s="41" t="n">
        <v>7</v>
      </c>
      <c r="I171" s="41" t="n">
        <v>24.332</v>
      </c>
      <c r="J171" s="41" t="n">
        <v>510.972</v>
      </c>
      <c r="K171" s="41" t="s">
        <v>1341</v>
      </c>
      <c r="L171" s="41" t="s">
        <v>1274</v>
      </c>
      <c r="M171" s="41" t="s">
        <v>99</v>
      </c>
      <c r="N171" s="41" t="n">
        <v>486.64</v>
      </c>
      <c r="O171" s="41" t="n">
        <v>4.761904762</v>
      </c>
      <c r="P171" s="41" t="n">
        <v>24.332</v>
      </c>
      <c r="Q171" s="41" t="n">
        <v>8.5</v>
      </c>
    </row>
    <row r="172" customFormat="false" ht="15" hidden="false" customHeight="false" outlineLevel="0" collapsed="false">
      <c r="A172" s="41" t="s">
        <v>350</v>
      </c>
      <c r="B172" s="41" t="s">
        <v>178</v>
      </c>
      <c r="C172" s="41" t="s">
        <v>85</v>
      </c>
      <c r="D172" s="41" t="s">
        <v>105</v>
      </c>
      <c r="E172" s="41" t="s">
        <v>103</v>
      </c>
      <c r="F172" s="41" t="s">
        <v>81</v>
      </c>
      <c r="G172" s="41" t="n">
        <v>70.01</v>
      </c>
      <c r="H172" s="41" t="n">
        <v>5</v>
      </c>
      <c r="I172" s="41" t="n">
        <v>17.5025</v>
      </c>
      <c r="J172" s="41" t="n">
        <v>367.5525</v>
      </c>
      <c r="K172" s="41" t="s">
        <v>1411</v>
      </c>
      <c r="L172" s="41" t="s">
        <v>1412</v>
      </c>
      <c r="M172" s="41" t="s">
        <v>98</v>
      </c>
      <c r="N172" s="41" t="n">
        <v>350.05</v>
      </c>
      <c r="O172" s="41" t="n">
        <v>4.761904762</v>
      </c>
      <c r="P172" s="41" t="n">
        <v>17.5025</v>
      </c>
      <c r="Q172" s="41" t="n">
        <v>5.5</v>
      </c>
    </row>
    <row r="173" customFormat="false" ht="15" hidden="false" customHeight="false" outlineLevel="0" collapsed="false">
      <c r="A173" s="41" t="s">
        <v>351</v>
      </c>
      <c r="B173" s="41" t="s">
        <v>189</v>
      </c>
      <c r="C173" s="41" t="s">
        <v>86</v>
      </c>
      <c r="D173" s="41" t="s">
        <v>104</v>
      </c>
      <c r="E173" s="41" t="s">
        <v>103</v>
      </c>
      <c r="F173" s="41" t="s">
        <v>76</v>
      </c>
      <c r="G173" s="41" t="n">
        <v>80.05</v>
      </c>
      <c r="H173" s="41" t="n">
        <v>5</v>
      </c>
      <c r="I173" s="41" t="n">
        <v>20.0125</v>
      </c>
      <c r="J173" s="41" t="n">
        <v>420.2625</v>
      </c>
      <c r="K173" s="41" t="s">
        <v>1317</v>
      </c>
      <c r="L173" s="41" t="s">
        <v>1269</v>
      </c>
      <c r="M173" s="41" t="s">
        <v>99</v>
      </c>
      <c r="N173" s="41" t="n">
        <v>400.25</v>
      </c>
      <c r="O173" s="41" t="n">
        <v>4.761904762</v>
      </c>
      <c r="P173" s="41" t="n">
        <v>20.0125</v>
      </c>
      <c r="Q173" s="41" t="n">
        <v>9.4</v>
      </c>
    </row>
    <row r="174" customFormat="false" ht="15" hidden="false" customHeight="false" outlineLevel="0" collapsed="false">
      <c r="A174" s="41" t="s">
        <v>352</v>
      </c>
      <c r="B174" s="41" t="s">
        <v>180</v>
      </c>
      <c r="C174" s="41" t="s">
        <v>87</v>
      </c>
      <c r="D174" s="41" t="s">
        <v>105</v>
      </c>
      <c r="E174" s="41" t="s">
        <v>103</v>
      </c>
      <c r="F174" s="41" t="s">
        <v>78</v>
      </c>
      <c r="G174" s="41" t="n">
        <v>20.85</v>
      </c>
      <c r="H174" s="41" t="n">
        <v>8</v>
      </c>
      <c r="I174" s="41" t="n">
        <v>8.34</v>
      </c>
      <c r="J174" s="41" t="n">
        <v>175.14</v>
      </c>
      <c r="K174" s="41" t="s">
        <v>1192</v>
      </c>
      <c r="L174" s="41" t="s">
        <v>1413</v>
      </c>
      <c r="M174" s="41" t="s">
        <v>97</v>
      </c>
      <c r="N174" s="41" t="n">
        <v>166.8</v>
      </c>
      <c r="O174" s="41" t="n">
        <v>4.761904762</v>
      </c>
      <c r="P174" s="41" t="n">
        <v>8.34</v>
      </c>
      <c r="Q174" s="41" t="n">
        <v>6.3</v>
      </c>
    </row>
    <row r="175" customFormat="false" ht="15" hidden="false" customHeight="false" outlineLevel="0" collapsed="false">
      <c r="A175" s="41" t="s">
        <v>353</v>
      </c>
      <c r="B175" s="41" t="s">
        <v>189</v>
      </c>
      <c r="C175" s="41" t="s">
        <v>86</v>
      </c>
      <c r="D175" s="41" t="s">
        <v>104</v>
      </c>
      <c r="E175" s="41" t="s">
        <v>103</v>
      </c>
      <c r="F175" s="41" t="s">
        <v>78</v>
      </c>
      <c r="G175" s="41" t="n">
        <v>52.89</v>
      </c>
      <c r="H175" s="41" t="n">
        <v>6</v>
      </c>
      <c r="I175" s="41" t="n">
        <v>15.867</v>
      </c>
      <c r="J175" s="41" t="n">
        <v>333.207</v>
      </c>
      <c r="K175" s="41" t="s">
        <v>1356</v>
      </c>
      <c r="L175" s="41" t="s">
        <v>1414</v>
      </c>
      <c r="M175" s="41" t="s">
        <v>99</v>
      </c>
      <c r="N175" s="41" t="n">
        <v>317.34</v>
      </c>
      <c r="O175" s="41" t="n">
        <v>4.761904762</v>
      </c>
      <c r="P175" s="41" t="n">
        <v>15.867</v>
      </c>
      <c r="Q175" s="41" t="n">
        <v>9.8</v>
      </c>
    </row>
    <row r="176" customFormat="false" ht="15" hidden="false" customHeight="false" outlineLevel="0" collapsed="false">
      <c r="A176" s="41" t="s">
        <v>354</v>
      </c>
      <c r="B176" s="41" t="s">
        <v>189</v>
      </c>
      <c r="C176" s="41" t="s">
        <v>86</v>
      </c>
      <c r="D176" s="41" t="s">
        <v>105</v>
      </c>
      <c r="E176" s="41" t="s">
        <v>103</v>
      </c>
      <c r="F176" s="41" t="s">
        <v>76</v>
      </c>
      <c r="G176" s="41" t="n">
        <v>19.79</v>
      </c>
      <c r="H176" s="41" t="n">
        <v>8</v>
      </c>
      <c r="I176" s="41" t="n">
        <v>7.916</v>
      </c>
      <c r="J176" s="41" t="n">
        <v>166.236</v>
      </c>
      <c r="K176" s="41" t="s">
        <v>1378</v>
      </c>
      <c r="L176" s="41" t="s">
        <v>1415</v>
      </c>
      <c r="M176" s="41" t="s">
        <v>98</v>
      </c>
      <c r="N176" s="41" t="n">
        <v>158.32</v>
      </c>
      <c r="O176" s="41" t="n">
        <v>4.761904762</v>
      </c>
      <c r="P176" s="41" t="n">
        <v>7.916</v>
      </c>
      <c r="Q176" s="41" t="n">
        <v>8.7</v>
      </c>
    </row>
    <row r="177" customFormat="false" ht="15" hidden="false" customHeight="false" outlineLevel="0" collapsed="false">
      <c r="A177" s="41" t="s">
        <v>355</v>
      </c>
      <c r="B177" s="41" t="s">
        <v>178</v>
      </c>
      <c r="C177" s="41" t="s">
        <v>85</v>
      </c>
      <c r="D177" s="41" t="s">
        <v>104</v>
      </c>
      <c r="E177" s="41" t="s">
        <v>103</v>
      </c>
      <c r="F177" s="41" t="s">
        <v>80</v>
      </c>
      <c r="G177" s="41" t="n">
        <v>33.84</v>
      </c>
      <c r="H177" s="41" t="n">
        <v>9</v>
      </c>
      <c r="I177" s="41" t="n">
        <v>15.228</v>
      </c>
      <c r="J177" s="41" t="n">
        <v>319.788</v>
      </c>
      <c r="K177" s="41" t="s">
        <v>1416</v>
      </c>
      <c r="L177" s="41" t="s">
        <v>1402</v>
      </c>
      <c r="M177" s="41" t="s">
        <v>98</v>
      </c>
      <c r="N177" s="41" t="n">
        <v>304.56</v>
      </c>
      <c r="O177" s="41" t="n">
        <v>4.761904762</v>
      </c>
      <c r="P177" s="41" t="n">
        <v>15.228</v>
      </c>
      <c r="Q177" s="41" t="n">
        <v>8.8</v>
      </c>
    </row>
    <row r="178" customFormat="false" ht="15" hidden="false" customHeight="false" outlineLevel="0" collapsed="false">
      <c r="A178" s="41" t="s">
        <v>356</v>
      </c>
      <c r="B178" s="41" t="s">
        <v>178</v>
      </c>
      <c r="C178" s="41" t="s">
        <v>85</v>
      </c>
      <c r="D178" s="41" t="s">
        <v>104</v>
      </c>
      <c r="E178" s="41" t="s">
        <v>103</v>
      </c>
      <c r="F178" s="41" t="s">
        <v>76</v>
      </c>
      <c r="G178" s="41" t="n">
        <v>22.17</v>
      </c>
      <c r="H178" s="41" t="n">
        <v>8</v>
      </c>
      <c r="I178" s="41" t="n">
        <v>8.868</v>
      </c>
      <c r="J178" s="41" t="n">
        <v>186.228</v>
      </c>
      <c r="K178" s="41" t="s">
        <v>1192</v>
      </c>
      <c r="L178" s="41" t="s">
        <v>1417</v>
      </c>
      <c r="M178" s="41" t="s">
        <v>99</v>
      </c>
      <c r="N178" s="41" t="n">
        <v>177.36</v>
      </c>
      <c r="O178" s="41" t="n">
        <v>4.761904762</v>
      </c>
      <c r="P178" s="41" t="n">
        <v>8.868</v>
      </c>
      <c r="Q178" s="41" t="n">
        <v>9.6</v>
      </c>
    </row>
    <row r="179" customFormat="false" ht="15" hidden="false" customHeight="false" outlineLevel="0" collapsed="false">
      <c r="A179" s="41" t="s">
        <v>357</v>
      </c>
      <c r="B179" s="41" t="s">
        <v>180</v>
      </c>
      <c r="C179" s="41" t="s">
        <v>87</v>
      </c>
      <c r="D179" s="41" t="s">
        <v>105</v>
      </c>
      <c r="E179" s="41" t="s">
        <v>102</v>
      </c>
      <c r="F179" s="41" t="s">
        <v>79</v>
      </c>
      <c r="G179" s="41" t="n">
        <v>22.51</v>
      </c>
      <c r="H179" s="41" t="n">
        <v>7</v>
      </c>
      <c r="I179" s="41" t="n">
        <v>7.8785</v>
      </c>
      <c r="J179" s="41" t="n">
        <v>165.4485</v>
      </c>
      <c r="K179" s="41" t="s">
        <v>1418</v>
      </c>
      <c r="L179" s="41" t="s">
        <v>1419</v>
      </c>
      <c r="M179" s="41" t="s">
        <v>99</v>
      </c>
      <c r="N179" s="41" t="n">
        <v>157.57</v>
      </c>
      <c r="O179" s="41" t="n">
        <v>4.761904762</v>
      </c>
      <c r="P179" s="41" t="n">
        <v>7.8785</v>
      </c>
      <c r="Q179" s="41" t="n">
        <v>4.8</v>
      </c>
    </row>
    <row r="180" customFormat="false" ht="15" hidden="false" customHeight="false" outlineLevel="0" collapsed="false">
      <c r="A180" s="41" t="s">
        <v>358</v>
      </c>
      <c r="B180" s="41" t="s">
        <v>178</v>
      </c>
      <c r="C180" s="41" t="s">
        <v>85</v>
      </c>
      <c r="D180" s="41" t="s">
        <v>105</v>
      </c>
      <c r="E180" s="41" t="s">
        <v>103</v>
      </c>
      <c r="F180" s="41" t="s">
        <v>76</v>
      </c>
      <c r="G180" s="41" t="n">
        <v>73.88</v>
      </c>
      <c r="H180" s="41" t="n">
        <v>6</v>
      </c>
      <c r="I180" s="41" t="n">
        <v>22.164</v>
      </c>
      <c r="J180" s="41" t="n">
        <v>465.444</v>
      </c>
      <c r="K180" s="41" t="s">
        <v>1253</v>
      </c>
      <c r="L180" s="41" t="s">
        <v>1420</v>
      </c>
      <c r="M180" s="41" t="s">
        <v>98</v>
      </c>
      <c r="N180" s="41" t="n">
        <v>443.28</v>
      </c>
      <c r="O180" s="41" t="n">
        <v>4.761904762</v>
      </c>
      <c r="P180" s="41" t="n">
        <v>22.164</v>
      </c>
      <c r="Q180" s="41" t="n">
        <v>4.4</v>
      </c>
    </row>
    <row r="181" customFormat="false" ht="15" hidden="false" customHeight="false" outlineLevel="0" collapsed="false">
      <c r="A181" s="41" t="s">
        <v>359</v>
      </c>
      <c r="B181" s="41" t="s">
        <v>180</v>
      </c>
      <c r="C181" s="41" t="s">
        <v>87</v>
      </c>
      <c r="D181" s="41" t="s">
        <v>104</v>
      </c>
      <c r="E181" s="41" t="s">
        <v>103</v>
      </c>
      <c r="F181" s="41" t="s">
        <v>81</v>
      </c>
      <c r="G181" s="41" t="n">
        <v>86.8</v>
      </c>
      <c r="H181" s="41" t="n">
        <v>3</v>
      </c>
      <c r="I181" s="41" t="n">
        <v>13.02</v>
      </c>
      <c r="J181" s="41" t="n">
        <v>273.42</v>
      </c>
      <c r="K181" s="41" t="s">
        <v>1244</v>
      </c>
      <c r="L181" s="41" t="s">
        <v>1421</v>
      </c>
      <c r="M181" s="41" t="s">
        <v>98</v>
      </c>
      <c r="N181" s="41" t="n">
        <v>260.4</v>
      </c>
      <c r="O181" s="41" t="n">
        <v>4.761904762</v>
      </c>
      <c r="P181" s="41" t="n">
        <v>13.02</v>
      </c>
      <c r="Q181" s="41" t="n">
        <v>9.9</v>
      </c>
    </row>
    <row r="182" customFormat="false" ht="15" hidden="false" customHeight="false" outlineLevel="0" collapsed="false">
      <c r="A182" s="41" t="s">
        <v>360</v>
      </c>
      <c r="B182" s="41" t="s">
        <v>180</v>
      </c>
      <c r="C182" s="41" t="s">
        <v>87</v>
      </c>
      <c r="D182" s="41" t="s">
        <v>105</v>
      </c>
      <c r="E182" s="41" t="s">
        <v>103</v>
      </c>
      <c r="F182" s="41" t="s">
        <v>79</v>
      </c>
      <c r="G182" s="41" t="n">
        <v>64.26</v>
      </c>
      <c r="H182" s="41" t="n">
        <v>7</v>
      </c>
      <c r="I182" s="41" t="n">
        <v>22.491</v>
      </c>
      <c r="J182" s="41" t="n">
        <v>472.311</v>
      </c>
      <c r="K182" s="41" t="s">
        <v>1334</v>
      </c>
      <c r="L182" s="41" t="s">
        <v>156</v>
      </c>
      <c r="M182" s="41" t="s">
        <v>97</v>
      </c>
      <c r="N182" s="41" t="n">
        <v>449.82</v>
      </c>
      <c r="O182" s="41" t="n">
        <v>4.761904762</v>
      </c>
      <c r="P182" s="41" t="n">
        <v>22.491</v>
      </c>
      <c r="Q182" s="41" t="n">
        <v>5.7</v>
      </c>
    </row>
    <row r="183" customFormat="false" ht="15" hidden="false" customHeight="false" outlineLevel="0" collapsed="false">
      <c r="A183" s="41" t="s">
        <v>361</v>
      </c>
      <c r="B183" s="41" t="s">
        <v>180</v>
      </c>
      <c r="C183" s="41" t="s">
        <v>87</v>
      </c>
      <c r="D183" s="41" t="s">
        <v>104</v>
      </c>
      <c r="E183" s="41" t="s">
        <v>103</v>
      </c>
      <c r="F183" s="41" t="s">
        <v>76</v>
      </c>
      <c r="G183" s="41" t="n">
        <v>38.47</v>
      </c>
      <c r="H183" s="41" t="n">
        <v>8</v>
      </c>
      <c r="I183" s="41" t="n">
        <v>15.388</v>
      </c>
      <c r="J183" s="41" t="n">
        <v>323.148</v>
      </c>
      <c r="K183" s="41" t="s">
        <v>1319</v>
      </c>
      <c r="L183" s="41" t="s">
        <v>1422</v>
      </c>
      <c r="M183" s="41" t="s">
        <v>97</v>
      </c>
      <c r="N183" s="41" t="n">
        <v>307.76</v>
      </c>
      <c r="O183" s="41" t="n">
        <v>4.761904762</v>
      </c>
      <c r="P183" s="41" t="n">
        <v>15.388</v>
      </c>
      <c r="Q183" s="41" t="n">
        <v>7.7</v>
      </c>
    </row>
    <row r="184" customFormat="false" ht="15" hidden="false" customHeight="false" outlineLevel="0" collapsed="false">
      <c r="A184" s="41" t="s">
        <v>362</v>
      </c>
      <c r="B184" s="41" t="s">
        <v>178</v>
      </c>
      <c r="C184" s="41" t="s">
        <v>85</v>
      </c>
      <c r="D184" s="41" t="s">
        <v>104</v>
      </c>
      <c r="E184" s="41" t="s">
        <v>103</v>
      </c>
      <c r="F184" s="41" t="s">
        <v>77</v>
      </c>
      <c r="G184" s="41" t="n">
        <v>15.5</v>
      </c>
      <c r="H184" s="41" t="n">
        <v>10</v>
      </c>
      <c r="I184" s="41" t="n">
        <v>7.75</v>
      </c>
      <c r="J184" s="41" t="n">
        <v>162.75</v>
      </c>
      <c r="K184" s="41" t="s">
        <v>1253</v>
      </c>
      <c r="L184" s="41" t="s">
        <v>1290</v>
      </c>
      <c r="M184" s="41" t="s">
        <v>98</v>
      </c>
      <c r="N184" s="41" t="n">
        <v>155</v>
      </c>
      <c r="O184" s="41" t="n">
        <v>4.761904762</v>
      </c>
      <c r="P184" s="41" t="n">
        <v>7.75</v>
      </c>
      <c r="Q184" s="41" t="n">
        <v>8</v>
      </c>
    </row>
    <row r="185" customFormat="false" ht="15" hidden="false" customHeight="false" outlineLevel="0" collapsed="false">
      <c r="A185" s="41" t="s">
        <v>363</v>
      </c>
      <c r="B185" s="41" t="s">
        <v>180</v>
      </c>
      <c r="C185" s="41" t="s">
        <v>87</v>
      </c>
      <c r="D185" s="41" t="s">
        <v>105</v>
      </c>
      <c r="E185" s="41" t="s">
        <v>103</v>
      </c>
      <c r="F185" s="41" t="s">
        <v>81</v>
      </c>
      <c r="G185" s="41" t="n">
        <v>34.31</v>
      </c>
      <c r="H185" s="41" t="n">
        <v>8</v>
      </c>
      <c r="I185" s="41" t="n">
        <v>13.724</v>
      </c>
      <c r="J185" s="41" t="n">
        <v>288.204</v>
      </c>
      <c r="K185" s="41" t="s">
        <v>1240</v>
      </c>
      <c r="L185" s="41" t="s">
        <v>161</v>
      </c>
      <c r="M185" s="41" t="s">
        <v>98</v>
      </c>
      <c r="N185" s="41" t="n">
        <v>274.48</v>
      </c>
      <c r="O185" s="41" t="n">
        <v>4.761904762</v>
      </c>
      <c r="P185" s="41" t="n">
        <v>13.724</v>
      </c>
      <c r="Q185" s="41" t="n">
        <v>5.7</v>
      </c>
    </row>
    <row r="186" customFormat="false" ht="15" hidden="false" customHeight="false" outlineLevel="0" collapsed="false">
      <c r="A186" s="41" t="s">
        <v>364</v>
      </c>
      <c r="B186" s="41" t="s">
        <v>178</v>
      </c>
      <c r="C186" s="41" t="s">
        <v>85</v>
      </c>
      <c r="D186" s="41" t="s">
        <v>105</v>
      </c>
      <c r="E186" s="41" t="s">
        <v>102</v>
      </c>
      <c r="F186" s="41" t="s">
        <v>77</v>
      </c>
      <c r="G186" s="41" t="n">
        <v>12.34</v>
      </c>
      <c r="H186" s="41" t="n">
        <v>7</v>
      </c>
      <c r="I186" s="41" t="n">
        <v>4.319</v>
      </c>
      <c r="J186" s="41" t="n">
        <v>90.699</v>
      </c>
      <c r="K186" s="41" t="s">
        <v>1261</v>
      </c>
      <c r="L186" s="41" t="s">
        <v>1423</v>
      </c>
      <c r="M186" s="41" t="s">
        <v>99</v>
      </c>
      <c r="N186" s="41" t="n">
        <v>86.38</v>
      </c>
      <c r="O186" s="41" t="n">
        <v>4.761904762</v>
      </c>
      <c r="P186" s="41" t="n">
        <v>4.319</v>
      </c>
      <c r="Q186" s="41" t="n">
        <v>6.7</v>
      </c>
    </row>
    <row r="187" customFormat="false" ht="15" hidden="false" customHeight="false" outlineLevel="0" collapsed="false">
      <c r="A187" s="41" t="s">
        <v>365</v>
      </c>
      <c r="B187" s="41" t="s">
        <v>189</v>
      </c>
      <c r="C187" s="41" t="s">
        <v>86</v>
      </c>
      <c r="D187" s="41" t="s">
        <v>104</v>
      </c>
      <c r="E187" s="41" t="s">
        <v>103</v>
      </c>
      <c r="F187" s="41" t="s">
        <v>76</v>
      </c>
      <c r="G187" s="41" t="n">
        <v>18.08</v>
      </c>
      <c r="H187" s="41" t="n">
        <v>3</v>
      </c>
      <c r="I187" s="41" t="n">
        <v>2.712</v>
      </c>
      <c r="J187" s="41" t="n">
        <v>56.952</v>
      </c>
      <c r="K187" s="41" t="s">
        <v>1227</v>
      </c>
      <c r="L187" s="41" t="s">
        <v>1424</v>
      </c>
      <c r="M187" s="41" t="s">
        <v>98</v>
      </c>
      <c r="N187" s="41" t="n">
        <v>54.24</v>
      </c>
      <c r="O187" s="41" t="n">
        <v>4.761904762</v>
      </c>
      <c r="P187" s="41" t="n">
        <v>2.712</v>
      </c>
      <c r="Q187" s="41" t="n">
        <v>8</v>
      </c>
    </row>
    <row r="188" customFormat="false" ht="15" hidden="false" customHeight="false" outlineLevel="0" collapsed="false">
      <c r="A188" s="41" t="s">
        <v>366</v>
      </c>
      <c r="B188" s="41" t="s">
        <v>189</v>
      </c>
      <c r="C188" s="41" t="s">
        <v>86</v>
      </c>
      <c r="D188" s="41" t="s">
        <v>104</v>
      </c>
      <c r="E188" s="41" t="s">
        <v>102</v>
      </c>
      <c r="F188" s="41" t="s">
        <v>80</v>
      </c>
      <c r="G188" s="41" t="n">
        <v>94.49</v>
      </c>
      <c r="H188" s="41" t="n">
        <v>8</v>
      </c>
      <c r="I188" s="41" t="n">
        <v>37.796</v>
      </c>
      <c r="J188" s="41" t="n">
        <v>793.716</v>
      </c>
      <c r="K188" s="41" t="s">
        <v>1192</v>
      </c>
      <c r="L188" s="41" t="s">
        <v>165</v>
      </c>
      <c r="M188" s="41" t="s">
        <v>98</v>
      </c>
      <c r="N188" s="41" t="n">
        <v>755.92</v>
      </c>
      <c r="O188" s="41" t="n">
        <v>4.761904762</v>
      </c>
      <c r="P188" s="41" t="n">
        <v>37.796</v>
      </c>
      <c r="Q188" s="41" t="n">
        <v>7.5</v>
      </c>
    </row>
    <row r="189" customFormat="false" ht="15" hidden="false" customHeight="false" outlineLevel="0" collapsed="false">
      <c r="A189" s="41" t="s">
        <v>367</v>
      </c>
      <c r="B189" s="41" t="s">
        <v>189</v>
      </c>
      <c r="C189" s="41" t="s">
        <v>86</v>
      </c>
      <c r="D189" s="41" t="s">
        <v>104</v>
      </c>
      <c r="E189" s="41" t="s">
        <v>103</v>
      </c>
      <c r="F189" s="41" t="s">
        <v>80</v>
      </c>
      <c r="G189" s="41" t="n">
        <v>46.47</v>
      </c>
      <c r="H189" s="41" t="n">
        <v>4</v>
      </c>
      <c r="I189" s="41" t="n">
        <v>9.294</v>
      </c>
      <c r="J189" s="41" t="n">
        <v>195.174</v>
      </c>
      <c r="K189" s="41" t="s">
        <v>1196</v>
      </c>
      <c r="L189" s="41" t="s">
        <v>1425</v>
      </c>
      <c r="M189" s="41" t="s">
        <v>97</v>
      </c>
      <c r="N189" s="41" t="n">
        <v>185.88</v>
      </c>
      <c r="O189" s="41" t="n">
        <v>4.761904762</v>
      </c>
      <c r="P189" s="41" t="n">
        <v>9.294</v>
      </c>
      <c r="Q189" s="41" t="n">
        <v>7</v>
      </c>
    </row>
    <row r="190" customFormat="false" ht="15" hidden="false" customHeight="false" outlineLevel="0" collapsed="false">
      <c r="A190" s="41" t="s">
        <v>368</v>
      </c>
      <c r="B190" s="41" t="s">
        <v>178</v>
      </c>
      <c r="C190" s="41" t="s">
        <v>85</v>
      </c>
      <c r="D190" s="41" t="s">
        <v>105</v>
      </c>
      <c r="E190" s="41" t="s">
        <v>103</v>
      </c>
      <c r="F190" s="41" t="s">
        <v>80</v>
      </c>
      <c r="G190" s="41" t="n">
        <v>74.07</v>
      </c>
      <c r="H190" s="41" t="n">
        <v>1</v>
      </c>
      <c r="I190" s="41" t="n">
        <v>3.7035</v>
      </c>
      <c r="J190" s="41" t="n">
        <v>77.7735</v>
      </c>
      <c r="K190" s="41" t="s">
        <v>1268</v>
      </c>
      <c r="L190" s="41" t="s">
        <v>1426</v>
      </c>
      <c r="M190" s="41" t="s">
        <v>98</v>
      </c>
      <c r="N190" s="41" t="n">
        <v>74.07</v>
      </c>
      <c r="O190" s="41" t="n">
        <v>4.761904762</v>
      </c>
      <c r="P190" s="41" t="n">
        <v>3.7035</v>
      </c>
      <c r="Q190" s="41" t="n">
        <v>9.9</v>
      </c>
    </row>
    <row r="191" customFormat="false" ht="15" hidden="false" customHeight="false" outlineLevel="0" collapsed="false">
      <c r="A191" s="41" t="s">
        <v>369</v>
      </c>
      <c r="B191" s="41" t="s">
        <v>180</v>
      </c>
      <c r="C191" s="41" t="s">
        <v>87</v>
      </c>
      <c r="D191" s="41" t="s">
        <v>105</v>
      </c>
      <c r="E191" s="41" t="s">
        <v>102</v>
      </c>
      <c r="F191" s="41" t="s">
        <v>80</v>
      </c>
      <c r="G191" s="41" t="n">
        <v>69.81</v>
      </c>
      <c r="H191" s="41" t="n">
        <v>4</v>
      </c>
      <c r="I191" s="41" t="n">
        <v>13.962</v>
      </c>
      <c r="J191" s="41" t="n">
        <v>293.202</v>
      </c>
      <c r="K191" s="41" t="s">
        <v>1244</v>
      </c>
      <c r="L191" s="41" t="s">
        <v>1427</v>
      </c>
      <c r="M191" s="41" t="s">
        <v>99</v>
      </c>
      <c r="N191" s="41" t="n">
        <v>279.24</v>
      </c>
      <c r="O191" s="41" t="n">
        <v>4.761904762</v>
      </c>
      <c r="P191" s="41" t="n">
        <v>13.962</v>
      </c>
      <c r="Q191" s="41" t="n">
        <v>5.9</v>
      </c>
    </row>
    <row r="192" customFormat="false" ht="15" hidden="false" customHeight="false" outlineLevel="0" collapsed="false">
      <c r="A192" s="41" t="s">
        <v>370</v>
      </c>
      <c r="B192" s="41" t="s">
        <v>189</v>
      </c>
      <c r="C192" s="41" t="s">
        <v>86</v>
      </c>
      <c r="D192" s="41" t="s">
        <v>105</v>
      </c>
      <c r="E192" s="41" t="s">
        <v>102</v>
      </c>
      <c r="F192" s="41" t="s">
        <v>80</v>
      </c>
      <c r="G192" s="41" t="n">
        <v>77.04</v>
      </c>
      <c r="H192" s="41" t="n">
        <v>3</v>
      </c>
      <c r="I192" s="41" t="n">
        <v>11.556</v>
      </c>
      <c r="J192" s="41" t="n">
        <v>242.676</v>
      </c>
      <c r="K192" s="41" t="s">
        <v>1305</v>
      </c>
      <c r="L192" s="41" t="s">
        <v>1223</v>
      </c>
      <c r="M192" s="41" t="s">
        <v>99</v>
      </c>
      <c r="N192" s="41" t="n">
        <v>231.12</v>
      </c>
      <c r="O192" s="41" t="n">
        <v>4.761904762</v>
      </c>
      <c r="P192" s="41" t="n">
        <v>11.556</v>
      </c>
      <c r="Q192" s="41" t="n">
        <v>7.2</v>
      </c>
    </row>
    <row r="193" customFormat="false" ht="15" hidden="false" customHeight="false" outlineLevel="0" collapsed="false">
      <c r="A193" s="41" t="s">
        <v>371</v>
      </c>
      <c r="B193" s="41" t="s">
        <v>189</v>
      </c>
      <c r="C193" s="41" t="s">
        <v>86</v>
      </c>
      <c r="D193" s="41" t="s">
        <v>105</v>
      </c>
      <c r="E193" s="41" t="s">
        <v>102</v>
      </c>
      <c r="F193" s="41" t="s">
        <v>79</v>
      </c>
      <c r="G193" s="41" t="n">
        <v>73.52</v>
      </c>
      <c r="H193" s="41" t="n">
        <v>2</v>
      </c>
      <c r="I193" s="41" t="n">
        <v>7.352</v>
      </c>
      <c r="J193" s="41" t="n">
        <v>154.392</v>
      </c>
      <c r="K193" s="41" t="s">
        <v>1218</v>
      </c>
      <c r="L193" s="41" t="s">
        <v>1428</v>
      </c>
      <c r="M193" s="41" t="s">
        <v>98</v>
      </c>
      <c r="N193" s="41" t="n">
        <v>147.04</v>
      </c>
      <c r="O193" s="41" t="n">
        <v>4.761904762</v>
      </c>
      <c r="P193" s="41" t="n">
        <v>7.352</v>
      </c>
      <c r="Q193" s="41" t="n">
        <v>4.6</v>
      </c>
    </row>
    <row r="194" customFormat="false" ht="15" hidden="false" customHeight="false" outlineLevel="0" collapsed="false">
      <c r="A194" s="41" t="s">
        <v>372</v>
      </c>
      <c r="B194" s="41" t="s">
        <v>180</v>
      </c>
      <c r="C194" s="41" t="s">
        <v>87</v>
      </c>
      <c r="D194" s="41" t="s">
        <v>105</v>
      </c>
      <c r="E194" s="41" t="s">
        <v>102</v>
      </c>
      <c r="F194" s="41" t="s">
        <v>76</v>
      </c>
      <c r="G194" s="41" t="n">
        <v>87.8</v>
      </c>
      <c r="H194" s="41" t="n">
        <v>9</v>
      </c>
      <c r="I194" s="41" t="n">
        <v>39.51</v>
      </c>
      <c r="J194" s="41" t="n">
        <v>829.71</v>
      </c>
      <c r="K194" s="41" t="s">
        <v>1263</v>
      </c>
      <c r="L194" s="41" t="s">
        <v>1429</v>
      </c>
      <c r="M194" s="41" t="s">
        <v>97</v>
      </c>
      <c r="N194" s="41" t="n">
        <v>790.2</v>
      </c>
      <c r="O194" s="41" t="n">
        <v>4.761904762</v>
      </c>
      <c r="P194" s="41" t="n">
        <v>39.51</v>
      </c>
      <c r="Q194" s="41" t="n">
        <v>9.2</v>
      </c>
    </row>
    <row r="195" customFormat="false" ht="15" hidden="false" customHeight="false" outlineLevel="0" collapsed="false">
      <c r="A195" s="41" t="s">
        <v>373</v>
      </c>
      <c r="B195" s="41" t="s">
        <v>189</v>
      </c>
      <c r="C195" s="41" t="s">
        <v>86</v>
      </c>
      <c r="D195" s="41" t="s">
        <v>105</v>
      </c>
      <c r="E195" s="41" t="s">
        <v>103</v>
      </c>
      <c r="F195" s="41" t="s">
        <v>80</v>
      </c>
      <c r="G195" s="41" t="n">
        <v>25.55</v>
      </c>
      <c r="H195" s="41" t="n">
        <v>4</v>
      </c>
      <c r="I195" s="41" t="n">
        <v>5.11</v>
      </c>
      <c r="J195" s="41" t="n">
        <v>107.31</v>
      </c>
      <c r="K195" s="41" t="s">
        <v>1317</v>
      </c>
      <c r="L195" s="41" t="s">
        <v>1430</v>
      </c>
      <c r="M195" s="41" t="s">
        <v>98</v>
      </c>
      <c r="N195" s="41" t="n">
        <v>102.2</v>
      </c>
      <c r="O195" s="41" t="n">
        <v>4.761904762</v>
      </c>
      <c r="P195" s="41" t="n">
        <v>5.11</v>
      </c>
      <c r="Q195" s="41" t="n">
        <v>5.7</v>
      </c>
    </row>
    <row r="196" customFormat="false" ht="15" hidden="false" customHeight="false" outlineLevel="0" collapsed="false">
      <c r="A196" s="41" t="s">
        <v>374</v>
      </c>
      <c r="B196" s="41" t="s">
        <v>178</v>
      </c>
      <c r="C196" s="41" t="s">
        <v>85</v>
      </c>
      <c r="D196" s="41" t="s">
        <v>105</v>
      </c>
      <c r="E196" s="41" t="s">
        <v>103</v>
      </c>
      <c r="F196" s="41" t="s">
        <v>78</v>
      </c>
      <c r="G196" s="41" t="n">
        <v>32.71</v>
      </c>
      <c r="H196" s="41" t="n">
        <v>5</v>
      </c>
      <c r="I196" s="41" t="n">
        <v>8.1775</v>
      </c>
      <c r="J196" s="41" t="n">
        <v>171.7275</v>
      </c>
      <c r="K196" s="41" t="s">
        <v>1270</v>
      </c>
      <c r="L196" s="41" t="s">
        <v>1431</v>
      </c>
      <c r="M196" s="41" t="s">
        <v>99</v>
      </c>
      <c r="N196" s="41" t="n">
        <v>163.55</v>
      </c>
      <c r="O196" s="41" t="n">
        <v>4.761904762</v>
      </c>
      <c r="P196" s="41" t="n">
        <v>8.1775</v>
      </c>
      <c r="Q196" s="41" t="n">
        <v>9.9</v>
      </c>
    </row>
    <row r="197" customFormat="false" ht="15" hidden="false" customHeight="false" outlineLevel="0" collapsed="false">
      <c r="A197" s="41" t="s">
        <v>375</v>
      </c>
      <c r="B197" s="41" t="s">
        <v>180</v>
      </c>
      <c r="C197" s="41" t="s">
        <v>87</v>
      </c>
      <c r="D197" s="41" t="s">
        <v>104</v>
      </c>
      <c r="E197" s="41" t="s">
        <v>102</v>
      </c>
      <c r="F197" s="41" t="s">
        <v>79</v>
      </c>
      <c r="G197" s="41" t="n">
        <v>74.29</v>
      </c>
      <c r="H197" s="41" t="n">
        <v>1</v>
      </c>
      <c r="I197" s="41" t="n">
        <v>3.7145</v>
      </c>
      <c r="J197" s="41" t="n">
        <v>78.0045</v>
      </c>
      <c r="K197" s="41" t="s">
        <v>1309</v>
      </c>
      <c r="L197" s="41" t="s">
        <v>1432</v>
      </c>
      <c r="M197" s="41" t="s">
        <v>97</v>
      </c>
      <c r="N197" s="41" t="n">
        <v>74.29</v>
      </c>
      <c r="O197" s="41" t="n">
        <v>4.761904762</v>
      </c>
      <c r="P197" s="41" t="n">
        <v>3.7145</v>
      </c>
      <c r="Q197" s="41" t="n">
        <v>5</v>
      </c>
    </row>
    <row r="198" customFormat="false" ht="15" hidden="false" customHeight="false" outlineLevel="0" collapsed="false">
      <c r="A198" s="41" t="s">
        <v>376</v>
      </c>
      <c r="B198" s="41" t="s">
        <v>180</v>
      </c>
      <c r="C198" s="41" t="s">
        <v>87</v>
      </c>
      <c r="D198" s="41" t="s">
        <v>104</v>
      </c>
      <c r="E198" s="41" t="s">
        <v>103</v>
      </c>
      <c r="F198" s="41" t="s">
        <v>81</v>
      </c>
      <c r="G198" s="41" t="n">
        <v>43.7</v>
      </c>
      <c r="H198" s="41" t="n">
        <v>2</v>
      </c>
      <c r="I198" s="41" t="n">
        <v>4.37</v>
      </c>
      <c r="J198" s="41" t="n">
        <v>91.77</v>
      </c>
      <c r="K198" s="41" t="s">
        <v>1338</v>
      </c>
      <c r="L198" s="41" t="s">
        <v>1433</v>
      </c>
      <c r="M198" s="41" t="s">
        <v>97</v>
      </c>
      <c r="N198" s="41" t="n">
        <v>87.4</v>
      </c>
      <c r="O198" s="41" t="n">
        <v>4.761904762</v>
      </c>
      <c r="P198" s="41" t="n">
        <v>4.37</v>
      </c>
      <c r="Q198" s="41" t="n">
        <v>4.9</v>
      </c>
    </row>
    <row r="199" customFormat="false" ht="15" hidden="false" customHeight="false" outlineLevel="0" collapsed="false">
      <c r="A199" s="41" t="s">
        <v>377</v>
      </c>
      <c r="B199" s="41" t="s">
        <v>178</v>
      </c>
      <c r="C199" s="41" t="s">
        <v>85</v>
      </c>
      <c r="D199" s="41" t="s">
        <v>105</v>
      </c>
      <c r="E199" s="41" t="s">
        <v>102</v>
      </c>
      <c r="F199" s="41" t="s">
        <v>80</v>
      </c>
      <c r="G199" s="41" t="n">
        <v>25.29</v>
      </c>
      <c r="H199" s="41" t="n">
        <v>1</v>
      </c>
      <c r="I199" s="41" t="n">
        <v>1.2645</v>
      </c>
      <c r="J199" s="41" t="n">
        <v>26.5545</v>
      </c>
      <c r="K199" s="41" t="s">
        <v>1253</v>
      </c>
      <c r="L199" s="41" t="s">
        <v>1434</v>
      </c>
      <c r="M199" s="41" t="s">
        <v>98</v>
      </c>
      <c r="N199" s="41" t="n">
        <v>25.29</v>
      </c>
      <c r="O199" s="41" t="n">
        <v>4.761904762</v>
      </c>
      <c r="P199" s="41" t="n">
        <v>1.2645</v>
      </c>
      <c r="Q199" s="41" t="n">
        <v>6.1</v>
      </c>
    </row>
    <row r="200" customFormat="false" ht="15" hidden="false" customHeight="false" outlineLevel="0" collapsed="false">
      <c r="A200" s="41" t="s">
        <v>378</v>
      </c>
      <c r="B200" s="41" t="s">
        <v>180</v>
      </c>
      <c r="C200" s="41" t="s">
        <v>87</v>
      </c>
      <c r="D200" s="41" t="s">
        <v>105</v>
      </c>
      <c r="E200" s="41" t="s">
        <v>103</v>
      </c>
      <c r="F200" s="41" t="s">
        <v>81</v>
      </c>
      <c r="G200" s="41" t="n">
        <v>41.5</v>
      </c>
      <c r="H200" s="41" t="n">
        <v>4</v>
      </c>
      <c r="I200" s="41" t="n">
        <v>8.3</v>
      </c>
      <c r="J200" s="41" t="n">
        <v>174.3</v>
      </c>
      <c r="K200" s="41" t="s">
        <v>1286</v>
      </c>
      <c r="L200" s="41" t="s">
        <v>1435</v>
      </c>
      <c r="M200" s="41" t="s">
        <v>99</v>
      </c>
      <c r="N200" s="41" t="n">
        <v>166</v>
      </c>
      <c r="O200" s="41" t="n">
        <v>4.761904762</v>
      </c>
      <c r="P200" s="41" t="n">
        <v>8.3</v>
      </c>
      <c r="Q200" s="41" t="n">
        <v>8.2</v>
      </c>
    </row>
    <row r="201" customFormat="false" ht="15" hidden="false" customHeight="false" outlineLevel="0" collapsed="false">
      <c r="A201" s="41" t="s">
        <v>379</v>
      </c>
      <c r="B201" s="41" t="s">
        <v>180</v>
      </c>
      <c r="C201" s="41" t="s">
        <v>87</v>
      </c>
      <c r="D201" s="41" t="s">
        <v>104</v>
      </c>
      <c r="E201" s="41" t="s">
        <v>102</v>
      </c>
      <c r="F201" s="41" t="s">
        <v>76</v>
      </c>
      <c r="G201" s="41" t="n">
        <v>71.39</v>
      </c>
      <c r="H201" s="41" t="n">
        <v>5</v>
      </c>
      <c r="I201" s="41" t="n">
        <v>17.8475</v>
      </c>
      <c r="J201" s="41" t="n">
        <v>374.7975</v>
      </c>
      <c r="K201" s="41" t="s">
        <v>1231</v>
      </c>
      <c r="L201" s="41" t="s">
        <v>1385</v>
      </c>
      <c r="M201" s="41" t="s">
        <v>99</v>
      </c>
      <c r="N201" s="41" t="n">
        <v>356.95</v>
      </c>
      <c r="O201" s="41" t="n">
        <v>4.761904762</v>
      </c>
      <c r="P201" s="41" t="n">
        <v>17.8475</v>
      </c>
      <c r="Q201" s="41" t="n">
        <v>5.5</v>
      </c>
    </row>
    <row r="202" customFormat="false" ht="15" hidden="false" customHeight="false" outlineLevel="0" collapsed="false">
      <c r="A202" s="41" t="s">
        <v>380</v>
      </c>
      <c r="B202" s="41" t="s">
        <v>180</v>
      </c>
      <c r="C202" s="41" t="s">
        <v>87</v>
      </c>
      <c r="D202" s="41" t="s">
        <v>104</v>
      </c>
      <c r="E202" s="41" t="s">
        <v>102</v>
      </c>
      <c r="F202" s="41" t="s">
        <v>77</v>
      </c>
      <c r="G202" s="41" t="n">
        <v>19.15</v>
      </c>
      <c r="H202" s="41" t="n">
        <v>6</v>
      </c>
      <c r="I202" s="41" t="n">
        <v>5.745</v>
      </c>
      <c r="J202" s="41" t="n">
        <v>120.645</v>
      </c>
      <c r="K202" s="41" t="s">
        <v>1392</v>
      </c>
      <c r="L202" s="41" t="s">
        <v>1436</v>
      </c>
      <c r="M202" s="41" t="s">
        <v>99</v>
      </c>
      <c r="N202" s="41" t="n">
        <v>114.9</v>
      </c>
      <c r="O202" s="41" t="n">
        <v>4.761904762</v>
      </c>
      <c r="P202" s="41" t="n">
        <v>5.745</v>
      </c>
      <c r="Q202" s="41" t="n">
        <v>6.8</v>
      </c>
    </row>
    <row r="203" customFormat="false" ht="15" hidden="false" customHeight="false" outlineLevel="0" collapsed="false">
      <c r="A203" s="41" t="s">
        <v>381</v>
      </c>
      <c r="B203" s="41" t="s">
        <v>189</v>
      </c>
      <c r="C203" s="41" t="s">
        <v>86</v>
      </c>
      <c r="D203" s="41" t="s">
        <v>104</v>
      </c>
      <c r="E203" s="41" t="s">
        <v>102</v>
      </c>
      <c r="F203" s="41" t="s">
        <v>78</v>
      </c>
      <c r="G203" s="41" t="n">
        <v>57.49</v>
      </c>
      <c r="H203" s="41" t="n">
        <v>4</v>
      </c>
      <c r="I203" s="41" t="n">
        <v>11.498</v>
      </c>
      <c r="J203" s="41" t="n">
        <v>241.458</v>
      </c>
      <c r="K203" s="41" t="s">
        <v>1229</v>
      </c>
      <c r="L203" s="41" t="s">
        <v>1437</v>
      </c>
      <c r="M203" s="41" t="s">
        <v>97</v>
      </c>
      <c r="N203" s="41" t="n">
        <v>229.96</v>
      </c>
      <c r="O203" s="41" t="n">
        <v>4.761904762</v>
      </c>
      <c r="P203" s="41" t="n">
        <v>11.498</v>
      </c>
      <c r="Q203" s="41" t="n">
        <v>6.6</v>
      </c>
    </row>
    <row r="204" customFormat="false" ht="15" hidden="false" customHeight="false" outlineLevel="0" collapsed="false">
      <c r="A204" s="41" t="s">
        <v>382</v>
      </c>
      <c r="B204" s="41" t="s">
        <v>180</v>
      </c>
      <c r="C204" s="41" t="s">
        <v>87</v>
      </c>
      <c r="D204" s="41" t="s">
        <v>105</v>
      </c>
      <c r="E204" s="41" t="s">
        <v>103</v>
      </c>
      <c r="F204" s="41" t="s">
        <v>78</v>
      </c>
      <c r="G204" s="41" t="n">
        <v>61.41</v>
      </c>
      <c r="H204" s="41" t="n">
        <v>7</v>
      </c>
      <c r="I204" s="41" t="n">
        <v>21.4935</v>
      </c>
      <c r="J204" s="41" t="n">
        <v>451.3635</v>
      </c>
      <c r="K204" s="41" t="s">
        <v>1438</v>
      </c>
      <c r="L204" s="41" t="s">
        <v>1439</v>
      </c>
      <c r="M204" s="41" t="s">
        <v>97</v>
      </c>
      <c r="N204" s="41" t="n">
        <v>429.87</v>
      </c>
      <c r="O204" s="41" t="n">
        <v>4.761904762</v>
      </c>
      <c r="P204" s="41" t="n">
        <v>21.4935</v>
      </c>
      <c r="Q204" s="41" t="n">
        <v>9.8</v>
      </c>
    </row>
    <row r="205" customFormat="false" ht="15" hidden="false" customHeight="false" outlineLevel="0" collapsed="false">
      <c r="A205" s="41" t="s">
        <v>383</v>
      </c>
      <c r="B205" s="41" t="s">
        <v>189</v>
      </c>
      <c r="C205" s="41" t="s">
        <v>86</v>
      </c>
      <c r="D205" s="41" t="s">
        <v>104</v>
      </c>
      <c r="E205" s="41" t="s">
        <v>103</v>
      </c>
      <c r="F205" s="41" t="s">
        <v>81</v>
      </c>
      <c r="G205" s="41" t="n">
        <v>25.9</v>
      </c>
      <c r="H205" s="41" t="n">
        <v>10</v>
      </c>
      <c r="I205" s="41" t="n">
        <v>12.95</v>
      </c>
      <c r="J205" s="41" t="n">
        <v>271.95</v>
      </c>
      <c r="K205" s="41" t="s">
        <v>1208</v>
      </c>
      <c r="L205" s="41" t="s">
        <v>1440</v>
      </c>
      <c r="M205" s="41" t="s">
        <v>98</v>
      </c>
      <c r="N205" s="41" t="n">
        <v>259</v>
      </c>
      <c r="O205" s="41" t="n">
        <v>4.761904762</v>
      </c>
      <c r="P205" s="41" t="n">
        <v>12.95</v>
      </c>
      <c r="Q205" s="41" t="n">
        <v>8.7</v>
      </c>
    </row>
    <row r="206" customFormat="false" ht="15" hidden="false" customHeight="false" outlineLevel="0" collapsed="false">
      <c r="A206" s="41" t="s">
        <v>384</v>
      </c>
      <c r="B206" s="41" t="s">
        <v>189</v>
      </c>
      <c r="C206" s="41" t="s">
        <v>86</v>
      </c>
      <c r="D206" s="41" t="s">
        <v>104</v>
      </c>
      <c r="E206" s="41" t="s">
        <v>103</v>
      </c>
      <c r="F206" s="41" t="s">
        <v>80</v>
      </c>
      <c r="G206" s="41" t="n">
        <v>17.77</v>
      </c>
      <c r="H206" s="41" t="n">
        <v>5</v>
      </c>
      <c r="I206" s="41" t="n">
        <v>4.4425</v>
      </c>
      <c r="J206" s="41" t="n">
        <v>93.2925</v>
      </c>
      <c r="K206" s="41" t="s">
        <v>1288</v>
      </c>
      <c r="L206" s="41" t="s">
        <v>1441</v>
      </c>
      <c r="M206" s="41" t="s">
        <v>99</v>
      </c>
      <c r="N206" s="41" t="n">
        <v>88.85</v>
      </c>
      <c r="O206" s="41" t="n">
        <v>4.761904762</v>
      </c>
      <c r="P206" s="41" t="n">
        <v>4.4425</v>
      </c>
      <c r="Q206" s="41" t="n">
        <v>5.4</v>
      </c>
    </row>
    <row r="207" customFormat="false" ht="15" hidden="false" customHeight="false" outlineLevel="0" collapsed="false">
      <c r="A207" s="41" t="s">
        <v>385</v>
      </c>
      <c r="B207" s="41" t="s">
        <v>178</v>
      </c>
      <c r="C207" s="41" t="s">
        <v>85</v>
      </c>
      <c r="D207" s="41" t="s">
        <v>105</v>
      </c>
      <c r="E207" s="41" t="s">
        <v>102</v>
      </c>
      <c r="F207" s="41" t="s">
        <v>81</v>
      </c>
      <c r="G207" s="41" t="n">
        <v>23.03</v>
      </c>
      <c r="H207" s="41" t="n">
        <v>9</v>
      </c>
      <c r="I207" s="41" t="n">
        <v>10.3635</v>
      </c>
      <c r="J207" s="41" t="n">
        <v>217.6335</v>
      </c>
      <c r="K207" s="41" t="s">
        <v>1411</v>
      </c>
      <c r="L207" s="41" t="s">
        <v>1363</v>
      </c>
      <c r="M207" s="41" t="s">
        <v>98</v>
      </c>
      <c r="N207" s="41" t="n">
        <v>207.27</v>
      </c>
      <c r="O207" s="41" t="n">
        <v>4.761904762</v>
      </c>
      <c r="P207" s="41" t="n">
        <v>10.3635</v>
      </c>
      <c r="Q207" s="41" t="n">
        <v>7.9</v>
      </c>
    </row>
    <row r="208" customFormat="false" ht="15" hidden="false" customHeight="false" outlineLevel="0" collapsed="false">
      <c r="A208" s="41" t="s">
        <v>386</v>
      </c>
      <c r="B208" s="41" t="s">
        <v>180</v>
      </c>
      <c r="C208" s="41" t="s">
        <v>87</v>
      </c>
      <c r="D208" s="41" t="s">
        <v>104</v>
      </c>
      <c r="E208" s="41" t="s">
        <v>102</v>
      </c>
      <c r="F208" s="41" t="s">
        <v>78</v>
      </c>
      <c r="G208" s="41" t="n">
        <v>66.65</v>
      </c>
      <c r="H208" s="41" t="n">
        <v>9</v>
      </c>
      <c r="I208" s="41" t="n">
        <v>29.9925</v>
      </c>
      <c r="J208" s="41" t="n">
        <v>629.8425</v>
      </c>
      <c r="K208" s="41" t="s">
        <v>1396</v>
      </c>
      <c r="L208" s="41" t="s">
        <v>1345</v>
      </c>
      <c r="M208" s="41" t="s">
        <v>99</v>
      </c>
      <c r="N208" s="41" t="n">
        <v>599.85</v>
      </c>
      <c r="O208" s="41" t="n">
        <v>4.761904762</v>
      </c>
      <c r="P208" s="41" t="n">
        <v>29.9925</v>
      </c>
      <c r="Q208" s="41" t="n">
        <v>9.7</v>
      </c>
    </row>
    <row r="209" customFormat="false" ht="15" hidden="false" customHeight="false" outlineLevel="0" collapsed="false">
      <c r="A209" s="41" t="s">
        <v>387</v>
      </c>
      <c r="B209" s="41" t="s">
        <v>180</v>
      </c>
      <c r="C209" s="41" t="s">
        <v>87</v>
      </c>
      <c r="D209" s="41" t="s">
        <v>104</v>
      </c>
      <c r="E209" s="41" t="s">
        <v>102</v>
      </c>
      <c r="F209" s="41" t="s">
        <v>80</v>
      </c>
      <c r="G209" s="41" t="n">
        <v>28.53</v>
      </c>
      <c r="H209" s="41" t="n">
        <v>10</v>
      </c>
      <c r="I209" s="41" t="n">
        <v>14.265</v>
      </c>
      <c r="J209" s="41" t="n">
        <v>299.565</v>
      </c>
      <c r="K209" s="41" t="s">
        <v>1442</v>
      </c>
      <c r="L209" s="41" t="s">
        <v>1443</v>
      </c>
      <c r="M209" s="41" t="s">
        <v>98</v>
      </c>
      <c r="N209" s="41" t="n">
        <v>285.3</v>
      </c>
      <c r="O209" s="41" t="n">
        <v>4.761904762</v>
      </c>
      <c r="P209" s="41" t="n">
        <v>14.265</v>
      </c>
      <c r="Q209" s="41" t="n">
        <v>7.8</v>
      </c>
    </row>
    <row r="210" customFormat="false" ht="15" hidden="false" customHeight="false" outlineLevel="0" collapsed="false">
      <c r="A210" s="41" t="s">
        <v>388</v>
      </c>
      <c r="B210" s="41" t="s">
        <v>189</v>
      </c>
      <c r="C210" s="41" t="s">
        <v>86</v>
      </c>
      <c r="D210" s="41" t="s">
        <v>105</v>
      </c>
      <c r="E210" s="41" t="s">
        <v>102</v>
      </c>
      <c r="F210" s="41" t="s">
        <v>79</v>
      </c>
      <c r="G210" s="41" t="n">
        <v>30.37</v>
      </c>
      <c r="H210" s="41" t="n">
        <v>3</v>
      </c>
      <c r="I210" s="41" t="n">
        <v>4.5555</v>
      </c>
      <c r="J210" s="41" t="n">
        <v>95.6655</v>
      </c>
      <c r="K210" s="41" t="s">
        <v>1343</v>
      </c>
      <c r="L210" s="41" t="s">
        <v>1428</v>
      </c>
      <c r="M210" s="41" t="s">
        <v>98</v>
      </c>
      <c r="N210" s="41" t="n">
        <v>91.11</v>
      </c>
      <c r="O210" s="41" t="n">
        <v>4.761904762</v>
      </c>
      <c r="P210" s="41" t="n">
        <v>4.5555</v>
      </c>
      <c r="Q210" s="41" t="n">
        <v>5.1</v>
      </c>
    </row>
    <row r="211" customFormat="false" ht="15" hidden="false" customHeight="false" outlineLevel="0" collapsed="false">
      <c r="A211" s="41" t="s">
        <v>389</v>
      </c>
      <c r="B211" s="41" t="s">
        <v>189</v>
      </c>
      <c r="C211" s="41" t="s">
        <v>86</v>
      </c>
      <c r="D211" s="41" t="s">
        <v>105</v>
      </c>
      <c r="E211" s="41" t="s">
        <v>102</v>
      </c>
      <c r="F211" s="41" t="s">
        <v>78</v>
      </c>
      <c r="G211" s="41" t="n">
        <v>99.73</v>
      </c>
      <c r="H211" s="41" t="n">
        <v>9</v>
      </c>
      <c r="I211" s="41" t="n">
        <v>44.8785</v>
      </c>
      <c r="J211" s="41" t="n">
        <v>942.4485</v>
      </c>
      <c r="K211" s="41" t="s">
        <v>1233</v>
      </c>
      <c r="L211" s="41" t="s">
        <v>1405</v>
      </c>
      <c r="M211" s="41" t="s">
        <v>99</v>
      </c>
      <c r="N211" s="41" t="n">
        <v>897.57</v>
      </c>
      <c r="O211" s="41" t="n">
        <v>4.761904762</v>
      </c>
      <c r="P211" s="41" t="n">
        <v>44.8785</v>
      </c>
      <c r="Q211" s="41" t="n">
        <v>6.5</v>
      </c>
    </row>
    <row r="212" customFormat="false" ht="15" hidden="false" customHeight="false" outlineLevel="0" collapsed="false">
      <c r="A212" s="41" t="s">
        <v>390</v>
      </c>
      <c r="B212" s="41" t="s">
        <v>178</v>
      </c>
      <c r="C212" s="41" t="s">
        <v>85</v>
      </c>
      <c r="D212" s="41" t="s">
        <v>105</v>
      </c>
      <c r="E212" s="41" t="s">
        <v>103</v>
      </c>
      <c r="F212" s="41" t="s">
        <v>78</v>
      </c>
      <c r="G212" s="41" t="n">
        <v>26.23</v>
      </c>
      <c r="H212" s="41" t="n">
        <v>9</v>
      </c>
      <c r="I212" s="41" t="n">
        <v>11.8035</v>
      </c>
      <c r="J212" s="41" t="n">
        <v>247.8735</v>
      </c>
      <c r="K212" s="41" t="s">
        <v>1240</v>
      </c>
      <c r="L212" s="41" t="s">
        <v>1444</v>
      </c>
      <c r="M212" s="41" t="s">
        <v>98</v>
      </c>
      <c r="N212" s="41" t="n">
        <v>236.07</v>
      </c>
      <c r="O212" s="41" t="n">
        <v>4.761904762</v>
      </c>
      <c r="P212" s="41" t="n">
        <v>11.8035</v>
      </c>
      <c r="Q212" s="41" t="n">
        <v>5.9</v>
      </c>
    </row>
    <row r="213" customFormat="false" ht="15" hidden="false" customHeight="false" outlineLevel="0" collapsed="false">
      <c r="A213" s="41" t="s">
        <v>391</v>
      </c>
      <c r="B213" s="41" t="s">
        <v>180</v>
      </c>
      <c r="C213" s="41" t="s">
        <v>87</v>
      </c>
      <c r="D213" s="41" t="s">
        <v>105</v>
      </c>
      <c r="E213" s="41" t="s">
        <v>102</v>
      </c>
      <c r="F213" s="41" t="s">
        <v>76</v>
      </c>
      <c r="G213" s="41" t="n">
        <v>93.26</v>
      </c>
      <c r="H213" s="41" t="n">
        <v>9</v>
      </c>
      <c r="I213" s="41" t="n">
        <v>41.967</v>
      </c>
      <c r="J213" s="41" t="n">
        <v>881.307</v>
      </c>
      <c r="K213" s="41" t="s">
        <v>1360</v>
      </c>
      <c r="L213" s="41" t="s">
        <v>1445</v>
      </c>
      <c r="M213" s="41" t="s">
        <v>97</v>
      </c>
      <c r="N213" s="41" t="n">
        <v>839.34</v>
      </c>
      <c r="O213" s="41" t="n">
        <v>4.761904762</v>
      </c>
      <c r="P213" s="41" t="n">
        <v>41.967</v>
      </c>
      <c r="Q213" s="41" t="n">
        <v>8.8</v>
      </c>
    </row>
    <row r="214" customFormat="false" ht="15" hidden="false" customHeight="false" outlineLevel="0" collapsed="false">
      <c r="A214" s="41" t="s">
        <v>392</v>
      </c>
      <c r="B214" s="41" t="s">
        <v>189</v>
      </c>
      <c r="C214" s="41" t="s">
        <v>86</v>
      </c>
      <c r="D214" s="41" t="s">
        <v>105</v>
      </c>
      <c r="E214" s="41" t="s">
        <v>103</v>
      </c>
      <c r="F214" s="41" t="s">
        <v>80</v>
      </c>
      <c r="G214" s="41" t="n">
        <v>92.36</v>
      </c>
      <c r="H214" s="41" t="n">
        <v>5</v>
      </c>
      <c r="I214" s="41" t="n">
        <v>23.09</v>
      </c>
      <c r="J214" s="41" t="n">
        <v>484.89</v>
      </c>
      <c r="K214" s="41" t="s">
        <v>1446</v>
      </c>
      <c r="L214" s="41" t="s">
        <v>1413</v>
      </c>
      <c r="M214" s="41" t="s">
        <v>98</v>
      </c>
      <c r="N214" s="41" t="n">
        <v>461.8</v>
      </c>
      <c r="O214" s="41" t="n">
        <v>4.761904762</v>
      </c>
      <c r="P214" s="41" t="n">
        <v>23.09</v>
      </c>
      <c r="Q214" s="41" t="n">
        <v>4.9</v>
      </c>
    </row>
    <row r="215" customFormat="false" ht="15" hidden="false" customHeight="false" outlineLevel="0" collapsed="false">
      <c r="A215" s="41" t="s">
        <v>393</v>
      </c>
      <c r="B215" s="41" t="s">
        <v>189</v>
      </c>
      <c r="C215" s="41" t="s">
        <v>86</v>
      </c>
      <c r="D215" s="41" t="s">
        <v>105</v>
      </c>
      <c r="E215" s="41" t="s">
        <v>103</v>
      </c>
      <c r="F215" s="41" t="s">
        <v>77</v>
      </c>
      <c r="G215" s="41" t="n">
        <v>46.42</v>
      </c>
      <c r="H215" s="41" t="n">
        <v>3</v>
      </c>
      <c r="I215" s="41" t="n">
        <v>6.963</v>
      </c>
      <c r="J215" s="41" t="n">
        <v>146.223</v>
      </c>
      <c r="K215" s="41" t="s">
        <v>1396</v>
      </c>
      <c r="L215" s="41" t="s">
        <v>1254</v>
      </c>
      <c r="M215" s="41" t="s">
        <v>99</v>
      </c>
      <c r="N215" s="41" t="n">
        <v>139.26</v>
      </c>
      <c r="O215" s="41" t="n">
        <v>4.761904762</v>
      </c>
      <c r="P215" s="41" t="n">
        <v>6.963</v>
      </c>
      <c r="Q215" s="41" t="n">
        <v>4.4</v>
      </c>
    </row>
    <row r="216" customFormat="false" ht="15" hidden="false" customHeight="false" outlineLevel="0" collapsed="false">
      <c r="A216" s="41" t="s">
        <v>394</v>
      </c>
      <c r="B216" s="41" t="s">
        <v>189</v>
      </c>
      <c r="C216" s="41" t="s">
        <v>86</v>
      </c>
      <c r="D216" s="41" t="s">
        <v>104</v>
      </c>
      <c r="E216" s="41" t="s">
        <v>102</v>
      </c>
      <c r="F216" s="41" t="s">
        <v>77</v>
      </c>
      <c r="G216" s="41" t="n">
        <v>29.61</v>
      </c>
      <c r="H216" s="41" t="n">
        <v>7</v>
      </c>
      <c r="I216" s="41" t="n">
        <v>10.3635</v>
      </c>
      <c r="J216" s="41" t="n">
        <v>217.6335</v>
      </c>
      <c r="K216" s="41" t="s">
        <v>1220</v>
      </c>
      <c r="L216" s="41" t="s">
        <v>1447</v>
      </c>
      <c r="M216" s="41" t="s">
        <v>97</v>
      </c>
      <c r="N216" s="41" t="n">
        <v>207.27</v>
      </c>
      <c r="O216" s="41" t="n">
        <v>4.761904762</v>
      </c>
      <c r="P216" s="41" t="n">
        <v>10.3635</v>
      </c>
      <c r="Q216" s="41" t="n">
        <v>6.5</v>
      </c>
    </row>
    <row r="217" customFormat="false" ht="15" hidden="false" customHeight="false" outlineLevel="0" collapsed="false">
      <c r="A217" s="41" t="s">
        <v>395</v>
      </c>
      <c r="B217" s="41" t="s">
        <v>178</v>
      </c>
      <c r="C217" s="41" t="s">
        <v>85</v>
      </c>
      <c r="D217" s="41" t="s">
        <v>105</v>
      </c>
      <c r="E217" s="41" t="s">
        <v>103</v>
      </c>
      <c r="F217" s="41" t="s">
        <v>80</v>
      </c>
      <c r="G217" s="41" t="n">
        <v>18.28</v>
      </c>
      <c r="H217" s="41" t="n">
        <v>1</v>
      </c>
      <c r="I217" s="41" t="n">
        <v>0.914</v>
      </c>
      <c r="J217" s="41" t="n">
        <v>19.194</v>
      </c>
      <c r="K217" s="41" t="s">
        <v>1235</v>
      </c>
      <c r="L217" s="41" t="s">
        <v>1448</v>
      </c>
      <c r="M217" s="41" t="s">
        <v>99</v>
      </c>
      <c r="N217" s="41" t="n">
        <v>18.28</v>
      </c>
      <c r="O217" s="41" t="n">
        <v>4.761904762</v>
      </c>
      <c r="P217" s="41" t="n">
        <v>0.914</v>
      </c>
      <c r="Q217" s="41" t="n">
        <v>8.3</v>
      </c>
    </row>
    <row r="218" customFormat="false" ht="15" hidden="false" customHeight="false" outlineLevel="0" collapsed="false">
      <c r="A218" s="41" t="s">
        <v>396</v>
      </c>
      <c r="B218" s="41" t="s">
        <v>189</v>
      </c>
      <c r="C218" s="41" t="s">
        <v>86</v>
      </c>
      <c r="D218" s="41" t="s">
        <v>105</v>
      </c>
      <c r="E218" s="41" t="s">
        <v>102</v>
      </c>
      <c r="F218" s="41" t="s">
        <v>77</v>
      </c>
      <c r="G218" s="41" t="n">
        <v>24.77</v>
      </c>
      <c r="H218" s="41" t="n">
        <v>5</v>
      </c>
      <c r="I218" s="41" t="n">
        <v>6.1925</v>
      </c>
      <c r="J218" s="41" t="n">
        <v>130.0425</v>
      </c>
      <c r="K218" s="41" t="s">
        <v>1349</v>
      </c>
      <c r="L218" s="41" t="s">
        <v>1449</v>
      </c>
      <c r="M218" s="41" t="s">
        <v>97</v>
      </c>
      <c r="N218" s="41" t="n">
        <v>123.85</v>
      </c>
      <c r="O218" s="41" t="n">
        <v>4.761904762</v>
      </c>
      <c r="P218" s="41" t="n">
        <v>6.1925</v>
      </c>
      <c r="Q218" s="41" t="n">
        <v>8.5</v>
      </c>
    </row>
    <row r="219" customFormat="false" ht="15" hidden="false" customHeight="false" outlineLevel="0" collapsed="false">
      <c r="A219" s="41" t="s">
        <v>397</v>
      </c>
      <c r="B219" s="41" t="s">
        <v>178</v>
      </c>
      <c r="C219" s="41" t="s">
        <v>85</v>
      </c>
      <c r="D219" s="41" t="s">
        <v>104</v>
      </c>
      <c r="E219" s="41" t="s">
        <v>102</v>
      </c>
      <c r="F219" s="41" t="s">
        <v>78</v>
      </c>
      <c r="G219" s="41" t="n">
        <v>94.64</v>
      </c>
      <c r="H219" s="41" t="n">
        <v>3</v>
      </c>
      <c r="I219" s="41" t="n">
        <v>14.196</v>
      </c>
      <c r="J219" s="41" t="n">
        <v>298.116</v>
      </c>
      <c r="K219" s="41" t="s">
        <v>1450</v>
      </c>
      <c r="L219" s="41" t="s">
        <v>1451</v>
      </c>
      <c r="M219" s="41" t="s">
        <v>97</v>
      </c>
      <c r="N219" s="41" t="n">
        <v>283.92</v>
      </c>
      <c r="O219" s="41" t="n">
        <v>4.761904762</v>
      </c>
      <c r="P219" s="41" t="n">
        <v>14.196</v>
      </c>
      <c r="Q219" s="41" t="n">
        <v>5.5</v>
      </c>
    </row>
    <row r="220" customFormat="false" ht="15" hidden="false" customHeight="false" outlineLevel="0" collapsed="false">
      <c r="A220" s="41" t="s">
        <v>398</v>
      </c>
      <c r="B220" s="41" t="s">
        <v>189</v>
      </c>
      <c r="C220" s="41" t="s">
        <v>86</v>
      </c>
      <c r="D220" s="41" t="s">
        <v>105</v>
      </c>
      <c r="E220" s="41" t="s">
        <v>103</v>
      </c>
      <c r="F220" s="41" t="s">
        <v>79</v>
      </c>
      <c r="G220" s="41" t="n">
        <v>94.87</v>
      </c>
      <c r="H220" s="41" t="n">
        <v>8</v>
      </c>
      <c r="I220" s="41" t="n">
        <v>37.948</v>
      </c>
      <c r="J220" s="41" t="n">
        <v>796.908</v>
      </c>
      <c r="K220" s="41" t="s">
        <v>1212</v>
      </c>
      <c r="L220" s="41" t="s">
        <v>1452</v>
      </c>
      <c r="M220" s="41" t="s">
        <v>98</v>
      </c>
      <c r="N220" s="41" t="n">
        <v>758.96</v>
      </c>
      <c r="O220" s="41" t="n">
        <v>4.761904762</v>
      </c>
      <c r="P220" s="41" t="n">
        <v>37.948</v>
      </c>
      <c r="Q220" s="41" t="n">
        <v>8.7</v>
      </c>
    </row>
    <row r="221" customFormat="false" ht="15" hidden="false" customHeight="false" outlineLevel="0" collapsed="false">
      <c r="A221" s="41" t="s">
        <v>399</v>
      </c>
      <c r="B221" s="41" t="s">
        <v>189</v>
      </c>
      <c r="C221" s="41" t="s">
        <v>86</v>
      </c>
      <c r="D221" s="41" t="s">
        <v>105</v>
      </c>
      <c r="E221" s="41" t="s">
        <v>102</v>
      </c>
      <c r="F221" s="41" t="s">
        <v>76</v>
      </c>
      <c r="G221" s="41" t="n">
        <v>57.34</v>
      </c>
      <c r="H221" s="41" t="n">
        <v>3</v>
      </c>
      <c r="I221" s="41" t="n">
        <v>8.601</v>
      </c>
      <c r="J221" s="41" t="n">
        <v>180.621</v>
      </c>
      <c r="K221" s="41" t="s">
        <v>1238</v>
      </c>
      <c r="L221" s="41" t="s">
        <v>1453</v>
      </c>
      <c r="M221" s="41" t="s">
        <v>99</v>
      </c>
      <c r="N221" s="41" t="n">
        <v>172.02</v>
      </c>
      <c r="O221" s="41" t="n">
        <v>4.761904762</v>
      </c>
      <c r="P221" s="41" t="n">
        <v>8.601</v>
      </c>
      <c r="Q221" s="41" t="n">
        <v>7.9</v>
      </c>
    </row>
    <row r="222" customFormat="false" ht="15" hidden="false" customHeight="false" outlineLevel="0" collapsed="false">
      <c r="A222" s="41" t="s">
        <v>400</v>
      </c>
      <c r="B222" s="41" t="s">
        <v>189</v>
      </c>
      <c r="C222" s="41" t="s">
        <v>86</v>
      </c>
      <c r="D222" s="41" t="s">
        <v>105</v>
      </c>
      <c r="E222" s="41" t="s">
        <v>103</v>
      </c>
      <c r="F222" s="41" t="s">
        <v>78</v>
      </c>
      <c r="G222" s="41" t="n">
        <v>45.35</v>
      </c>
      <c r="H222" s="41" t="n">
        <v>6</v>
      </c>
      <c r="I222" s="41" t="n">
        <v>13.605</v>
      </c>
      <c r="J222" s="41" t="n">
        <v>285.705</v>
      </c>
      <c r="K222" s="41" t="s">
        <v>1454</v>
      </c>
      <c r="L222" s="41" t="s">
        <v>1455</v>
      </c>
      <c r="M222" s="41" t="s">
        <v>98</v>
      </c>
      <c r="N222" s="41" t="n">
        <v>272.1</v>
      </c>
      <c r="O222" s="41" t="n">
        <v>4.761904762</v>
      </c>
      <c r="P222" s="41" t="n">
        <v>13.605</v>
      </c>
      <c r="Q222" s="41" t="n">
        <v>6.1</v>
      </c>
    </row>
    <row r="223" customFormat="false" ht="15" hidden="false" customHeight="false" outlineLevel="0" collapsed="false">
      <c r="A223" s="41" t="s">
        <v>401</v>
      </c>
      <c r="B223" s="41" t="s">
        <v>189</v>
      </c>
      <c r="C223" s="41" t="s">
        <v>86</v>
      </c>
      <c r="D223" s="41" t="s">
        <v>105</v>
      </c>
      <c r="E223" s="41" t="s">
        <v>103</v>
      </c>
      <c r="F223" s="41" t="s">
        <v>76</v>
      </c>
      <c r="G223" s="41" t="n">
        <v>62.08</v>
      </c>
      <c r="H223" s="41" t="n">
        <v>7</v>
      </c>
      <c r="I223" s="41" t="n">
        <v>21.728</v>
      </c>
      <c r="J223" s="41" t="n">
        <v>456.288</v>
      </c>
      <c r="K223" s="41" t="s">
        <v>1292</v>
      </c>
      <c r="L223" s="41" t="s">
        <v>1456</v>
      </c>
      <c r="M223" s="41" t="s">
        <v>98</v>
      </c>
      <c r="N223" s="41" t="n">
        <v>434.56</v>
      </c>
      <c r="O223" s="41" t="n">
        <v>4.761904762</v>
      </c>
      <c r="P223" s="41" t="n">
        <v>21.728</v>
      </c>
      <c r="Q223" s="41" t="n">
        <v>5.4</v>
      </c>
    </row>
    <row r="224" customFormat="false" ht="15" hidden="false" customHeight="false" outlineLevel="0" collapsed="false">
      <c r="A224" s="41" t="s">
        <v>402</v>
      </c>
      <c r="B224" s="41" t="s">
        <v>180</v>
      </c>
      <c r="C224" s="41" t="s">
        <v>87</v>
      </c>
      <c r="D224" s="41" t="s">
        <v>105</v>
      </c>
      <c r="E224" s="41" t="s">
        <v>103</v>
      </c>
      <c r="F224" s="41" t="s">
        <v>78</v>
      </c>
      <c r="G224" s="41" t="n">
        <v>11.81</v>
      </c>
      <c r="H224" s="41" t="n">
        <v>5</v>
      </c>
      <c r="I224" s="41" t="n">
        <v>2.9525</v>
      </c>
      <c r="J224" s="41" t="n">
        <v>62.0025</v>
      </c>
      <c r="K224" s="41" t="s">
        <v>1231</v>
      </c>
      <c r="L224" s="41" t="s">
        <v>1457</v>
      </c>
      <c r="M224" s="41" t="s">
        <v>97</v>
      </c>
      <c r="N224" s="41" t="n">
        <v>59.05</v>
      </c>
      <c r="O224" s="41" t="n">
        <v>4.761904762</v>
      </c>
      <c r="P224" s="41" t="n">
        <v>2.9525</v>
      </c>
      <c r="Q224" s="41" t="n">
        <v>9.4</v>
      </c>
    </row>
    <row r="225" customFormat="false" ht="15" hidden="false" customHeight="false" outlineLevel="0" collapsed="false">
      <c r="A225" s="41" t="s">
        <v>403</v>
      </c>
      <c r="B225" s="41" t="s">
        <v>180</v>
      </c>
      <c r="C225" s="41" t="s">
        <v>87</v>
      </c>
      <c r="D225" s="41" t="s">
        <v>104</v>
      </c>
      <c r="E225" s="41" t="s">
        <v>102</v>
      </c>
      <c r="F225" s="41" t="s">
        <v>79</v>
      </c>
      <c r="G225" s="41" t="n">
        <v>12.54</v>
      </c>
      <c r="H225" s="41" t="n">
        <v>1</v>
      </c>
      <c r="I225" s="41" t="n">
        <v>0.627</v>
      </c>
      <c r="J225" s="41" t="n">
        <v>13.167</v>
      </c>
      <c r="K225" s="41" t="s">
        <v>1450</v>
      </c>
      <c r="L225" s="41" t="s">
        <v>1458</v>
      </c>
      <c r="M225" s="41" t="s">
        <v>97</v>
      </c>
      <c r="N225" s="41" t="n">
        <v>12.54</v>
      </c>
      <c r="O225" s="41" t="n">
        <v>4.761904762</v>
      </c>
      <c r="P225" s="41" t="n">
        <v>0.627</v>
      </c>
      <c r="Q225" s="41" t="n">
        <v>8.2</v>
      </c>
    </row>
    <row r="226" customFormat="false" ht="15" hidden="false" customHeight="false" outlineLevel="0" collapsed="false">
      <c r="A226" s="41" t="s">
        <v>404</v>
      </c>
      <c r="B226" s="41" t="s">
        <v>178</v>
      </c>
      <c r="C226" s="41" t="s">
        <v>85</v>
      </c>
      <c r="D226" s="41" t="s">
        <v>105</v>
      </c>
      <c r="E226" s="41" t="s">
        <v>103</v>
      </c>
      <c r="F226" s="41" t="s">
        <v>76</v>
      </c>
      <c r="G226" s="41" t="n">
        <v>43.25</v>
      </c>
      <c r="H226" s="41" t="n">
        <v>2</v>
      </c>
      <c r="I226" s="41" t="n">
        <v>4.325</v>
      </c>
      <c r="J226" s="41" t="n">
        <v>90.825</v>
      </c>
      <c r="K226" s="41" t="s">
        <v>1446</v>
      </c>
      <c r="L226" s="41" t="s">
        <v>1459</v>
      </c>
      <c r="M226" s="41" t="s">
        <v>97</v>
      </c>
      <c r="N226" s="41" t="n">
        <v>86.5</v>
      </c>
      <c r="O226" s="41" t="n">
        <v>4.761904762</v>
      </c>
      <c r="P226" s="41" t="n">
        <v>4.325</v>
      </c>
      <c r="Q226" s="41" t="n">
        <v>6.2</v>
      </c>
    </row>
    <row r="227" customFormat="false" ht="15" hidden="false" customHeight="false" outlineLevel="0" collapsed="false">
      <c r="A227" s="41" t="s">
        <v>405</v>
      </c>
      <c r="B227" s="41" t="s">
        <v>180</v>
      </c>
      <c r="C227" s="41" t="s">
        <v>87</v>
      </c>
      <c r="D227" s="41" t="s">
        <v>104</v>
      </c>
      <c r="E227" s="41" t="s">
        <v>102</v>
      </c>
      <c r="F227" s="41" t="s">
        <v>77</v>
      </c>
      <c r="G227" s="41" t="n">
        <v>87.16</v>
      </c>
      <c r="H227" s="41" t="n">
        <v>2</v>
      </c>
      <c r="I227" s="41" t="n">
        <v>8.716</v>
      </c>
      <c r="J227" s="41" t="n">
        <v>183.036</v>
      </c>
      <c r="K227" s="41" t="s">
        <v>1460</v>
      </c>
      <c r="L227" s="41" t="s">
        <v>1461</v>
      </c>
      <c r="M227" s="41" t="s">
        <v>99</v>
      </c>
      <c r="N227" s="41" t="n">
        <v>174.32</v>
      </c>
      <c r="O227" s="41" t="n">
        <v>4.761904762</v>
      </c>
      <c r="P227" s="41" t="n">
        <v>8.716</v>
      </c>
      <c r="Q227" s="41" t="n">
        <v>9.7</v>
      </c>
    </row>
    <row r="228" customFormat="false" ht="15" hidden="false" customHeight="false" outlineLevel="0" collapsed="false">
      <c r="A228" s="41" t="s">
        <v>406</v>
      </c>
      <c r="B228" s="41" t="s">
        <v>189</v>
      </c>
      <c r="C228" s="41" t="s">
        <v>86</v>
      </c>
      <c r="D228" s="41" t="s">
        <v>104</v>
      </c>
      <c r="E228" s="41" t="s">
        <v>103</v>
      </c>
      <c r="F228" s="41" t="s">
        <v>81</v>
      </c>
      <c r="G228" s="41" t="n">
        <v>69.37</v>
      </c>
      <c r="H228" s="41" t="n">
        <v>9</v>
      </c>
      <c r="I228" s="41" t="n">
        <v>31.2165</v>
      </c>
      <c r="J228" s="41" t="n">
        <v>655.5465</v>
      </c>
      <c r="K228" s="41" t="s">
        <v>1317</v>
      </c>
      <c r="L228" s="41" t="s">
        <v>1462</v>
      </c>
      <c r="M228" s="41" t="s">
        <v>98</v>
      </c>
      <c r="N228" s="41" t="n">
        <v>624.33</v>
      </c>
      <c r="O228" s="41" t="n">
        <v>4.761904762</v>
      </c>
      <c r="P228" s="41" t="n">
        <v>31.2165</v>
      </c>
      <c r="Q228" s="41" t="n">
        <v>4</v>
      </c>
    </row>
    <row r="229" customFormat="false" ht="15" hidden="false" customHeight="false" outlineLevel="0" collapsed="false">
      <c r="A229" s="41" t="s">
        <v>407</v>
      </c>
      <c r="B229" s="41" t="s">
        <v>180</v>
      </c>
      <c r="C229" s="41" t="s">
        <v>87</v>
      </c>
      <c r="D229" s="41" t="s">
        <v>104</v>
      </c>
      <c r="E229" s="41" t="s">
        <v>103</v>
      </c>
      <c r="F229" s="41" t="s">
        <v>78</v>
      </c>
      <c r="G229" s="41" t="n">
        <v>37.06</v>
      </c>
      <c r="H229" s="41" t="n">
        <v>4</v>
      </c>
      <c r="I229" s="41" t="n">
        <v>7.412</v>
      </c>
      <c r="J229" s="41" t="n">
        <v>155.652</v>
      </c>
      <c r="K229" s="41" t="s">
        <v>1454</v>
      </c>
      <c r="L229" s="41" t="s">
        <v>1315</v>
      </c>
      <c r="M229" s="41" t="s">
        <v>98</v>
      </c>
      <c r="N229" s="41" t="n">
        <v>148.24</v>
      </c>
      <c r="O229" s="41" t="n">
        <v>4.761904762</v>
      </c>
      <c r="P229" s="41" t="n">
        <v>7.412</v>
      </c>
      <c r="Q229" s="41" t="n">
        <v>9.7</v>
      </c>
    </row>
    <row r="230" customFormat="false" ht="15" hidden="false" customHeight="false" outlineLevel="0" collapsed="false">
      <c r="A230" s="41" t="s">
        <v>408</v>
      </c>
      <c r="B230" s="41" t="s">
        <v>189</v>
      </c>
      <c r="C230" s="41" t="s">
        <v>86</v>
      </c>
      <c r="D230" s="41" t="s">
        <v>104</v>
      </c>
      <c r="E230" s="41" t="s">
        <v>102</v>
      </c>
      <c r="F230" s="41" t="s">
        <v>78</v>
      </c>
      <c r="G230" s="41" t="n">
        <v>90.7</v>
      </c>
      <c r="H230" s="41" t="n">
        <v>6</v>
      </c>
      <c r="I230" s="41" t="n">
        <v>27.21</v>
      </c>
      <c r="J230" s="41" t="n">
        <v>571.41</v>
      </c>
      <c r="K230" s="41" t="s">
        <v>1463</v>
      </c>
      <c r="L230" s="41" t="s">
        <v>1464</v>
      </c>
      <c r="M230" s="41" t="s">
        <v>97</v>
      </c>
      <c r="N230" s="41" t="n">
        <v>544.2</v>
      </c>
      <c r="O230" s="41" t="n">
        <v>4.761904762</v>
      </c>
      <c r="P230" s="41" t="n">
        <v>27.21</v>
      </c>
      <c r="Q230" s="41" t="n">
        <v>5.3</v>
      </c>
    </row>
    <row r="231" customFormat="false" ht="15" hidden="false" customHeight="false" outlineLevel="0" collapsed="false">
      <c r="A231" s="41" t="s">
        <v>409</v>
      </c>
      <c r="B231" s="41" t="s">
        <v>178</v>
      </c>
      <c r="C231" s="41" t="s">
        <v>85</v>
      </c>
      <c r="D231" s="41" t="s">
        <v>105</v>
      </c>
      <c r="E231" s="41" t="s">
        <v>102</v>
      </c>
      <c r="F231" s="41" t="s">
        <v>80</v>
      </c>
      <c r="G231" s="41" t="n">
        <v>63.42</v>
      </c>
      <c r="H231" s="41" t="n">
        <v>8</v>
      </c>
      <c r="I231" s="41" t="n">
        <v>25.368</v>
      </c>
      <c r="J231" s="41" t="n">
        <v>532.728</v>
      </c>
      <c r="K231" s="41" t="s">
        <v>1220</v>
      </c>
      <c r="L231" s="41" t="s">
        <v>1465</v>
      </c>
      <c r="M231" s="41" t="s">
        <v>98</v>
      </c>
      <c r="N231" s="41" t="n">
        <v>507.36</v>
      </c>
      <c r="O231" s="41" t="n">
        <v>4.761904762</v>
      </c>
      <c r="P231" s="41" t="n">
        <v>25.368</v>
      </c>
      <c r="Q231" s="41" t="n">
        <v>7.4</v>
      </c>
    </row>
    <row r="232" customFormat="false" ht="15" hidden="false" customHeight="false" outlineLevel="0" collapsed="false">
      <c r="A232" s="41" t="s">
        <v>410</v>
      </c>
      <c r="B232" s="41" t="s">
        <v>189</v>
      </c>
      <c r="C232" s="41" t="s">
        <v>86</v>
      </c>
      <c r="D232" s="41" t="s">
        <v>105</v>
      </c>
      <c r="E232" s="41" t="s">
        <v>102</v>
      </c>
      <c r="F232" s="41" t="s">
        <v>79</v>
      </c>
      <c r="G232" s="41" t="n">
        <v>81.37</v>
      </c>
      <c r="H232" s="41" t="n">
        <v>2</v>
      </c>
      <c r="I232" s="41" t="n">
        <v>8.137</v>
      </c>
      <c r="J232" s="41" t="n">
        <v>170.877</v>
      </c>
      <c r="K232" s="41" t="s">
        <v>1317</v>
      </c>
      <c r="L232" s="41" t="s">
        <v>1466</v>
      </c>
      <c r="M232" s="41" t="s">
        <v>97</v>
      </c>
      <c r="N232" s="41" t="n">
        <v>162.74</v>
      </c>
      <c r="O232" s="41" t="n">
        <v>4.761904762</v>
      </c>
      <c r="P232" s="41" t="n">
        <v>8.137</v>
      </c>
      <c r="Q232" s="41" t="n">
        <v>6.5</v>
      </c>
    </row>
    <row r="233" customFormat="false" ht="15" hidden="false" customHeight="false" outlineLevel="0" collapsed="false">
      <c r="A233" s="41" t="s">
        <v>411</v>
      </c>
      <c r="B233" s="41" t="s">
        <v>189</v>
      </c>
      <c r="C233" s="41" t="s">
        <v>86</v>
      </c>
      <c r="D233" s="41" t="s">
        <v>104</v>
      </c>
      <c r="E233" s="41" t="s">
        <v>102</v>
      </c>
      <c r="F233" s="41" t="s">
        <v>78</v>
      </c>
      <c r="G233" s="41" t="n">
        <v>10.59</v>
      </c>
      <c r="H233" s="41" t="n">
        <v>3</v>
      </c>
      <c r="I233" s="41" t="n">
        <v>1.5885</v>
      </c>
      <c r="J233" s="41" t="n">
        <v>33.3585</v>
      </c>
      <c r="K233" s="41" t="s">
        <v>1286</v>
      </c>
      <c r="L233" s="41" t="s">
        <v>1467</v>
      </c>
      <c r="M233" s="41" t="s">
        <v>99</v>
      </c>
      <c r="N233" s="41" t="n">
        <v>31.77</v>
      </c>
      <c r="O233" s="41" t="n">
        <v>4.761904762</v>
      </c>
      <c r="P233" s="41" t="n">
        <v>1.5885</v>
      </c>
      <c r="Q233" s="41" t="n">
        <v>8.7</v>
      </c>
    </row>
    <row r="234" customFormat="false" ht="15" hidden="false" customHeight="false" outlineLevel="0" collapsed="false">
      <c r="A234" s="41" t="s">
        <v>412</v>
      </c>
      <c r="B234" s="41" t="s">
        <v>189</v>
      </c>
      <c r="C234" s="41" t="s">
        <v>86</v>
      </c>
      <c r="D234" s="41" t="s">
        <v>105</v>
      </c>
      <c r="E234" s="41" t="s">
        <v>102</v>
      </c>
      <c r="F234" s="41" t="s">
        <v>81</v>
      </c>
      <c r="G234" s="41" t="n">
        <v>84.09</v>
      </c>
      <c r="H234" s="41" t="n">
        <v>9</v>
      </c>
      <c r="I234" s="41" t="n">
        <v>37.8405</v>
      </c>
      <c r="J234" s="41" t="n">
        <v>794.6505</v>
      </c>
      <c r="K234" s="41" t="s">
        <v>1305</v>
      </c>
      <c r="L234" s="41" t="s">
        <v>1468</v>
      </c>
      <c r="M234" s="41" t="s">
        <v>97</v>
      </c>
      <c r="N234" s="41" t="n">
        <v>756.81</v>
      </c>
      <c r="O234" s="41" t="n">
        <v>4.761904762</v>
      </c>
      <c r="P234" s="41" t="n">
        <v>37.8405</v>
      </c>
      <c r="Q234" s="41" t="n">
        <v>8</v>
      </c>
    </row>
    <row r="235" customFormat="false" ht="15" hidden="false" customHeight="false" outlineLevel="0" collapsed="false">
      <c r="A235" s="41" t="s">
        <v>413</v>
      </c>
      <c r="B235" s="41" t="s">
        <v>189</v>
      </c>
      <c r="C235" s="41" t="s">
        <v>86</v>
      </c>
      <c r="D235" s="41" t="s">
        <v>104</v>
      </c>
      <c r="E235" s="41" t="s">
        <v>103</v>
      </c>
      <c r="F235" s="41" t="s">
        <v>79</v>
      </c>
      <c r="G235" s="41" t="n">
        <v>73.82</v>
      </c>
      <c r="H235" s="41" t="n">
        <v>4</v>
      </c>
      <c r="I235" s="41" t="n">
        <v>14.764</v>
      </c>
      <c r="J235" s="41" t="n">
        <v>310.044</v>
      </c>
      <c r="K235" s="41" t="s">
        <v>1450</v>
      </c>
      <c r="L235" s="41" t="s">
        <v>1469</v>
      </c>
      <c r="M235" s="41" t="s">
        <v>97</v>
      </c>
      <c r="N235" s="41" t="n">
        <v>295.28</v>
      </c>
      <c r="O235" s="41" t="n">
        <v>4.761904762</v>
      </c>
      <c r="P235" s="41" t="n">
        <v>14.764</v>
      </c>
      <c r="Q235" s="41" t="n">
        <v>6.7</v>
      </c>
    </row>
    <row r="236" customFormat="false" ht="15" hidden="false" customHeight="false" outlineLevel="0" collapsed="false">
      <c r="A236" s="41" t="s">
        <v>414</v>
      </c>
      <c r="B236" s="41" t="s">
        <v>178</v>
      </c>
      <c r="C236" s="41" t="s">
        <v>85</v>
      </c>
      <c r="D236" s="41" t="s">
        <v>104</v>
      </c>
      <c r="E236" s="41" t="s">
        <v>103</v>
      </c>
      <c r="F236" s="41" t="s">
        <v>81</v>
      </c>
      <c r="G236" s="41" t="n">
        <v>51.94</v>
      </c>
      <c r="H236" s="41" t="n">
        <v>10</v>
      </c>
      <c r="I236" s="41" t="n">
        <v>25.97</v>
      </c>
      <c r="J236" s="41" t="n">
        <v>545.37</v>
      </c>
      <c r="K236" s="41" t="s">
        <v>1210</v>
      </c>
      <c r="L236" s="41" t="s">
        <v>1470</v>
      </c>
      <c r="M236" s="41" t="s">
        <v>98</v>
      </c>
      <c r="N236" s="41" t="n">
        <v>519.4</v>
      </c>
      <c r="O236" s="41" t="n">
        <v>4.761904762</v>
      </c>
      <c r="P236" s="41" t="n">
        <v>25.97</v>
      </c>
      <c r="Q236" s="41" t="n">
        <v>6.5</v>
      </c>
    </row>
    <row r="237" customFormat="false" ht="15" hidden="false" customHeight="false" outlineLevel="0" collapsed="false">
      <c r="A237" s="41" t="s">
        <v>415</v>
      </c>
      <c r="B237" s="41" t="s">
        <v>178</v>
      </c>
      <c r="C237" s="41" t="s">
        <v>85</v>
      </c>
      <c r="D237" s="41" t="s">
        <v>105</v>
      </c>
      <c r="E237" s="41" t="s">
        <v>102</v>
      </c>
      <c r="F237" s="41" t="s">
        <v>77</v>
      </c>
      <c r="G237" s="41" t="n">
        <v>93.14</v>
      </c>
      <c r="H237" s="41" t="n">
        <v>2</v>
      </c>
      <c r="I237" s="41" t="n">
        <v>9.314</v>
      </c>
      <c r="J237" s="41" t="n">
        <v>195.594</v>
      </c>
      <c r="K237" s="41" t="s">
        <v>1284</v>
      </c>
      <c r="L237" s="41" t="s">
        <v>1471</v>
      </c>
      <c r="M237" s="41" t="s">
        <v>98</v>
      </c>
      <c r="N237" s="41" t="n">
        <v>186.28</v>
      </c>
      <c r="O237" s="41" t="n">
        <v>4.761904762</v>
      </c>
      <c r="P237" s="41" t="n">
        <v>9.314</v>
      </c>
      <c r="Q237" s="41" t="n">
        <v>4.1</v>
      </c>
    </row>
    <row r="238" customFormat="false" ht="15" hidden="false" customHeight="false" outlineLevel="0" collapsed="false">
      <c r="A238" s="41" t="s">
        <v>416</v>
      </c>
      <c r="B238" s="41" t="s">
        <v>180</v>
      </c>
      <c r="C238" s="41" t="s">
        <v>87</v>
      </c>
      <c r="D238" s="41" t="s">
        <v>105</v>
      </c>
      <c r="E238" s="41" t="s">
        <v>103</v>
      </c>
      <c r="F238" s="41" t="s">
        <v>81</v>
      </c>
      <c r="G238" s="41" t="n">
        <v>17.41</v>
      </c>
      <c r="H238" s="41" t="n">
        <v>5</v>
      </c>
      <c r="I238" s="41" t="n">
        <v>4.3525</v>
      </c>
      <c r="J238" s="41" t="n">
        <v>91.4025</v>
      </c>
      <c r="K238" s="41" t="s">
        <v>1244</v>
      </c>
      <c r="L238" s="41" t="s">
        <v>1472</v>
      </c>
      <c r="M238" s="41" t="s">
        <v>99</v>
      </c>
      <c r="N238" s="41" t="n">
        <v>87.05</v>
      </c>
      <c r="O238" s="41" t="n">
        <v>4.761904762</v>
      </c>
      <c r="P238" s="41" t="n">
        <v>4.3525</v>
      </c>
      <c r="Q238" s="41" t="n">
        <v>4.9</v>
      </c>
    </row>
    <row r="239" customFormat="false" ht="15" hidden="false" customHeight="false" outlineLevel="0" collapsed="false">
      <c r="A239" s="41" t="s">
        <v>417</v>
      </c>
      <c r="B239" s="41" t="s">
        <v>180</v>
      </c>
      <c r="C239" s="41" t="s">
        <v>87</v>
      </c>
      <c r="D239" s="41" t="s">
        <v>104</v>
      </c>
      <c r="E239" s="41" t="s">
        <v>102</v>
      </c>
      <c r="F239" s="41" t="s">
        <v>79</v>
      </c>
      <c r="G239" s="41" t="n">
        <v>44.22</v>
      </c>
      <c r="H239" s="41" t="n">
        <v>5</v>
      </c>
      <c r="I239" s="41" t="n">
        <v>11.055</v>
      </c>
      <c r="J239" s="41" t="n">
        <v>232.155</v>
      </c>
      <c r="K239" s="41" t="s">
        <v>1227</v>
      </c>
      <c r="L239" s="41" t="s">
        <v>1473</v>
      </c>
      <c r="M239" s="41" t="s">
        <v>99</v>
      </c>
      <c r="N239" s="41" t="n">
        <v>221.1</v>
      </c>
      <c r="O239" s="41" t="n">
        <v>4.761904762</v>
      </c>
      <c r="P239" s="41" t="n">
        <v>11.055</v>
      </c>
      <c r="Q239" s="41" t="n">
        <v>8.6</v>
      </c>
    </row>
    <row r="240" customFormat="false" ht="15" hidden="false" customHeight="false" outlineLevel="0" collapsed="false">
      <c r="A240" s="41" t="s">
        <v>418</v>
      </c>
      <c r="B240" s="41" t="s">
        <v>189</v>
      </c>
      <c r="C240" s="41" t="s">
        <v>86</v>
      </c>
      <c r="D240" s="41" t="s">
        <v>104</v>
      </c>
      <c r="E240" s="41" t="s">
        <v>102</v>
      </c>
      <c r="F240" s="41" t="s">
        <v>78</v>
      </c>
      <c r="G240" s="41" t="n">
        <v>13.22</v>
      </c>
      <c r="H240" s="41" t="n">
        <v>5</v>
      </c>
      <c r="I240" s="41" t="n">
        <v>3.305</v>
      </c>
      <c r="J240" s="41" t="n">
        <v>69.405</v>
      </c>
      <c r="K240" s="41" t="s">
        <v>1233</v>
      </c>
      <c r="L240" s="41" t="s">
        <v>1474</v>
      </c>
      <c r="M240" s="41" t="s">
        <v>97</v>
      </c>
      <c r="N240" s="41" t="n">
        <v>66.1</v>
      </c>
      <c r="O240" s="41" t="n">
        <v>4.761904762</v>
      </c>
      <c r="P240" s="41" t="n">
        <v>3.305</v>
      </c>
      <c r="Q240" s="41" t="n">
        <v>4.3</v>
      </c>
    </row>
    <row r="241" customFormat="false" ht="15" hidden="false" customHeight="false" outlineLevel="0" collapsed="false">
      <c r="A241" s="41" t="s">
        <v>419</v>
      </c>
      <c r="B241" s="41" t="s">
        <v>178</v>
      </c>
      <c r="C241" s="41" t="s">
        <v>85</v>
      </c>
      <c r="D241" s="41" t="s">
        <v>105</v>
      </c>
      <c r="E241" s="41" t="s">
        <v>103</v>
      </c>
      <c r="F241" s="41" t="s">
        <v>79</v>
      </c>
      <c r="G241" s="41" t="n">
        <v>89.69</v>
      </c>
      <c r="H241" s="41" t="n">
        <v>1</v>
      </c>
      <c r="I241" s="41" t="n">
        <v>4.4845</v>
      </c>
      <c r="J241" s="41" t="n">
        <v>94.1745</v>
      </c>
      <c r="K241" s="41" t="s">
        <v>1460</v>
      </c>
      <c r="L241" s="41" t="s">
        <v>1475</v>
      </c>
      <c r="M241" s="41" t="s">
        <v>98</v>
      </c>
      <c r="N241" s="41" t="n">
        <v>89.69</v>
      </c>
      <c r="O241" s="41" t="n">
        <v>4.761904762</v>
      </c>
      <c r="P241" s="41" t="n">
        <v>4.4845</v>
      </c>
      <c r="Q241" s="41" t="n">
        <v>4.9</v>
      </c>
    </row>
    <row r="242" customFormat="false" ht="15" hidden="false" customHeight="false" outlineLevel="0" collapsed="false">
      <c r="A242" s="41" t="s">
        <v>420</v>
      </c>
      <c r="B242" s="41" t="s">
        <v>178</v>
      </c>
      <c r="C242" s="41" t="s">
        <v>85</v>
      </c>
      <c r="D242" s="41" t="s">
        <v>105</v>
      </c>
      <c r="E242" s="41" t="s">
        <v>103</v>
      </c>
      <c r="F242" s="41" t="s">
        <v>76</v>
      </c>
      <c r="G242" s="41" t="n">
        <v>24.94</v>
      </c>
      <c r="H242" s="41" t="n">
        <v>9</v>
      </c>
      <c r="I242" s="41" t="n">
        <v>11.223</v>
      </c>
      <c r="J242" s="41" t="n">
        <v>235.683</v>
      </c>
      <c r="K242" s="41" t="s">
        <v>1460</v>
      </c>
      <c r="L242" s="41" t="s">
        <v>1476</v>
      </c>
      <c r="M242" s="41" t="s">
        <v>99</v>
      </c>
      <c r="N242" s="41" t="n">
        <v>224.46</v>
      </c>
      <c r="O242" s="41" t="n">
        <v>4.761904762</v>
      </c>
      <c r="P242" s="41" t="n">
        <v>11.223</v>
      </c>
      <c r="Q242" s="41" t="n">
        <v>5.6</v>
      </c>
    </row>
    <row r="243" customFormat="false" ht="15" hidden="false" customHeight="false" outlineLevel="0" collapsed="false">
      <c r="A243" s="41" t="s">
        <v>421</v>
      </c>
      <c r="B243" s="41" t="s">
        <v>178</v>
      </c>
      <c r="C243" s="41" t="s">
        <v>85</v>
      </c>
      <c r="D243" s="41" t="s">
        <v>105</v>
      </c>
      <c r="E243" s="41" t="s">
        <v>103</v>
      </c>
      <c r="F243" s="41" t="s">
        <v>81</v>
      </c>
      <c r="G243" s="41" t="n">
        <v>59.77</v>
      </c>
      <c r="H243" s="41" t="n">
        <v>2</v>
      </c>
      <c r="I243" s="41" t="n">
        <v>5.977</v>
      </c>
      <c r="J243" s="41" t="n">
        <v>125.517</v>
      </c>
      <c r="K243" s="41" t="s">
        <v>1220</v>
      </c>
      <c r="L243" s="41" t="s">
        <v>1477</v>
      </c>
      <c r="M243" s="41" t="s">
        <v>99</v>
      </c>
      <c r="N243" s="41" t="n">
        <v>119.54</v>
      </c>
      <c r="O243" s="41" t="n">
        <v>4.761904762</v>
      </c>
      <c r="P243" s="41" t="n">
        <v>5.977</v>
      </c>
      <c r="Q243" s="41" t="n">
        <v>5.8</v>
      </c>
    </row>
    <row r="244" customFormat="false" ht="15" hidden="false" customHeight="false" outlineLevel="0" collapsed="false">
      <c r="A244" s="41" t="s">
        <v>422</v>
      </c>
      <c r="B244" s="41" t="s">
        <v>180</v>
      </c>
      <c r="C244" s="41" t="s">
        <v>87</v>
      </c>
      <c r="D244" s="41" t="s">
        <v>104</v>
      </c>
      <c r="E244" s="41" t="s">
        <v>103</v>
      </c>
      <c r="F244" s="41" t="s">
        <v>79</v>
      </c>
      <c r="G244" s="41" t="n">
        <v>93.2</v>
      </c>
      <c r="H244" s="41" t="n">
        <v>2</v>
      </c>
      <c r="I244" s="41" t="n">
        <v>9.32</v>
      </c>
      <c r="J244" s="41" t="n">
        <v>195.72</v>
      </c>
      <c r="K244" s="41" t="s">
        <v>1279</v>
      </c>
      <c r="L244" s="41" t="s">
        <v>1320</v>
      </c>
      <c r="M244" s="41" t="s">
        <v>99</v>
      </c>
      <c r="N244" s="41" t="n">
        <v>186.4</v>
      </c>
      <c r="O244" s="41" t="n">
        <v>4.761904762</v>
      </c>
      <c r="P244" s="41" t="n">
        <v>9.32</v>
      </c>
      <c r="Q244" s="41" t="n">
        <v>6</v>
      </c>
    </row>
    <row r="245" customFormat="false" ht="15" hidden="false" customHeight="false" outlineLevel="0" collapsed="false">
      <c r="A245" s="41" t="s">
        <v>423</v>
      </c>
      <c r="B245" s="41" t="s">
        <v>178</v>
      </c>
      <c r="C245" s="41" t="s">
        <v>85</v>
      </c>
      <c r="D245" s="41" t="s">
        <v>104</v>
      </c>
      <c r="E245" s="41" t="s">
        <v>103</v>
      </c>
      <c r="F245" s="41" t="s">
        <v>80</v>
      </c>
      <c r="G245" s="41" t="n">
        <v>62.65</v>
      </c>
      <c r="H245" s="41" t="n">
        <v>4</v>
      </c>
      <c r="I245" s="41" t="n">
        <v>12.53</v>
      </c>
      <c r="J245" s="41" t="n">
        <v>263.13</v>
      </c>
      <c r="K245" s="41" t="s">
        <v>1188</v>
      </c>
      <c r="L245" s="41" t="s">
        <v>1478</v>
      </c>
      <c r="M245" s="41" t="s">
        <v>97</v>
      </c>
      <c r="N245" s="41" t="n">
        <v>250.6</v>
      </c>
      <c r="O245" s="41" t="n">
        <v>4.761904762</v>
      </c>
      <c r="P245" s="41" t="n">
        <v>12.53</v>
      </c>
      <c r="Q245" s="41" t="n">
        <v>4.2</v>
      </c>
    </row>
    <row r="246" customFormat="false" ht="15" hidden="false" customHeight="false" outlineLevel="0" collapsed="false">
      <c r="A246" s="41" t="s">
        <v>424</v>
      </c>
      <c r="B246" s="41" t="s">
        <v>189</v>
      </c>
      <c r="C246" s="41" t="s">
        <v>86</v>
      </c>
      <c r="D246" s="41" t="s">
        <v>105</v>
      </c>
      <c r="E246" s="41" t="s">
        <v>103</v>
      </c>
      <c r="F246" s="41" t="s">
        <v>80</v>
      </c>
      <c r="G246" s="41" t="n">
        <v>93.87</v>
      </c>
      <c r="H246" s="41" t="n">
        <v>8</v>
      </c>
      <c r="I246" s="41" t="n">
        <v>37.548</v>
      </c>
      <c r="J246" s="41" t="n">
        <v>788.508</v>
      </c>
      <c r="K246" s="41" t="s">
        <v>1258</v>
      </c>
      <c r="L246" s="41" t="s">
        <v>1479</v>
      </c>
      <c r="M246" s="41" t="s">
        <v>99</v>
      </c>
      <c r="N246" s="41" t="n">
        <v>750.96</v>
      </c>
      <c r="O246" s="41" t="n">
        <v>4.761904762</v>
      </c>
      <c r="P246" s="41" t="n">
        <v>37.548</v>
      </c>
      <c r="Q246" s="41" t="n">
        <v>8.3</v>
      </c>
    </row>
    <row r="247" customFormat="false" ht="15" hidden="false" customHeight="false" outlineLevel="0" collapsed="false">
      <c r="A247" s="41" t="s">
        <v>425</v>
      </c>
      <c r="B247" s="41" t="s">
        <v>178</v>
      </c>
      <c r="C247" s="41" t="s">
        <v>85</v>
      </c>
      <c r="D247" s="41" t="s">
        <v>104</v>
      </c>
      <c r="E247" s="41" t="s">
        <v>103</v>
      </c>
      <c r="F247" s="41" t="s">
        <v>80</v>
      </c>
      <c r="G247" s="41" t="n">
        <v>47.59</v>
      </c>
      <c r="H247" s="41" t="n">
        <v>8</v>
      </c>
      <c r="I247" s="41" t="n">
        <v>19.036</v>
      </c>
      <c r="J247" s="41" t="n">
        <v>399.756</v>
      </c>
      <c r="K247" s="41" t="s">
        <v>1222</v>
      </c>
      <c r="L247" s="41" t="s">
        <v>1480</v>
      </c>
      <c r="M247" s="41" t="s">
        <v>97</v>
      </c>
      <c r="N247" s="41" t="n">
        <v>380.72</v>
      </c>
      <c r="O247" s="41" t="n">
        <v>4.761904762</v>
      </c>
      <c r="P247" s="41" t="n">
        <v>19.036</v>
      </c>
      <c r="Q247" s="41" t="n">
        <v>5.7</v>
      </c>
    </row>
    <row r="248" customFormat="false" ht="15" hidden="false" customHeight="false" outlineLevel="0" collapsed="false">
      <c r="A248" s="41" t="s">
        <v>426</v>
      </c>
      <c r="B248" s="41" t="s">
        <v>189</v>
      </c>
      <c r="C248" s="41" t="s">
        <v>86</v>
      </c>
      <c r="D248" s="41" t="s">
        <v>104</v>
      </c>
      <c r="E248" s="41" t="s">
        <v>102</v>
      </c>
      <c r="F248" s="41" t="s">
        <v>78</v>
      </c>
      <c r="G248" s="41" t="n">
        <v>81.4</v>
      </c>
      <c r="H248" s="41" t="n">
        <v>3</v>
      </c>
      <c r="I248" s="41" t="n">
        <v>12.21</v>
      </c>
      <c r="J248" s="41" t="n">
        <v>256.41</v>
      </c>
      <c r="K248" s="41" t="s">
        <v>1334</v>
      </c>
      <c r="L248" s="41" t="s">
        <v>1481</v>
      </c>
      <c r="M248" s="41" t="s">
        <v>97</v>
      </c>
      <c r="N248" s="41" t="n">
        <v>244.2</v>
      </c>
      <c r="O248" s="41" t="n">
        <v>4.761904762</v>
      </c>
      <c r="P248" s="41" t="n">
        <v>12.21</v>
      </c>
      <c r="Q248" s="41" t="n">
        <v>4.8</v>
      </c>
    </row>
    <row r="249" customFormat="false" ht="15" hidden="false" customHeight="false" outlineLevel="0" collapsed="false">
      <c r="A249" s="41" t="s">
        <v>427</v>
      </c>
      <c r="B249" s="41" t="s">
        <v>178</v>
      </c>
      <c r="C249" s="41" t="s">
        <v>85</v>
      </c>
      <c r="D249" s="41" t="s">
        <v>104</v>
      </c>
      <c r="E249" s="41" t="s">
        <v>103</v>
      </c>
      <c r="F249" s="41" t="s">
        <v>79</v>
      </c>
      <c r="G249" s="41" t="n">
        <v>17.94</v>
      </c>
      <c r="H249" s="41" t="n">
        <v>5</v>
      </c>
      <c r="I249" s="41" t="n">
        <v>4.485</v>
      </c>
      <c r="J249" s="41" t="n">
        <v>94.185</v>
      </c>
      <c r="K249" s="41" t="s">
        <v>1319</v>
      </c>
      <c r="L249" s="41" t="s">
        <v>1482</v>
      </c>
      <c r="M249" s="41" t="s">
        <v>98</v>
      </c>
      <c r="N249" s="41" t="n">
        <v>89.7</v>
      </c>
      <c r="O249" s="41" t="n">
        <v>4.761904762</v>
      </c>
      <c r="P249" s="41" t="n">
        <v>4.485</v>
      </c>
      <c r="Q249" s="41" t="n">
        <v>6.8</v>
      </c>
    </row>
    <row r="250" customFormat="false" ht="15" hidden="false" customHeight="false" outlineLevel="0" collapsed="false">
      <c r="A250" s="41" t="s">
        <v>428</v>
      </c>
      <c r="B250" s="41" t="s">
        <v>178</v>
      </c>
      <c r="C250" s="41" t="s">
        <v>85</v>
      </c>
      <c r="D250" s="41" t="s">
        <v>104</v>
      </c>
      <c r="E250" s="41" t="s">
        <v>103</v>
      </c>
      <c r="F250" s="41" t="s">
        <v>78</v>
      </c>
      <c r="G250" s="41" t="n">
        <v>77.72</v>
      </c>
      <c r="H250" s="41" t="n">
        <v>4</v>
      </c>
      <c r="I250" s="41" t="n">
        <v>15.544</v>
      </c>
      <c r="J250" s="41" t="n">
        <v>326.424</v>
      </c>
      <c r="K250" s="41" t="s">
        <v>1249</v>
      </c>
      <c r="L250" s="41" t="s">
        <v>1483</v>
      </c>
      <c r="M250" s="41" t="s">
        <v>99</v>
      </c>
      <c r="N250" s="41" t="n">
        <v>310.88</v>
      </c>
      <c r="O250" s="41" t="n">
        <v>4.761904762</v>
      </c>
      <c r="P250" s="41" t="n">
        <v>15.544</v>
      </c>
      <c r="Q250" s="41" t="n">
        <v>8.8</v>
      </c>
    </row>
    <row r="251" customFormat="false" ht="15" hidden="false" customHeight="false" outlineLevel="0" collapsed="false">
      <c r="A251" s="41" t="s">
        <v>429</v>
      </c>
      <c r="B251" s="41" t="s">
        <v>189</v>
      </c>
      <c r="C251" s="41" t="s">
        <v>86</v>
      </c>
      <c r="D251" s="41" t="s">
        <v>105</v>
      </c>
      <c r="E251" s="41" t="s">
        <v>103</v>
      </c>
      <c r="F251" s="41" t="s">
        <v>76</v>
      </c>
      <c r="G251" s="41" t="n">
        <v>73.06</v>
      </c>
      <c r="H251" s="41" t="n">
        <v>7</v>
      </c>
      <c r="I251" s="41" t="n">
        <v>25.571</v>
      </c>
      <c r="J251" s="41" t="n">
        <v>536.991</v>
      </c>
      <c r="K251" s="41" t="s">
        <v>1438</v>
      </c>
      <c r="L251" s="41" t="s">
        <v>1484</v>
      </c>
      <c r="M251" s="41" t="s">
        <v>99</v>
      </c>
      <c r="N251" s="41" t="n">
        <v>511.42</v>
      </c>
      <c r="O251" s="41" t="n">
        <v>4.761904762</v>
      </c>
      <c r="P251" s="41" t="n">
        <v>25.571</v>
      </c>
      <c r="Q251" s="41" t="n">
        <v>4.2</v>
      </c>
    </row>
    <row r="252" customFormat="false" ht="15" hidden="false" customHeight="false" outlineLevel="0" collapsed="false">
      <c r="A252" s="41" t="s">
        <v>430</v>
      </c>
      <c r="B252" s="41" t="s">
        <v>189</v>
      </c>
      <c r="C252" s="41" t="s">
        <v>86</v>
      </c>
      <c r="D252" s="41" t="s">
        <v>104</v>
      </c>
      <c r="E252" s="41" t="s">
        <v>103</v>
      </c>
      <c r="F252" s="41" t="s">
        <v>76</v>
      </c>
      <c r="G252" s="41" t="n">
        <v>46.55</v>
      </c>
      <c r="H252" s="41" t="n">
        <v>9</v>
      </c>
      <c r="I252" s="41" t="n">
        <v>20.9475</v>
      </c>
      <c r="J252" s="41" t="n">
        <v>439.8975</v>
      </c>
      <c r="K252" s="41" t="s">
        <v>1258</v>
      </c>
      <c r="L252" s="41" t="s">
        <v>1485</v>
      </c>
      <c r="M252" s="41" t="s">
        <v>98</v>
      </c>
      <c r="N252" s="41" t="n">
        <v>418.95</v>
      </c>
      <c r="O252" s="41" t="n">
        <v>4.761904762</v>
      </c>
      <c r="P252" s="41" t="n">
        <v>20.9475</v>
      </c>
      <c r="Q252" s="41" t="n">
        <v>6.4</v>
      </c>
    </row>
    <row r="253" customFormat="false" ht="15" hidden="false" customHeight="false" outlineLevel="0" collapsed="false">
      <c r="A253" s="41" t="s">
        <v>431</v>
      </c>
      <c r="B253" s="41" t="s">
        <v>180</v>
      </c>
      <c r="C253" s="41" t="s">
        <v>87</v>
      </c>
      <c r="D253" s="41" t="s">
        <v>104</v>
      </c>
      <c r="E253" s="41" t="s">
        <v>103</v>
      </c>
      <c r="F253" s="41" t="s">
        <v>79</v>
      </c>
      <c r="G253" s="41" t="n">
        <v>35.19</v>
      </c>
      <c r="H253" s="41" t="n">
        <v>10</v>
      </c>
      <c r="I253" s="41" t="n">
        <v>17.595</v>
      </c>
      <c r="J253" s="41" t="n">
        <v>369.495</v>
      </c>
      <c r="K253" s="41" t="s">
        <v>1486</v>
      </c>
      <c r="L253" s="41" t="s">
        <v>1484</v>
      </c>
      <c r="M253" s="41" t="s">
        <v>99</v>
      </c>
      <c r="N253" s="41" t="n">
        <v>351.9</v>
      </c>
      <c r="O253" s="41" t="n">
        <v>4.761904762</v>
      </c>
      <c r="P253" s="41" t="n">
        <v>17.595</v>
      </c>
      <c r="Q253" s="41" t="n">
        <v>8.4</v>
      </c>
    </row>
    <row r="254" customFormat="false" ht="15" hidden="false" customHeight="false" outlineLevel="0" collapsed="false">
      <c r="A254" s="41" t="s">
        <v>432</v>
      </c>
      <c r="B254" s="41" t="s">
        <v>180</v>
      </c>
      <c r="C254" s="41" t="s">
        <v>87</v>
      </c>
      <c r="D254" s="41" t="s">
        <v>105</v>
      </c>
      <c r="E254" s="41" t="s">
        <v>102</v>
      </c>
      <c r="F254" s="41" t="s">
        <v>77</v>
      </c>
      <c r="G254" s="41" t="n">
        <v>14.39</v>
      </c>
      <c r="H254" s="41" t="n">
        <v>2</v>
      </c>
      <c r="I254" s="41" t="n">
        <v>1.439</v>
      </c>
      <c r="J254" s="41" t="n">
        <v>30.219</v>
      </c>
      <c r="K254" s="41" t="s">
        <v>1233</v>
      </c>
      <c r="L254" s="41" t="s">
        <v>1403</v>
      </c>
      <c r="M254" s="41" t="s">
        <v>99</v>
      </c>
      <c r="N254" s="41" t="n">
        <v>28.78</v>
      </c>
      <c r="O254" s="41" t="n">
        <v>4.761904762</v>
      </c>
      <c r="P254" s="41" t="n">
        <v>1.439</v>
      </c>
      <c r="Q254" s="41" t="n">
        <v>7.2</v>
      </c>
    </row>
    <row r="255" customFormat="false" ht="15" hidden="false" customHeight="false" outlineLevel="0" collapsed="false">
      <c r="A255" s="41" t="s">
        <v>433</v>
      </c>
      <c r="B255" s="41" t="s">
        <v>178</v>
      </c>
      <c r="C255" s="41" t="s">
        <v>85</v>
      </c>
      <c r="D255" s="41" t="s">
        <v>105</v>
      </c>
      <c r="E255" s="41" t="s">
        <v>103</v>
      </c>
      <c r="F255" s="41" t="s">
        <v>80</v>
      </c>
      <c r="G255" s="41" t="n">
        <v>23.75</v>
      </c>
      <c r="H255" s="41" t="n">
        <v>4</v>
      </c>
      <c r="I255" s="41" t="n">
        <v>4.75</v>
      </c>
      <c r="J255" s="41" t="n">
        <v>99.75</v>
      </c>
      <c r="K255" s="41" t="s">
        <v>1263</v>
      </c>
      <c r="L255" s="41" t="s">
        <v>1487</v>
      </c>
      <c r="M255" s="41" t="s">
        <v>97</v>
      </c>
      <c r="N255" s="41" t="n">
        <v>95</v>
      </c>
      <c r="O255" s="41" t="n">
        <v>4.761904762</v>
      </c>
      <c r="P255" s="41" t="n">
        <v>4.75</v>
      </c>
      <c r="Q255" s="41" t="n">
        <v>5.2</v>
      </c>
    </row>
    <row r="256" customFormat="false" ht="15" hidden="false" customHeight="false" outlineLevel="0" collapsed="false">
      <c r="A256" s="41" t="s">
        <v>434</v>
      </c>
      <c r="B256" s="41" t="s">
        <v>178</v>
      </c>
      <c r="C256" s="41" t="s">
        <v>85</v>
      </c>
      <c r="D256" s="41" t="s">
        <v>104</v>
      </c>
      <c r="E256" s="41" t="s">
        <v>103</v>
      </c>
      <c r="F256" s="41" t="s">
        <v>80</v>
      </c>
      <c r="G256" s="41" t="n">
        <v>58.9</v>
      </c>
      <c r="H256" s="41" t="n">
        <v>8</v>
      </c>
      <c r="I256" s="41" t="n">
        <v>23.56</v>
      </c>
      <c r="J256" s="41" t="n">
        <v>494.76</v>
      </c>
      <c r="K256" s="41" t="s">
        <v>1303</v>
      </c>
      <c r="L256" s="41" t="s">
        <v>1488</v>
      </c>
      <c r="M256" s="41" t="s">
        <v>97</v>
      </c>
      <c r="N256" s="41" t="n">
        <v>471.2</v>
      </c>
      <c r="O256" s="41" t="n">
        <v>4.761904762</v>
      </c>
      <c r="P256" s="41" t="n">
        <v>23.56</v>
      </c>
      <c r="Q256" s="41" t="n">
        <v>8.9</v>
      </c>
    </row>
    <row r="257" customFormat="false" ht="15" hidden="false" customHeight="false" outlineLevel="0" collapsed="false">
      <c r="A257" s="41" t="s">
        <v>435</v>
      </c>
      <c r="B257" s="41" t="s">
        <v>189</v>
      </c>
      <c r="C257" s="41" t="s">
        <v>86</v>
      </c>
      <c r="D257" s="41" t="s">
        <v>104</v>
      </c>
      <c r="E257" s="41" t="s">
        <v>103</v>
      </c>
      <c r="F257" s="41" t="s">
        <v>79</v>
      </c>
      <c r="G257" s="41" t="n">
        <v>32.62</v>
      </c>
      <c r="H257" s="41" t="n">
        <v>4</v>
      </c>
      <c r="I257" s="41" t="n">
        <v>6.524</v>
      </c>
      <c r="J257" s="41" t="n">
        <v>137.004</v>
      </c>
      <c r="K257" s="41" t="s">
        <v>1392</v>
      </c>
      <c r="L257" s="41" t="s">
        <v>1407</v>
      </c>
      <c r="M257" s="41" t="s">
        <v>97</v>
      </c>
      <c r="N257" s="41" t="n">
        <v>130.48</v>
      </c>
      <c r="O257" s="41" t="n">
        <v>4.761904762</v>
      </c>
      <c r="P257" s="41" t="n">
        <v>6.524</v>
      </c>
      <c r="Q257" s="41" t="n">
        <v>9</v>
      </c>
    </row>
    <row r="258" customFormat="false" ht="15" hidden="false" customHeight="false" outlineLevel="0" collapsed="false">
      <c r="A258" s="41" t="s">
        <v>436</v>
      </c>
      <c r="B258" s="41" t="s">
        <v>178</v>
      </c>
      <c r="C258" s="41" t="s">
        <v>85</v>
      </c>
      <c r="D258" s="41" t="s">
        <v>104</v>
      </c>
      <c r="E258" s="41" t="s">
        <v>103</v>
      </c>
      <c r="F258" s="41" t="s">
        <v>78</v>
      </c>
      <c r="G258" s="41" t="n">
        <v>66.35</v>
      </c>
      <c r="H258" s="41" t="n">
        <v>1</v>
      </c>
      <c r="I258" s="41" t="n">
        <v>3.3175</v>
      </c>
      <c r="J258" s="41" t="n">
        <v>69.6675</v>
      </c>
      <c r="K258" s="41" t="s">
        <v>1454</v>
      </c>
      <c r="L258" s="41" t="s">
        <v>1489</v>
      </c>
      <c r="M258" s="41" t="s">
        <v>99</v>
      </c>
      <c r="N258" s="41" t="n">
        <v>66.35</v>
      </c>
      <c r="O258" s="41" t="n">
        <v>4.761904762</v>
      </c>
      <c r="P258" s="41" t="n">
        <v>3.3175</v>
      </c>
      <c r="Q258" s="41" t="n">
        <v>9.7</v>
      </c>
    </row>
    <row r="259" customFormat="false" ht="15" hidden="false" customHeight="false" outlineLevel="0" collapsed="false">
      <c r="A259" s="41" t="s">
        <v>437</v>
      </c>
      <c r="B259" s="41" t="s">
        <v>178</v>
      </c>
      <c r="C259" s="41" t="s">
        <v>85</v>
      </c>
      <c r="D259" s="41" t="s">
        <v>104</v>
      </c>
      <c r="E259" s="41" t="s">
        <v>103</v>
      </c>
      <c r="F259" s="41" t="s">
        <v>80</v>
      </c>
      <c r="G259" s="41" t="n">
        <v>25.91</v>
      </c>
      <c r="H259" s="41" t="n">
        <v>6</v>
      </c>
      <c r="I259" s="41" t="n">
        <v>7.773</v>
      </c>
      <c r="J259" s="41" t="n">
        <v>163.233</v>
      </c>
      <c r="K259" s="41" t="s">
        <v>1352</v>
      </c>
      <c r="L259" s="41" t="s">
        <v>1336</v>
      </c>
      <c r="M259" s="41" t="s">
        <v>98</v>
      </c>
      <c r="N259" s="41" t="n">
        <v>155.46</v>
      </c>
      <c r="O259" s="41" t="n">
        <v>4.761904762</v>
      </c>
      <c r="P259" s="41" t="n">
        <v>7.773</v>
      </c>
      <c r="Q259" s="41" t="n">
        <v>8.7</v>
      </c>
    </row>
    <row r="260" customFormat="false" ht="15" hidden="false" customHeight="false" outlineLevel="0" collapsed="false">
      <c r="A260" s="41" t="s">
        <v>438</v>
      </c>
      <c r="B260" s="41" t="s">
        <v>178</v>
      </c>
      <c r="C260" s="41" t="s">
        <v>85</v>
      </c>
      <c r="D260" s="41" t="s">
        <v>104</v>
      </c>
      <c r="E260" s="41" t="s">
        <v>103</v>
      </c>
      <c r="F260" s="41" t="s">
        <v>78</v>
      </c>
      <c r="G260" s="41" t="n">
        <v>32.25</v>
      </c>
      <c r="H260" s="41" t="n">
        <v>4</v>
      </c>
      <c r="I260" s="41" t="n">
        <v>6.45</v>
      </c>
      <c r="J260" s="41" t="n">
        <v>135.45</v>
      </c>
      <c r="K260" s="41" t="s">
        <v>1418</v>
      </c>
      <c r="L260" s="41" t="s">
        <v>1458</v>
      </c>
      <c r="M260" s="41" t="s">
        <v>98</v>
      </c>
      <c r="N260" s="41" t="n">
        <v>129</v>
      </c>
      <c r="O260" s="41" t="n">
        <v>4.761904762</v>
      </c>
      <c r="P260" s="41" t="n">
        <v>6.45</v>
      </c>
      <c r="Q260" s="41" t="n">
        <v>6.5</v>
      </c>
    </row>
    <row r="261" customFormat="false" ht="15" hidden="false" customHeight="false" outlineLevel="0" collapsed="false">
      <c r="A261" s="41" t="s">
        <v>439</v>
      </c>
      <c r="B261" s="41" t="s">
        <v>180</v>
      </c>
      <c r="C261" s="41" t="s">
        <v>87</v>
      </c>
      <c r="D261" s="41" t="s">
        <v>104</v>
      </c>
      <c r="E261" s="41" t="s">
        <v>103</v>
      </c>
      <c r="F261" s="41" t="s">
        <v>78</v>
      </c>
      <c r="G261" s="41" t="n">
        <v>65.94</v>
      </c>
      <c r="H261" s="41" t="n">
        <v>4</v>
      </c>
      <c r="I261" s="41" t="n">
        <v>13.188</v>
      </c>
      <c r="J261" s="41" t="n">
        <v>276.948</v>
      </c>
      <c r="K261" s="41" t="s">
        <v>1214</v>
      </c>
      <c r="L261" s="41" t="s">
        <v>1395</v>
      </c>
      <c r="M261" s="41" t="s">
        <v>99</v>
      </c>
      <c r="N261" s="41" t="n">
        <v>263.76</v>
      </c>
      <c r="O261" s="41" t="n">
        <v>4.761904762</v>
      </c>
      <c r="P261" s="41" t="n">
        <v>13.188</v>
      </c>
      <c r="Q261" s="41" t="n">
        <v>6.9</v>
      </c>
    </row>
    <row r="262" customFormat="false" ht="15" hidden="false" customHeight="false" outlineLevel="0" collapsed="false">
      <c r="A262" s="41" t="s">
        <v>440</v>
      </c>
      <c r="B262" s="41" t="s">
        <v>178</v>
      </c>
      <c r="C262" s="41" t="s">
        <v>85</v>
      </c>
      <c r="D262" s="41" t="s">
        <v>105</v>
      </c>
      <c r="E262" s="41" t="s">
        <v>102</v>
      </c>
      <c r="F262" s="41" t="s">
        <v>78</v>
      </c>
      <c r="G262" s="41" t="n">
        <v>75.06</v>
      </c>
      <c r="H262" s="41" t="n">
        <v>9</v>
      </c>
      <c r="I262" s="41" t="n">
        <v>33.777</v>
      </c>
      <c r="J262" s="41" t="n">
        <v>709.317</v>
      </c>
      <c r="K262" s="41" t="s">
        <v>1270</v>
      </c>
      <c r="L262" s="41" t="s">
        <v>1490</v>
      </c>
      <c r="M262" s="41" t="s">
        <v>98</v>
      </c>
      <c r="N262" s="41" t="n">
        <v>675.54</v>
      </c>
      <c r="O262" s="41" t="n">
        <v>4.761904762</v>
      </c>
      <c r="P262" s="41" t="n">
        <v>33.777</v>
      </c>
      <c r="Q262" s="41" t="n">
        <v>6.2</v>
      </c>
    </row>
    <row r="263" customFormat="false" ht="15" hidden="false" customHeight="false" outlineLevel="0" collapsed="false">
      <c r="A263" s="41" t="s">
        <v>441</v>
      </c>
      <c r="B263" s="41" t="s">
        <v>180</v>
      </c>
      <c r="C263" s="41" t="s">
        <v>87</v>
      </c>
      <c r="D263" s="41" t="s">
        <v>105</v>
      </c>
      <c r="E263" s="41" t="s">
        <v>102</v>
      </c>
      <c r="F263" s="41" t="s">
        <v>79</v>
      </c>
      <c r="G263" s="41" t="n">
        <v>16.45</v>
      </c>
      <c r="H263" s="41" t="n">
        <v>4</v>
      </c>
      <c r="I263" s="41" t="n">
        <v>3.29</v>
      </c>
      <c r="J263" s="41" t="n">
        <v>69.09</v>
      </c>
      <c r="K263" s="41" t="s">
        <v>1277</v>
      </c>
      <c r="L263" s="41" t="s">
        <v>1491</v>
      </c>
      <c r="M263" s="41" t="s">
        <v>98</v>
      </c>
      <c r="N263" s="41" t="n">
        <v>65.8</v>
      </c>
      <c r="O263" s="41" t="n">
        <v>4.761904762</v>
      </c>
      <c r="P263" s="41" t="n">
        <v>3.29</v>
      </c>
      <c r="Q263" s="41" t="n">
        <v>5.6</v>
      </c>
    </row>
    <row r="264" customFormat="false" ht="15" hidden="false" customHeight="false" outlineLevel="0" collapsed="false">
      <c r="A264" s="41" t="s">
        <v>442</v>
      </c>
      <c r="B264" s="41" t="s">
        <v>189</v>
      </c>
      <c r="C264" s="41" t="s">
        <v>86</v>
      </c>
      <c r="D264" s="41" t="s">
        <v>104</v>
      </c>
      <c r="E264" s="41" t="s">
        <v>102</v>
      </c>
      <c r="F264" s="41" t="s">
        <v>79</v>
      </c>
      <c r="G264" s="41" t="n">
        <v>38.3</v>
      </c>
      <c r="H264" s="41" t="n">
        <v>4</v>
      </c>
      <c r="I264" s="41" t="n">
        <v>7.66</v>
      </c>
      <c r="J264" s="41" t="n">
        <v>160.86</v>
      </c>
      <c r="K264" s="41" t="s">
        <v>1296</v>
      </c>
      <c r="L264" s="41" t="s">
        <v>1492</v>
      </c>
      <c r="M264" s="41" t="s">
        <v>97</v>
      </c>
      <c r="N264" s="41" t="n">
        <v>153.2</v>
      </c>
      <c r="O264" s="41" t="n">
        <v>4.761904762</v>
      </c>
      <c r="P264" s="41" t="n">
        <v>7.66</v>
      </c>
      <c r="Q264" s="41" t="n">
        <v>5.7</v>
      </c>
    </row>
    <row r="265" customFormat="false" ht="15" hidden="false" customHeight="false" outlineLevel="0" collapsed="false">
      <c r="A265" s="41" t="s">
        <v>443</v>
      </c>
      <c r="B265" s="41" t="s">
        <v>178</v>
      </c>
      <c r="C265" s="41" t="s">
        <v>85</v>
      </c>
      <c r="D265" s="41" t="s">
        <v>104</v>
      </c>
      <c r="E265" s="41" t="s">
        <v>102</v>
      </c>
      <c r="F265" s="41" t="s">
        <v>77</v>
      </c>
      <c r="G265" s="41" t="n">
        <v>22.24</v>
      </c>
      <c r="H265" s="41" t="n">
        <v>10</v>
      </c>
      <c r="I265" s="41" t="n">
        <v>11.12</v>
      </c>
      <c r="J265" s="41" t="n">
        <v>233.52</v>
      </c>
      <c r="K265" s="41" t="s">
        <v>1334</v>
      </c>
      <c r="L265" s="41" t="s">
        <v>157</v>
      </c>
      <c r="M265" s="41" t="s">
        <v>97</v>
      </c>
      <c r="N265" s="41" t="n">
        <v>222.4</v>
      </c>
      <c r="O265" s="41" t="n">
        <v>4.761904762</v>
      </c>
      <c r="P265" s="41" t="n">
        <v>11.12</v>
      </c>
      <c r="Q265" s="41" t="n">
        <v>4.2</v>
      </c>
    </row>
    <row r="266" customFormat="false" ht="15" hidden="false" customHeight="false" outlineLevel="0" collapsed="false">
      <c r="A266" s="41" t="s">
        <v>444</v>
      </c>
      <c r="B266" s="41" t="s">
        <v>189</v>
      </c>
      <c r="C266" s="41" t="s">
        <v>86</v>
      </c>
      <c r="D266" s="41" t="s">
        <v>105</v>
      </c>
      <c r="E266" s="41" t="s">
        <v>103</v>
      </c>
      <c r="F266" s="41" t="s">
        <v>77</v>
      </c>
      <c r="G266" s="41" t="n">
        <v>54.45</v>
      </c>
      <c r="H266" s="41" t="n">
        <v>1</v>
      </c>
      <c r="I266" s="41" t="n">
        <v>2.7225</v>
      </c>
      <c r="J266" s="41" t="n">
        <v>57.1725</v>
      </c>
      <c r="K266" s="41" t="s">
        <v>1463</v>
      </c>
      <c r="L266" s="41" t="s">
        <v>1493</v>
      </c>
      <c r="M266" s="41" t="s">
        <v>98</v>
      </c>
      <c r="N266" s="41" t="n">
        <v>54.45</v>
      </c>
      <c r="O266" s="41" t="n">
        <v>4.761904762</v>
      </c>
      <c r="P266" s="41" t="n">
        <v>2.7225</v>
      </c>
      <c r="Q266" s="41" t="n">
        <v>7.9</v>
      </c>
    </row>
    <row r="267" customFormat="false" ht="15" hidden="false" customHeight="false" outlineLevel="0" collapsed="false">
      <c r="A267" s="41" t="s">
        <v>445</v>
      </c>
      <c r="B267" s="41" t="s">
        <v>178</v>
      </c>
      <c r="C267" s="41" t="s">
        <v>85</v>
      </c>
      <c r="D267" s="41" t="s">
        <v>104</v>
      </c>
      <c r="E267" s="41" t="s">
        <v>102</v>
      </c>
      <c r="F267" s="41" t="s">
        <v>77</v>
      </c>
      <c r="G267" s="41" t="n">
        <v>98.4</v>
      </c>
      <c r="H267" s="41" t="n">
        <v>7</v>
      </c>
      <c r="I267" s="41" t="n">
        <v>34.44</v>
      </c>
      <c r="J267" s="41" t="n">
        <v>723.24</v>
      </c>
      <c r="K267" s="41" t="s">
        <v>1286</v>
      </c>
      <c r="L267" s="41" t="s">
        <v>1245</v>
      </c>
      <c r="M267" s="41" t="s">
        <v>99</v>
      </c>
      <c r="N267" s="41" t="n">
        <v>688.8</v>
      </c>
      <c r="O267" s="41" t="n">
        <v>4.761904762</v>
      </c>
      <c r="P267" s="41" t="n">
        <v>34.44</v>
      </c>
      <c r="Q267" s="41" t="n">
        <v>8.7</v>
      </c>
    </row>
    <row r="268" customFormat="false" ht="15" hidden="false" customHeight="false" outlineLevel="0" collapsed="false">
      <c r="A268" s="41" t="s">
        <v>446</v>
      </c>
      <c r="B268" s="41" t="s">
        <v>180</v>
      </c>
      <c r="C268" s="41" t="s">
        <v>87</v>
      </c>
      <c r="D268" s="41" t="s">
        <v>105</v>
      </c>
      <c r="E268" s="41" t="s">
        <v>103</v>
      </c>
      <c r="F268" s="41" t="s">
        <v>80</v>
      </c>
      <c r="G268" s="41" t="n">
        <v>35.47</v>
      </c>
      <c r="H268" s="41" t="n">
        <v>4</v>
      </c>
      <c r="I268" s="41" t="n">
        <v>7.094</v>
      </c>
      <c r="J268" s="41" t="n">
        <v>148.974</v>
      </c>
      <c r="K268" s="41" t="s">
        <v>1494</v>
      </c>
      <c r="L268" s="41" t="s">
        <v>1495</v>
      </c>
      <c r="M268" s="41" t="s">
        <v>99</v>
      </c>
      <c r="N268" s="41" t="n">
        <v>141.88</v>
      </c>
      <c r="O268" s="41" t="n">
        <v>4.761904762</v>
      </c>
      <c r="P268" s="41" t="n">
        <v>7.094</v>
      </c>
      <c r="Q268" s="41" t="n">
        <v>6.9</v>
      </c>
    </row>
    <row r="269" customFormat="false" ht="15" hidden="false" customHeight="false" outlineLevel="0" collapsed="false">
      <c r="A269" s="41" t="s">
        <v>447</v>
      </c>
      <c r="B269" s="41" t="s">
        <v>189</v>
      </c>
      <c r="C269" s="41" t="s">
        <v>86</v>
      </c>
      <c r="D269" s="41" t="s">
        <v>104</v>
      </c>
      <c r="E269" s="41" t="s">
        <v>102</v>
      </c>
      <c r="F269" s="41" t="s">
        <v>76</v>
      </c>
      <c r="G269" s="41" t="n">
        <v>74.6</v>
      </c>
      <c r="H269" s="41" t="n">
        <v>10</v>
      </c>
      <c r="I269" s="41" t="n">
        <v>37.3</v>
      </c>
      <c r="J269" s="41" t="n">
        <v>783.3</v>
      </c>
      <c r="K269" s="41" t="s">
        <v>1369</v>
      </c>
      <c r="L269" s="41" t="s">
        <v>1496</v>
      </c>
      <c r="M269" s="41" t="s">
        <v>97</v>
      </c>
      <c r="N269" s="41" t="n">
        <v>746</v>
      </c>
      <c r="O269" s="41" t="n">
        <v>4.761904762</v>
      </c>
      <c r="P269" s="41" t="n">
        <v>37.3</v>
      </c>
      <c r="Q269" s="41" t="n">
        <v>9.5</v>
      </c>
    </row>
    <row r="270" customFormat="false" ht="15" hidden="false" customHeight="false" outlineLevel="0" collapsed="false">
      <c r="A270" s="41" t="s">
        <v>448</v>
      </c>
      <c r="B270" s="41" t="s">
        <v>178</v>
      </c>
      <c r="C270" s="41" t="s">
        <v>85</v>
      </c>
      <c r="D270" s="41" t="s">
        <v>104</v>
      </c>
      <c r="E270" s="41" t="s">
        <v>103</v>
      </c>
      <c r="F270" s="41" t="s">
        <v>80</v>
      </c>
      <c r="G270" s="41" t="n">
        <v>70.74</v>
      </c>
      <c r="H270" s="41" t="n">
        <v>4</v>
      </c>
      <c r="I270" s="41" t="n">
        <v>14.148</v>
      </c>
      <c r="J270" s="41" t="n">
        <v>297.108</v>
      </c>
      <c r="K270" s="41" t="s">
        <v>1188</v>
      </c>
      <c r="L270" s="41" t="s">
        <v>1497</v>
      </c>
      <c r="M270" s="41" t="s">
        <v>99</v>
      </c>
      <c r="N270" s="41" t="n">
        <v>282.96</v>
      </c>
      <c r="O270" s="41" t="n">
        <v>4.761904762</v>
      </c>
      <c r="P270" s="41" t="n">
        <v>14.148</v>
      </c>
      <c r="Q270" s="41" t="n">
        <v>4.4</v>
      </c>
    </row>
    <row r="271" customFormat="false" ht="15" hidden="false" customHeight="false" outlineLevel="0" collapsed="false">
      <c r="A271" s="41" t="s">
        <v>449</v>
      </c>
      <c r="B271" s="41" t="s">
        <v>178</v>
      </c>
      <c r="C271" s="41" t="s">
        <v>85</v>
      </c>
      <c r="D271" s="41" t="s">
        <v>104</v>
      </c>
      <c r="E271" s="41" t="s">
        <v>102</v>
      </c>
      <c r="F271" s="41" t="s">
        <v>80</v>
      </c>
      <c r="G271" s="41" t="n">
        <v>35.54</v>
      </c>
      <c r="H271" s="41" t="n">
        <v>10</v>
      </c>
      <c r="I271" s="41" t="n">
        <v>17.77</v>
      </c>
      <c r="J271" s="41" t="n">
        <v>373.17</v>
      </c>
      <c r="K271" s="41" t="s">
        <v>1396</v>
      </c>
      <c r="L271" s="41" t="s">
        <v>1498</v>
      </c>
      <c r="M271" s="41" t="s">
        <v>98</v>
      </c>
      <c r="N271" s="41" t="n">
        <v>355.4</v>
      </c>
      <c r="O271" s="41" t="n">
        <v>4.761904762</v>
      </c>
      <c r="P271" s="41" t="n">
        <v>17.77</v>
      </c>
      <c r="Q271" s="41" t="n">
        <v>7</v>
      </c>
    </row>
    <row r="272" customFormat="false" ht="15" hidden="false" customHeight="false" outlineLevel="0" collapsed="false">
      <c r="A272" s="41" t="s">
        <v>450</v>
      </c>
      <c r="B272" s="41" t="s">
        <v>189</v>
      </c>
      <c r="C272" s="41" t="s">
        <v>86</v>
      </c>
      <c r="D272" s="41" t="s">
        <v>105</v>
      </c>
      <c r="E272" s="41" t="s">
        <v>102</v>
      </c>
      <c r="F272" s="41" t="s">
        <v>77</v>
      </c>
      <c r="G272" s="41" t="n">
        <v>67.43</v>
      </c>
      <c r="H272" s="41" t="n">
        <v>5</v>
      </c>
      <c r="I272" s="41" t="n">
        <v>16.8575</v>
      </c>
      <c r="J272" s="41" t="n">
        <v>354.0075</v>
      </c>
      <c r="K272" s="41" t="s">
        <v>1292</v>
      </c>
      <c r="L272" s="41" t="s">
        <v>1499</v>
      </c>
      <c r="M272" s="41" t="s">
        <v>98</v>
      </c>
      <c r="N272" s="41" t="n">
        <v>337.15</v>
      </c>
      <c r="O272" s="41" t="n">
        <v>4.761904762</v>
      </c>
      <c r="P272" s="41" t="n">
        <v>16.8575</v>
      </c>
      <c r="Q272" s="41" t="n">
        <v>6.3</v>
      </c>
    </row>
    <row r="273" customFormat="false" ht="15" hidden="false" customHeight="false" outlineLevel="0" collapsed="false">
      <c r="A273" s="41" t="s">
        <v>451</v>
      </c>
      <c r="B273" s="41" t="s">
        <v>180</v>
      </c>
      <c r="C273" s="41" t="s">
        <v>87</v>
      </c>
      <c r="D273" s="41" t="s">
        <v>104</v>
      </c>
      <c r="E273" s="41" t="s">
        <v>102</v>
      </c>
      <c r="F273" s="41" t="s">
        <v>81</v>
      </c>
      <c r="G273" s="41" t="n">
        <v>21.12</v>
      </c>
      <c r="H273" s="41" t="n">
        <v>2</v>
      </c>
      <c r="I273" s="41" t="n">
        <v>2.112</v>
      </c>
      <c r="J273" s="41" t="n">
        <v>44.352</v>
      </c>
      <c r="K273" s="41" t="s">
        <v>1411</v>
      </c>
      <c r="L273" s="41" t="s">
        <v>1413</v>
      </c>
      <c r="M273" s="41" t="s">
        <v>97</v>
      </c>
      <c r="N273" s="41" t="n">
        <v>42.24</v>
      </c>
      <c r="O273" s="41" t="n">
        <v>4.761904762</v>
      </c>
      <c r="P273" s="41" t="n">
        <v>2.112</v>
      </c>
      <c r="Q273" s="41" t="n">
        <v>9.7</v>
      </c>
    </row>
    <row r="274" customFormat="false" ht="15" hidden="false" customHeight="false" outlineLevel="0" collapsed="false">
      <c r="A274" s="41" t="s">
        <v>452</v>
      </c>
      <c r="B274" s="41" t="s">
        <v>178</v>
      </c>
      <c r="C274" s="41" t="s">
        <v>85</v>
      </c>
      <c r="D274" s="41" t="s">
        <v>104</v>
      </c>
      <c r="E274" s="41" t="s">
        <v>102</v>
      </c>
      <c r="F274" s="41" t="s">
        <v>80</v>
      </c>
      <c r="G274" s="41" t="n">
        <v>21.54</v>
      </c>
      <c r="H274" s="41" t="n">
        <v>9</v>
      </c>
      <c r="I274" s="41" t="n">
        <v>9.693</v>
      </c>
      <c r="J274" s="41" t="n">
        <v>203.553</v>
      </c>
      <c r="K274" s="41" t="s">
        <v>1249</v>
      </c>
      <c r="L274" s="41" t="s">
        <v>1500</v>
      </c>
      <c r="M274" s="41" t="s">
        <v>99</v>
      </c>
      <c r="N274" s="41" t="n">
        <v>193.86</v>
      </c>
      <c r="O274" s="41" t="n">
        <v>4.761904762</v>
      </c>
      <c r="P274" s="41" t="n">
        <v>9.693</v>
      </c>
      <c r="Q274" s="41" t="n">
        <v>8.8</v>
      </c>
    </row>
    <row r="275" customFormat="false" ht="15" hidden="false" customHeight="false" outlineLevel="0" collapsed="false">
      <c r="A275" s="41" t="s">
        <v>453</v>
      </c>
      <c r="B275" s="41" t="s">
        <v>178</v>
      </c>
      <c r="C275" s="41" t="s">
        <v>85</v>
      </c>
      <c r="D275" s="41" t="s">
        <v>105</v>
      </c>
      <c r="E275" s="41" t="s">
        <v>102</v>
      </c>
      <c r="F275" s="41" t="s">
        <v>80</v>
      </c>
      <c r="G275" s="41" t="n">
        <v>12.03</v>
      </c>
      <c r="H275" s="41" t="n">
        <v>2</v>
      </c>
      <c r="I275" s="41" t="n">
        <v>1.203</v>
      </c>
      <c r="J275" s="41" t="n">
        <v>25.263</v>
      </c>
      <c r="K275" s="41" t="s">
        <v>1194</v>
      </c>
      <c r="L275" s="41" t="s">
        <v>1501</v>
      </c>
      <c r="M275" s="41" t="s">
        <v>97</v>
      </c>
      <c r="N275" s="41" t="n">
        <v>24.06</v>
      </c>
      <c r="O275" s="41" t="n">
        <v>4.761904762</v>
      </c>
      <c r="P275" s="41" t="n">
        <v>1.203</v>
      </c>
      <c r="Q275" s="41" t="n">
        <v>5.1</v>
      </c>
    </row>
    <row r="276" customFormat="false" ht="15" hidden="false" customHeight="false" outlineLevel="0" collapsed="false">
      <c r="A276" s="41" t="s">
        <v>454</v>
      </c>
      <c r="B276" s="41" t="s">
        <v>189</v>
      </c>
      <c r="C276" s="41" t="s">
        <v>86</v>
      </c>
      <c r="D276" s="41" t="s">
        <v>105</v>
      </c>
      <c r="E276" s="41" t="s">
        <v>102</v>
      </c>
      <c r="F276" s="41" t="s">
        <v>81</v>
      </c>
      <c r="G276" s="41" t="n">
        <v>99.71</v>
      </c>
      <c r="H276" s="41" t="n">
        <v>6</v>
      </c>
      <c r="I276" s="41" t="n">
        <v>29.913</v>
      </c>
      <c r="J276" s="41" t="n">
        <v>628.173</v>
      </c>
      <c r="K276" s="41" t="s">
        <v>1463</v>
      </c>
      <c r="L276" s="41" t="s">
        <v>1502</v>
      </c>
      <c r="M276" s="41" t="s">
        <v>98</v>
      </c>
      <c r="N276" s="41" t="n">
        <v>598.26</v>
      </c>
      <c r="O276" s="41" t="n">
        <v>4.761904762</v>
      </c>
      <c r="P276" s="41" t="n">
        <v>29.913</v>
      </c>
      <c r="Q276" s="41" t="n">
        <v>7.9</v>
      </c>
    </row>
    <row r="277" customFormat="false" ht="15" hidden="false" customHeight="false" outlineLevel="0" collapsed="false">
      <c r="A277" s="41" t="s">
        <v>455</v>
      </c>
      <c r="B277" s="41" t="s">
        <v>189</v>
      </c>
      <c r="C277" s="41" t="s">
        <v>86</v>
      </c>
      <c r="D277" s="41" t="s">
        <v>105</v>
      </c>
      <c r="E277" s="41" t="s">
        <v>103</v>
      </c>
      <c r="F277" s="41" t="s">
        <v>79</v>
      </c>
      <c r="G277" s="41" t="n">
        <v>47.97</v>
      </c>
      <c r="H277" s="41" t="n">
        <v>7</v>
      </c>
      <c r="I277" s="41" t="n">
        <v>16.7895</v>
      </c>
      <c r="J277" s="41" t="n">
        <v>352.5795</v>
      </c>
      <c r="K277" s="41" t="s">
        <v>1249</v>
      </c>
      <c r="L277" s="41" t="s">
        <v>1503</v>
      </c>
      <c r="M277" s="41" t="s">
        <v>97</v>
      </c>
      <c r="N277" s="41" t="n">
        <v>335.79</v>
      </c>
      <c r="O277" s="41" t="n">
        <v>4.761904762</v>
      </c>
      <c r="P277" s="41" t="n">
        <v>16.7895</v>
      </c>
      <c r="Q277" s="41" t="n">
        <v>6.2</v>
      </c>
    </row>
    <row r="278" customFormat="false" ht="15" hidden="false" customHeight="false" outlineLevel="0" collapsed="false">
      <c r="A278" s="41" t="s">
        <v>456</v>
      </c>
      <c r="B278" s="41" t="s">
        <v>180</v>
      </c>
      <c r="C278" s="41" t="s">
        <v>87</v>
      </c>
      <c r="D278" s="41" t="s">
        <v>104</v>
      </c>
      <c r="E278" s="41" t="s">
        <v>102</v>
      </c>
      <c r="F278" s="41" t="s">
        <v>80</v>
      </c>
      <c r="G278" s="41" t="n">
        <v>21.82</v>
      </c>
      <c r="H278" s="41" t="n">
        <v>10</v>
      </c>
      <c r="I278" s="41" t="n">
        <v>10.91</v>
      </c>
      <c r="J278" s="41" t="n">
        <v>229.11</v>
      </c>
      <c r="K278" s="41" t="s">
        <v>1249</v>
      </c>
      <c r="L278" s="41" t="s">
        <v>1234</v>
      </c>
      <c r="M278" s="41" t="s">
        <v>97</v>
      </c>
      <c r="N278" s="41" t="n">
        <v>218.2</v>
      </c>
      <c r="O278" s="41" t="n">
        <v>4.761904762</v>
      </c>
      <c r="P278" s="41" t="n">
        <v>10.91</v>
      </c>
      <c r="Q278" s="41" t="n">
        <v>7.1</v>
      </c>
    </row>
    <row r="279" customFormat="false" ht="15" hidden="false" customHeight="false" outlineLevel="0" collapsed="false">
      <c r="A279" s="41" t="s">
        <v>457</v>
      </c>
      <c r="B279" s="41" t="s">
        <v>180</v>
      </c>
      <c r="C279" s="41" t="s">
        <v>87</v>
      </c>
      <c r="D279" s="41" t="s">
        <v>105</v>
      </c>
      <c r="E279" s="41" t="s">
        <v>102</v>
      </c>
      <c r="F279" s="41" t="s">
        <v>79</v>
      </c>
      <c r="G279" s="41" t="n">
        <v>95.42</v>
      </c>
      <c r="H279" s="41" t="n">
        <v>4</v>
      </c>
      <c r="I279" s="41" t="n">
        <v>19.084</v>
      </c>
      <c r="J279" s="41" t="n">
        <v>400.764</v>
      </c>
      <c r="K279" s="41" t="s">
        <v>1258</v>
      </c>
      <c r="L279" s="41" t="s">
        <v>1193</v>
      </c>
      <c r="M279" s="41" t="s">
        <v>98</v>
      </c>
      <c r="N279" s="41" t="n">
        <v>381.68</v>
      </c>
      <c r="O279" s="41" t="n">
        <v>4.761904762</v>
      </c>
      <c r="P279" s="41" t="n">
        <v>19.084</v>
      </c>
      <c r="Q279" s="41" t="n">
        <v>6.4</v>
      </c>
    </row>
    <row r="280" customFormat="false" ht="15" hidden="false" customHeight="false" outlineLevel="0" collapsed="false">
      <c r="A280" s="41" t="s">
        <v>458</v>
      </c>
      <c r="B280" s="41" t="s">
        <v>180</v>
      </c>
      <c r="C280" s="41" t="s">
        <v>87</v>
      </c>
      <c r="D280" s="41" t="s">
        <v>104</v>
      </c>
      <c r="E280" s="41" t="s">
        <v>103</v>
      </c>
      <c r="F280" s="41" t="s">
        <v>79</v>
      </c>
      <c r="G280" s="41" t="n">
        <v>70.99</v>
      </c>
      <c r="H280" s="41" t="n">
        <v>10</v>
      </c>
      <c r="I280" s="41" t="n">
        <v>35.495</v>
      </c>
      <c r="J280" s="41" t="n">
        <v>745.395</v>
      </c>
      <c r="K280" s="41" t="s">
        <v>1446</v>
      </c>
      <c r="L280" s="41" t="s">
        <v>1504</v>
      </c>
      <c r="M280" s="41" t="s">
        <v>97</v>
      </c>
      <c r="N280" s="41" t="n">
        <v>709.9</v>
      </c>
      <c r="O280" s="41" t="n">
        <v>4.761904762</v>
      </c>
      <c r="P280" s="41" t="n">
        <v>35.495</v>
      </c>
      <c r="Q280" s="41" t="n">
        <v>5.7</v>
      </c>
    </row>
    <row r="281" customFormat="false" ht="15" hidden="false" customHeight="false" outlineLevel="0" collapsed="false">
      <c r="A281" s="41" t="s">
        <v>459</v>
      </c>
      <c r="B281" s="41" t="s">
        <v>178</v>
      </c>
      <c r="C281" s="41" t="s">
        <v>85</v>
      </c>
      <c r="D281" s="41" t="s">
        <v>104</v>
      </c>
      <c r="E281" s="41" t="s">
        <v>103</v>
      </c>
      <c r="F281" s="41" t="s">
        <v>77</v>
      </c>
      <c r="G281" s="41" t="n">
        <v>44.02</v>
      </c>
      <c r="H281" s="41" t="n">
        <v>10</v>
      </c>
      <c r="I281" s="41" t="n">
        <v>22.01</v>
      </c>
      <c r="J281" s="41" t="n">
        <v>462.21</v>
      </c>
      <c r="K281" s="41" t="s">
        <v>1446</v>
      </c>
      <c r="L281" s="41" t="s">
        <v>1385</v>
      </c>
      <c r="M281" s="41" t="s">
        <v>99</v>
      </c>
      <c r="N281" s="41" t="n">
        <v>440.2</v>
      </c>
      <c r="O281" s="41" t="n">
        <v>4.761904762</v>
      </c>
      <c r="P281" s="41" t="n">
        <v>22.01</v>
      </c>
      <c r="Q281" s="41" t="n">
        <v>9.6</v>
      </c>
    </row>
    <row r="282" customFormat="false" ht="15" hidden="false" customHeight="false" outlineLevel="0" collapsed="false">
      <c r="A282" s="41" t="s">
        <v>460</v>
      </c>
      <c r="B282" s="41" t="s">
        <v>178</v>
      </c>
      <c r="C282" s="41" t="s">
        <v>85</v>
      </c>
      <c r="D282" s="41" t="s">
        <v>105</v>
      </c>
      <c r="E282" s="41" t="s">
        <v>102</v>
      </c>
      <c r="F282" s="41" t="s">
        <v>80</v>
      </c>
      <c r="G282" s="41" t="n">
        <v>69.96</v>
      </c>
      <c r="H282" s="41" t="n">
        <v>8</v>
      </c>
      <c r="I282" s="41" t="n">
        <v>27.984</v>
      </c>
      <c r="J282" s="41" t="n">
        <v>587.664</v>
      </c>
      <c r="K282" s="41" t="s">
        <v>1288</v>
      </c>
      <c r="L282" s="41" t="s">
        <v>1417</v>
      </c>
      <c r="M282" s="41" t="s">
        <v>99</v>
      </c>
      <c r="N282" s="41" t="n">
        <v>559.68</v>
      </c>
      <c r="O282" s="41" t="n">
        <v>4.761904762</v>
      </c>
      <c r="P282" s="41" t="n">
        <v>27.984</v>
      </c>
      <c r="Q282" s="41" t="n">
        <v>6.4</v>
      </c>
    </row>
    <row r="283" customFormat="false" ht="15" hidden="false" customHeight="false" outlineLevel="0" collapsed="false">
      <c r="A283" s="41" t="s">
        <v>461</v>
      </c>
      <c r="B283" s="41" t="s">
        <v>180</v>
      </c>
      <c r="C283" s="41" t="s">
        <v>87</v>
      </c>
      <c r="D283" s="41" t="s">
        <v>105</v>
      </c>
      <c r="E283" s="41" t="s">
        <v>103</v>
      </c>
      <c r="F283" s="41" t="s">
        <v>80</v>
      </c>
      <c r="G283" s="41" t="n">
        <v>37</v>
      </c>
      <c r="H283" s="41" t="n">
        <v>1</v>
      </c>
      <c r="I283" s="41" t="n">
        <v>1.85</v>
      </c>
      <c r="J283" s="41" t="n">
        <v>38.85</v>
      </c>
      <c r="K283" s="41" t="s">
        <v>1292</v>
      </c>
      <c r="L283" s="41" t="s">
        <v>1505</v>
      </c>
      <c r="M283" s="41" t="s">
        <v>99</v>
      </c>
      <c r="N283" s="41" t="n">
        <v>37</v>
      </c>
      <c r="O283" s="41" t="n">
        <v>4.761904762</v>
      </c>
      <c r="P283" s="41" t="n">
        <v>1.85</v>
      </c>
      <c r="Q283" s="41" t="n">
        <v>7.9</v>
      </c>
    </row>
    <row r="284" customFormat="false" ht="15" hidden="false" customHeight="false" outlineLevel="0" collapsed="false">
      <c r="A284" s="41" t="s">
        <v>462</v>
      </c>
      <c r="B284" s="41" t="s">
        <v>178</v>
      </c>
      <c r="C284" s="41" t="s">
        <v>85</v>
      </c>
      <c r="D284" s="41" t="s">
        <v>105</v>
      </c>
      <c r="E284" s="41" t="s">
        <v>102</v>
      </c>
      <c r="F284" s="41" t="s">
        <v>77</v>
      </c>
      <c r="G284" s="41" t="n">
        <v>15.34</v>
      </c>
      <c r="H284" s="41" t="n">
        <v>1</v>
      </c>
      <c r="I284" s="41" t="n">
        <v>0.767</v>
      </c>
      <c r="J284" s="41" t="n">
        <v>16.107</v>
      </c>
      <c r="K284" s="41" t="s">
        <v>1303</v>
      </c>
      <c r="L284" s="41" t="s">
        <v>1506</v>
      </c>
      <c r="M284" s="41" t="s">
        <v>97</v>
      </c>
      <c r="N284" s="41" t="n">
        <v>15.34</v>
      </c>
      <c r="O284" s="41" t="n">
        <v>4.761904762</v>
      </c>
      <c r="P284" s="41" t="n">
        <v>0.767</v>
      </c>
      <c r="Q284" s="41" t="n">
        <v>6.5</v>
      </c>
    </row>
    <row r="285" customFormat="false" ht="15" hidden="false" customHeight="false" outlineLevel="0" collapsed="false">
      <c r="A285" s="41" t="s">
        <v>463</v>
      </c>
      <c r="B285" s="41" t="s">
        <v>178</v>
      </c>
      <c r="C285" s="41" t="s">
        <v>85</v>
      </c>
      <c r="D285" s="41" t="s">
        <v>104</v>
      </c>
      <c r="E285" s="41" t="s">
        <v>103</v>
      </c>
      <c r="F285" s="41" t="s">
        <v>81</v>
      </c>
      <c r="G285" s="41" t="n">
        <v>99.83</v>
      </c>
      <c r="H285" s="41" t="n">
        <v>6</v>
      </c>
      <c r="I285" s="41" t="n">
        <v>29.949</v>
      </c>
      <c r="J285" s="41" t="n">
        <v>628.929</v>
      </c>
      <c r="K285" s="41" t="s">
        <v>1261</v>
      </c>
      <c r="L285" s="41" t="s">
        <v>1507</v>
      </c>
      <c r="M285" s="41" t="s">
        <v>98</v>
      </c>
      <c r="N285" s="41" t="n">
        <v>598.98</v>
      </c>
      <c r="O285" s="41" t="n">
        <v>4.761904762</v>
      </c>
      <c r="P285" s="41" t="n">
        <v>29.949</v>
      </c>
      <c r="Q285" s="41" t="n">
        <v>8.5</v>
      </c>
    </row>
    <row r="286" customFormat="false" ht="15" hidden="false" customHeight="false" outlineLevel="0" collapsed="false">
      <c r="A286" s="41" t="s">
        <v>464</v>
      </c>
      <c r="B286" s="41" t="s">
        <v>178</v>
      </c>
      <c r="C286" s="41" t="s">
        <v>85</v>
      </c>
      <c r="D286" s="41" t="s">
        <v>104</v>
      </c>
      <c r="E286" s="41" t="s">
        <v>102</v>
      </c>
      <c r="F286" s="41" t="s">
        <v>81</v>
      </c>
      <c r="G286" s="41" t="n">
        <v>47.67</v>
      </c>
      <c r="H286" s="41" t="n">
        <v>4</v>
      </c>
      <c r="I286" s="41" t="n">
        <v>9.534</v>
      </c>
      <c r="J286" s="41" t="n">
        <v>200.214</v>
      </c>
      <c r="K286" s="41" t="s">
        <v>1286</v>
      </c>
      <c r="L286" s="41" t="s">
        <v>1508</v>
      </c>
      <c r="M286" s="41" t="s">
        <v>97</v>
      </c>
      <c r="N286" s="41" t="n">
        <v>190.68</v>
      </c>
      <c r="O286" s="41" t="n">
        <v>4.761904762</v>
      </c>
      <c r="P286" s="41" t="n">
        <v>9.534</v>
      </c>
      <c r="Q286" s="41" t="n">
        <v>9.1</v>
      </c>
    </row>
    <row r="287" customFormat="false" ht="15" hidden="false" customHeight="false" outlineLevel="0" collapsed="false">
      <c r="A287" s="41" t="s">
        <v>465</v>
      </c>
      <c r="B287" s="41" t="s">
        <v>189</v>
      </c>
      <c r="C287" s="41" t="s">
        <v>86</v>
      </c>
      <c r="D287" s="41" t="s">
        <v>105</v>
      </c>
      <c r="E287" s="41" t="s">
        <v>103</v>
      </c>
      <c r="F287" s="41" t="s">
        <v>81</v>
      </c>
      <c r="G287" s="41" t="n">
        <v>66.68</v>
      </c>
      <c r="H287" s="41" t="n">
        <v>5</v>
      </c>
      <c r="I287" s="41" t="n">
        <v>16.67</v>
      </c>
      <c r="J287" s="41" t="n">
        <v>350.07</v>
      </c>
      <c r="K287" s="41" t="s">
        <v>1206</v>
      </c>
      <c r="L287" s="41" t="s">
        <v>1509</v>
      </c>
      <c r="M287" s="41" t="s">
        <v>97</v>
      </c>
      <c r="N287" s="41" t="n">
        <v>333.4</v>
      </c>
      <c r="O287" s="41" t="n">
        <v>4.761904762</v>
      </c>
      <c r="P287" s="41" t="n">
        <v>16.67</v>
      </c>
      <c r="Q287" s="41" t="n">
        <v>7.6</v>
      </c>
    </row>
    <row r="288" customFormat="false" ht="15" hidden="false" customHeight="false" outlineLevel="0" collapsed="false">
      <c r="A288" s="41" t="s">
        <v>466</v>
      </c>
      <c r="B288" s="41" t="s">
        <v>180</v>
      </c>
      <c r="C288" s="41" t="s">
        <v>87</v>
      </c>
      <c r="D288" s="41" t="s">
        <v>104</v>
      </c>
      <c r="E288" s="41" t="s">
        <v>103</v>
      </c>
      <c r="F288" s="41" t="s">
        <v>80</v>
      </c>
      <c r="G288" s="41" t="n">
        <v>74.86</v>
      </c>
      <c r="H288" s="41" t="n">
        <v>1</v>
      </c>
      <c r="I288" s="41" t="n">
        <v>3.743</v>
      </c>
      <c r="J288" s="41" t="n">
        <v>78.603</v>
      </c>
      <c r="K288" s="41" t="s">
        <v>1349</v>
      </c>
      <c r="L288" s="41" t="s">
        <v>1246</v>
      </c>
      <c r="M288" s="41" t="s">
        <v>97</v>
      </c>
      <c r="N288" s="41" t="n">
        <v>74.86</v>
      </c>
      <c r="O288" s="41" t="n">
        <v>4.761904762</v>
      </c>
      <c r="P288" s="41" t="n">
        <v>3.743</v>
      </c>
      <c r="Q288" s="41" t="n">
        <v>6.9</v>
      </c>
    </row>
    <row r="289" customFormat="false" ht="15" hidden="false" customHeight="false" outlineLevel="0" collapsed="false">
      <c r="A289" s="41" t="s">
        <v>467</v>
      </c>
      <c r="B289" s="41" t="s">
        <v>180</v>
      </c>
      <c r="C289" s="41" t="s">
        <v>87</v>
      </c>
      <c r="D289" s="41" t="s">
        <v>105</v>
      </c>
      <c r="E289" s="41" t="s">
        <v>102</v>
      </c>
      <c r="F289" s="41" t="s">
        <v>77</v>
      </c>
      <c r="G289" s="41" t="n">
        <v>23.75</v>
      </c>
      <c r="H289" s="41" t="n">
        <v>9</v>
      </c>
      <c r="I289" s="41" t="n">
        <v>10.6875</v>
      </c>
      <c r="J289" s="41" t="n">
        <v>224.4375</v>
      </c>
      <c r="K289" s="41" t="s">
        <v>1454</v>
      </c>
      <c r="L289" s="41" t="s">
        <v>1363</v>
      </c>
      <c r="M289" s="41" t="s">
        <v>97</v>
      </c>
      <c r="N289" s="41" t="n">
        <v>213.75</v>
      </c>
      <c r="O289" s="41" t="n">
        <v>4.761904762</v>
      </c>
      <c r="P289" s="41" t="n">
        <v>10.6875</v>
      </c>
      <c r="Q289" s="41" t="n">
        <v>9.5</v>
      </c>
    </row>
    <row r="290" customFormat="false" ht="15" hidden="false" customHeight="false" outlineLevel="0" collapsed="false">
      <c r="A290" s="41" t="s">
        <v>468</v>
      </c>
      <c r="B290" s="41" t="s">
        <v>189</v>
      </c>
      <c r="C290" s="41" t="s">
        <v>86</v>
      </c>
      <c r="D290" s="41" t="s">
        <v>105</v>
      </c>
      <c r="E290" s="41" t="s">
        <v>102</v>
      </c>
      <c r="F290" s="41" t="s">
        <v>76</v>
      </c>
      <c r="G290" s="41" t="n">
        <v>48.51</v>
      </c>
      <c r="H290" s="41" t="n">
        <v>7</v>
      </c>
      <c r="I290" s="41" t="n">
        <v>16.9785</v>
      </c>
      <c r="J290" s="41" t="n">
        <v>356.5485</v>
      </c>
      <c r="K290" s="41" t="s">
        <v>1240</v>
      </c>
      <c r="L290" s="41" t="s">
        <v>1510</v>
      </c>
      <c r="M290" s="41" t="s">
        <v>99</v>
      </c>
      <c r="N290" s="41" t="n">
        <v>339.57</v>
      </c>
      <c r="O290" s="41" t="n">
        <v>4.761904762</v>
      </c>
      <c r="P290" s="41" t="n">
        <v>16.9785</v>
      </c>
      <c r="Q290" s="41" t="n">
        <v>5.2</v>
      </c>
    </row>
    <row r="291" customFormat="false" ht="15" hidden="false" customHeight="false" outlineLevel="0" collapsed="false">
      <c r="A291" s="41" t="s">
        <v>469</v>
      </c>
      <c r="B291" s="41" t="s">
        <v>178</v>
      </c>
      <c r="C291" s="41" t="s">
        <v>85</v>
      </c>
      <c r="D291" s="41" t="s">
        <v>104</v>
      </c>
      <c r="E291" s="41" t="s">
        <v>102</v>
      </c>
      <c r="F291" s="41" t="s">
        <v>80</v>
      </c>
      <c r="G291" s="41" t="n">
        <v>94.88</v>
      </c>
      <c r="H291" s="41" t="n">
        <v>7</v>
      </c>
      <c r="I291" s="41" t="n">
        <v>33.208</v>
      </c>
      <c r="J291" s="41" t="n">
        <v>697.368</v>
      </c>
      <c r="K291" s="41" t="s">
        <v>1272</v>
      </c>
      <c r="L291" s="41" t="s">
        <v>1511</v>
      </c>
      <c r="M291" s="41" t="s">
        <v>97</v>
      </c>
      <c r="N291" s="41" t="n">
        <v>664.16</v>
      </c>
      <c r="O291" s="41" t="n">
        <v>4.761904762</v>
      </c>
      <c r="P291" s="41" t="n">
        <v>33.208</v>
      </c>
      <c r="Q291" s="41" t="n">
        <v>4.2</v>
      </c>
    </row>
    <row r="292" customFormat="false" ht="15" hidden="false" customHeight="false" outlineLevel="0" collapsed="false">
      <c r="A292" s="41" t="s">
        <v>470</v>
      </c>
      <c r="B292" s="41" t="s">
        <v>189</v>
      </c>
      <c r="C292" s="41" t="s">
        <v>86</v>
      </c>
      <c r="D292" s="41" t="s">
        <v>104</v>
      </c>
      <c r="E292" s="41" t="s">
        <v>103</v>
      </c>
      <c r="F292" s="41" t="s">
        <v>78</v>
      </c>
      <c r="G292" s="41" t="n">
        <v>40.3</v>
      </c>
      <c r="H292" s="41" t="n">
        <v>10</v>
      </c>
      <c r="I292" s="41" t="n">
        <v>20.15</v>
      </c>
      <c r="J292" s="41" t="n">
        <v>423.15</v>
      </c>
      <c r="K292" s="41" t="s">
        <v>1300</v>
      </c>
      <c r="L292" s="41" t="s">
        <v>1512</v>
      </c>
      <c r="M292" s="41" t="s">
        <v>99</v>
      </c>
      <c r="N292" s="41" t="n">
        <v>403</v>
      </c>
      <c r="O292" s="41" t="n">
        <v>4.761904762</v>
      </c>
      <c r="P292" s="41" t="n">
        <v>20.15</v>
      </c>
      <c r="Q292" s="41" t="n">
        <v>7</v>
      </c>
    </row>
    <row r="293" customFormat="false" ht="15" hidden="false" customHeight="false" outlineLevel="0" collapsed="false">
      <c r="A293" s="41" t="s">
        <v>471</v>
      </c>
      <c r="B293" s="41" t="s">
        <v>180</v>
      </c>
      <c r="C293" s="41" t="s">
        <v>87</v>
      </c>
      <c r="D293" s="41" t="s">
        <v>105</v>
      </c>
      <c r="E293" s="41" t="s">
        <v>103</v>
      </c>
      <c r="F293" s="41" t="s">
        <v>78</v>
      </c>
      <c r="G293" s="41" t="n">
        <v>27.85</v>
      </c>
      <c r="H293" s="41" t="n">
        <v>7</v>
      </c>
      <c r="I293" s="41" t="n">
        <v>9.7475</v>
      </c>
      <c r="J293" s="41" t="n">
        <v>204.6975</v>
      </c>
      <c r="K293" s="41" t="s">
        <v>1494</v>
      </c>
      <c r="L293" s="41" t="s">
        <v>1513</v>
      </c>
      <c r="M293" s="41" t="s">
        <v>98</v>
      </c>
      <c r="N293" s="41" t="n">
        <v>194.95</v>
      </c>
      <c r="O293" s="41" t="n">
        <v>4.761904762</v>
      </c>
      <c r="P293" s="41" t="n">
        <v>9.7475</v>
      </c>
      <c r="Q293" s="41" t="n">
        <v>6</v>
      </c>
    </row>
    <row r="294" customFormat="false" ht="15" hidden="false" customHeight="false" outlineLevel="0" collapsed="false">
      <c r="A294" s="41" t="s">
        <v>472</v>
      </c>
      <c r="B294" s="41" t="s">
        <v>178</v>
      </c>
      <c r="C294" s="41" t="s">
        <v>85</v>
      </c>
      <c r="D294" s="41" t="s">
        <v>104</v>
      </c>
      <c r="E294" s="41" t="s">
        <v>102</v>
      </c>
      <c r="F294" s="41" t="s">
        <v>78</v>
      </c>
      <c r="G294" s="41" t="n">
        <v>62.48</v>
      </c>
      <c r="H294" s="41" t="n">
        <v>1</v>
      </c>
      <c r="I294" s="41" t="n">
        <v>3.124</v>
      </c>
      <c r="J294" s="41" t="n">
        <v>65.604</v>
      </c>
      <c r="K294" s="41" t="s">
        <v>1377</v>
      </c>
      <c r="L294" s="41" t="s">
        <v>1514</v>
      </c>
      <c r="M294" s="41" t="s">
        <v>97</v>
      </c>
      <c r="N294" s="41" t="n">
        <v>62.48</v>
      </c>
      <c r="O294" s="41" t="n">
        <v>4.761904762</v>
      </c>
      <c r="P294" s="41" t="n">
        <v>3.124</v>
      </c>
      <c r="Q294" s="41" t="n">
        <v>4.7</v>
      </c>
    </row>
    <row r="295" customFormat="false" ht="15" hidden="false" customHeight="false" outlineLevel="0" collapsed="false">
      <c r="A295" s="41" t="s">
        <v>473</v>
      </c>
      <c r="B295" s="41" t="s">
        <v>178</v>
      </c>
      <c r="C295" s="41" t="s">
        <v>85</v>
      </c>
      <c r="D295" s="41" t="s">
        <v>104</v>
      </c>
      <c r="E295" s="41" t="s">
        <v>102</v>
      </c>
      <c r="F295" s="41" t="s">
        <v>76</v>
      </c>
      <c r="G295" s="41" t="n">
        <v>36.36</v>
      </c>
      <c r="H295" s="41" t="n">
        <v>2</v>
      </c>
      <c r="I295" s="41" t="n">
        <v>3.636</v>
      </c>
      <c r="J295" s="41" t="n">
        <v>76.356</v>
      </c>
      <c r="K295" s="41" t="s">
        <v>1224</v>
      </c>
      <c r="L295" s="41" t="s">
        <v>156</v>
      </c>
      <c r="M295" s="41" t="s">
        <v>97</v>
      </c>
      <c r="N295" s="41" t="n">
        <v>72.72</v>
      </c>
      <c r="O295" s="41" t="n">
        <v>4.761904762</v>
      </c>
      <c r="P295" s="41" t="n">
        <v>3.636</v>
      </c>
      <c r="Q295" s="41" t="n">
        <v>7.1</v>
      </c>
    </row>
    <row r="296" customFormat="false" ht="15" hidden="false" customHeight="false" outlineLevel="0" collapsed="false">
      <c r="A296" s="41" t="s">
        <v>474</v>
      </c>
      <c r="B296" s="41" t="s">
        <v>189</v>
      </c>
      <c r="C296" s="41" t="s">
        <v>86</v>
      </c>
      <c r="D296" s="41" t="s">
        <v>105</v>
      </c>
      <c r="E296" s="41" t="s">
        <v>103</v>
      </c>
      <c r="F296" s="41" t="s">
        <v>81</v>
      </c>
      <c r="G296" s="41" t="n">
        <v>18.11</v>
      </c>
      <c r="H296" s="41" t="n">
        <v>10</v>
      </c>
      <c r="I296" s="41" t="n">
        <v>9.055</v>
      </c>
      <c r="J296" s="41" t="n">
        <v>190.155</v>
      </c>
      <c r="K296" s="41" t="s">
        <v>1296</v>
      </c>
      <c r="L296" s="41" t="s">
        <v>1515</v>
      </c>
      <c r="M296" s="41" t="s">
        <v>98</v>
      </c>
      <c r="N296" s="41" t="n">
        <v>181.1</v>
      </c>
      <c r="O296" s="41" t="n">
        <v>4.761904762</v>
      </c>
      <c r="P296" s="41" t="n">
        <v>9.055</v>
      </c>
      <c r="Q296" s="41" t="n">
        <v>5.9</v>
      </c>
    </row>
    <row r="297" customFormat="false" ht="15" hidden="false" customHeight="false" outlineLevel="0" collapsed="false">
      <c r="A297" s="41" t="s">
        <v>475</v>
      </c>
      <c r="B297" s="41" t="s">
        <v>180</v>
      </c>
      <c r="C297" s="41" t="s">
        <v>87</v>
      </c>
      <c r="D297" s="41" t="s">
        <v>104</v>
      </c>
      <c r="E297" s="41" t="s">
        <v>102</v>
      </c>
      <c r="F297" s="41" t="s">
        <v>78</v>
      </c>
      <c r="G297" s="41" t="n">
        <v>51.92</v>
      </c>
      <c r="H297" s="41" t="n">
        <v>5</v>
      </c>
      <c r="I297" s="41" t="n">
        <v>12.98</v>
      </c>
      <c r="J297" s="41" t="n">
        <v>272.58</v>
      </c>
      <c r="K297" s="41" t="s">
        <v>1192</v>
      </c>
      <c r="L297" s="41" t="s">
        <v>1516</v>
      </c>
      <c r="M297" s="41" t="s">
        <v>97</v>
      </c>
      <c r="N297" s="41" t="n">
        <v>259.6</v>
      </c>
      <c r="O297" s="41" t="n">
        <v>4.761904762</v>
      </c>
      <c r="P297" s="41" t="n">
        <v>12.98</v>
      </c>
      <c r="Q297" s="41" t="n">
        <v>7.5</v>
      </c>
    </row>
    <row r="298" customFormat="false" ht="15" hidden="false" customHeight="false" outlineLevel="0" collapsed="false">
      <c r="A298" s="41" t="s">
        <v>476</v>
      </c>
      <c r="B298" s="41" t="s">
        <v>180</v>
      </c>
      <c r="C298" s="41" t="s">
        <v>87</v>
      </c>
      <c r="D298" s="41" t="s">
        <v>105</v>
      </c>
      <c r="E298" s="41" t="s">
        <v>103</v>
      </c>
      <c r="F298" s="41" t="s">
        <v>78</v>
      </c>
      <c r="G298" s="41" t="n">
        <v>28.84</v>
      </c>
      <c r="H298" s="41" t="n">
        <v>4</v>
      </c>
      <c r="I298" s="41" t="n">
        <v>5.768</v>
      </c>
      <c r="J298" s="41" t="n">
        <v>121.128</v>
      </c>
      <c r="K298" s="41" t="s">
        <v>1216</v>
      </c>
      <c r="L298" s="41" t="s">
        <v>1517</v>
      </c>
      <c r="M298" s="41" t="s">
        <v>97</v>
      </c>
      <c r="N298" s="41" t="n">
        <v>115.36</v>
      </c>
      <c r="O298" s="41" t="n">
        <v>4.761904762</v>
      </c>
      <c r="P298" s="41" t="n">
        <v>5.768</v>
      </c>
      <c r="Q298" s="41" t="n">
        <v>6.4</v>
      </c>
    </row>
    <row r="299" customFormat="false" ht="15" hidden="false" customHeight="false" outlineLevel="0" collapsed="false">
      <c r="A299" s="41" t="s">
        <v>477</v>
      </c>
      <c r="B299" s="41" t="s">
        <v>178</v>
      </c>
      <c r="C299" s="41" t="s">
        <v>85</v>
      </c>
      <c r="D299" s="41" t="s">
        <v>104</v>
      </c>
      <c r="E299" s="41" t="s">
        <v>103</v>
      </c>
      <c r="F299" s="41" t="s">
        <v>80</v>
      </c>
      <c r="G299" s="41" t="n">
        <v>78.38</v>
      </c>
      <c r="H299" s="41" t="n">
        <v>6</v>
      </c>
      <c r="I299" s="41" t="n">
        <v>23.514</v>
      </c>
      <c r="J299" s="41" t="n">
        <v>493.794</v>
      </c>
      <c r="K299" s="41" t="s">
        <v>1204</v>
      </c>
      <c r="L299" s="41" t="s">
        <v>1518</v>
      </c>
      <c r="M299" s="41" t="s">
        <v>98</v>
      </c>
      <c r="N299" s="41" t="n">
        <v>470.28</v>
      </c>
      <c r="O299" s="41" t="n">
        <v>4.761904762</v>
      </c>
      <c r="P299" s="41" t="n">
        <v>23.514</v>
      </c>
      <c r="Q299" s="41" t="n">
        <v>5.8</v>
      </c>
    </row>
    <row r="300" customFormat="false" ht="15" hidden="false" customHeight="false" outlineLevel="0" collapsed="false">
      <c r="A300" s="41" t="s">
        <v>478</v>
      </c>
      <c r="B300" s="41" t="s">
        <v>178</v>
      </c>
      <c r="C300" s="41" t="s">
        <v>85</v>
      </c>
      <c r="D300" s="41" t="s">
        <v>104</v>
      </c>
      <c r="E300" s="41" t="s">
        <v>103</v>
      </c>
      <c r="F300" s="41" t="s">
        <v>80</v>
      </c>
      <c r="G300" s="41" t="n">
        <v>60.01</v>
      </c>
      <c r="H300" s="41" t="n">
        <v>4</v>
      </c>
      <c r="I300" s="41" t="n">
        <v>12.002</v>
      </c>
      <c r="J300" s="41" t="n">
        <v>252.042</v>
      </c>
      <c r="K300" s="41" t="s">
        <v>1240</v>
      </c>
      <c r="L300" s="41" t="s">
        <v>1519</v>
      </c>
      <c r="M300" s="41" t="s">
        <v>97</v>
      </c>
      <c r="N300" s="41" t="n">
        <v>240.04</v>
      </c>
      <c r="O300" s="41" t="n">
        <v>4.761904762</v>
      </c>
      <c r="P300" s="41" t="n">
        <v>12.002</v>
      </c>
      <c r="Q300" s="41" t="n">
        <v>4.5</v>
      </c>
    </row>
    <row r="301" customFormat="false" ht="15" hidden="false" customHeight="false" outlineLevel="0" collapsed="false">
      <c r="A301" s="41" t="s">
        <v>479</v>
      </c>
      <c r="B301" s="41" t="s">
        <v>180</v>
      </c>
      <c r="C301" s="41" t="s">
        <v>87</v>
      </c>
      <c r="D301" s="41" t="s">
        <v>104</v>
      </c>
      <c r="E301" s="41" t="s">
        <v>102</v>
      </c>
      <c r="F301" s="41" t="s">
        <v>80</v>
      </c>
      <c r="G301" s="41" t="n">
        <v>88.61</v>
      </c>
      <c r="H301" s="41" t="n">
        <v>1</v>
      </c>
      <c r="I301" s="41" t="n">
        <v>4.4305</v>
      </c>
      <c r="J301" s="41" t="n">
        <v>93.0405</v>
      </c>
      <c r="K301" s="41" t="s">
        <v>1356</v>
      </c>
      <c r="L301" s="41" t="s">
        <v>1520</v>
      </c>
      <c r="M301" s="41" t="s">
        <v>97</v>
      </c>
      <c r="N301" s="41" t="n">
        <v>88.61</v>
      </c>
      <c r="O301" s="41" t="n">
        <v>4.761904762</v>
      </c>
      <c r="P301" s="41" t="n">
        <v>4.4305</v>
      </c>
      <c r="Q301" s="41" t="n">
        <v>7.7</v>
      </c>
    </row>
    <row r="302" customFormat="false" ht="15" hidden="false" customHeight="false" outlineLevel="0" collapsed="false">
      <c r="A302" s="41" t="s">
        <v>480</v>
      </c>
      <c r="B302" s="41" t="s">
        <v>180</v>
      </c>
      <c r="C302" s="41" t="s">
        <v>87</v>
      </c>
      <c r="D302" s="41" t="s">
        <v>105</v>
      </c>
      <c r="E302" s="41" t="s">
        <v>103</v>
      </c>
      <c r="F302" s="41" t="s">
        <v>79</v>
      </c>
      <c r="G302" s="41" t="n">
        <v>99.82</v>
      </c>
      <c r="H302" s="41" t="n">
        <v>2</v>
      </c>
      <c r="I302" s="41" t="n">
        <v>9.982</v>
      </c>
      <c r="J302" s="41" t="n">
        <v>209.622</v>
      </c>
      <c r="K302" s="41" t="s">
        <v>1326</v>
      </c>
      <c r="L302" s="41" t="s">
        <v>1471</v>
      </c>
      <c r="M302" s="41" t="s">
        <v>99</v>
      </c>
      <c r="N302" s="41" t="n">
        <v>199.64</v>
      </c>
      <c r="O302" s="41" t="n">
        <v>4.761904762</v>
      </c>
      <c r="P302" s="41" t="n">
        <v>9.982</v>
      </c>
      <c r="Q302" s="41" t="n">
        <v>6.7</v>
      </c>
    </row>
    <row r="303" customFormat="false" ht="15" hidden="false" customHeight="false" outlineLevel="0" collapsed="false">
      <c r="A303" s="41" t="s">
        <v>481</v>
      </c>
      <c r="B303" s="41" t="s">
        <v>189</v>
      </c>
      <c r="C303" s="41" t="s">
        <v>86</v>
      </c>
      <c r="D303" s="41" t="s">
        <v>104</v>
      </c>
      <c r="E303" s="41" t="s">
        <v>103</v>
      </c>
      <c r="F303" s="41" t="s">
        <v>81</v>
      </c>
      <c r="G303" s="41" t="n">
        <v>39.01</v>
      </c>
      <c r="H303" s="41" t="n">
        <v>1</v>
      </c>
      <c r="I303" s="41" t="n">
        <v>1.9505</v>
      </c>
      <c r="J303" s="41" t="n">
        <v>40.9605</v>
      </c>
      <c r="K303" s="41" t="s">
        <v>1286</v>
      </c>
      <c r="L303" s="41" t="s">
        <v>1521</v>
      </c>
      <c r="M303" s="41" t="s">
        <v>99</v>
      </c>
      <c r="N303" s="41" t="n">
        <v>39.01</v>
      </c>
      <c r="O303" s="41" t="n">
        <v>4.761904762</v>
      </c>
      <c r="P303" s="41" t="n">
        <v>1.9505</v>
      </c>
      <c r="Q303" s="41" t="n">
        <v>4.7</v>
      </c>
    </row>
    <row r="304" customFormat="false" ht="15" hidden="false" customHeight="false" outlineLevel="0" collapsed="false">
      <c r="A304" s="41" t="s">
        <v>482</v>
      </c>
      <c r="B304" s="41" t="s">
        <v>180</v>
      </c>
      <c r="C304" s="41" t="s">
        <v>87</v>
      </c>
      <c r="D304" s="41" t="s">
        <v>105</v>
      </c>
      <c r="E304" s="41" t="s">
        <v>103</v>
      </c>
      <c r="F304" s="41" t="s">
        <v>76</v>
      </c>
      <c r="G304" s="41" t="n">
        <v>48.61</v>
      </c>
      <c r="H304" s="41" t="n">
        <v>1</v>
      </c>
      <c r="I304" s="41" t="n">
        <v>2.4305</v>
      </c>
      <c r="J304" s="41" t="n">
        <v>51.0405</v>
      </c>
      <c r="K304" s="41" t="s">
        <v>1200</v>
      </c>
      <c r="L304" s="41" t="s">
        <v>1237</v>
      </c>
      <c r="M304" s="41" t="s">
        <v>97</v>
      </c>
      <c r="N304" s="41" t="n">
        <v>48.61</v>
      </c>
      <c r="O304" s="41" t="n">
        <v>4.761904762</v>
      </c>
      <c r="P304" s="41" t="n">
        <v>2.4305</v>
      </c>
      <c r="Q304" s="41" t="n">
        <v>4.4</v>
      </c>
    </row>
    <row r="305" customFormat="false" ht="15" hidden="false" customHeight="false" outlineLevel="0" collapsed="false">
      <c r="A305" s="41" t="s">
        <v>483</v>
      </c>
      <c r="B305" s="41" t="s">
        <v>178</v>
      </c>
      <c r="C305" s="41" t="s">
        <v>85</v>
      </c>
      <c r="D305" s="41" t="s">
        <v>105</v>
      </c>
      <c r="E305" s="41" t="s">
        <v>102</v>
      </c>
      <c r="F305" s="41" t="s">
        <v>78</v>
      </c>
      <c r="G305" s="41" t="n">
        <v>51.19</v>
      </c>
      <c r="H305" s="41" t="n">
        <v>4</v>
      </c>
      <c r="I305" s="41" t="n">
        <v>10.238</v>
      </c>
      <c r="J305" s="41" t="n">
        <v>214.998</v>
      </c>
      <c r="K305" s="41" t="s">
        <v>1442</v>
      </c>
      <c r="L305" s="41" t="s">
        <v>1205</v>
      </c>
      <c r="M305" s="41" t="s">
        <v>99</v>
      </c>
      <c r="N305" s="41" t="n">
        <v>204.76</v>
      </c>
      <c r="O305" s="41" t="n">
        <v>4.761904762</v>
      </c>
      <c r="P305" s="41" t="n">
        <v>10.238</v>
      </c>
      <c r="Q305" s="41" t="n">
        <v>4.7</v>
      </c>
    </row>
    <row r="306" customFormat="false" ht="15" hidden="false" customHeight="false" outlineLevel="0" collapsed="false">
      <c r="A306" s="41" t="s">
        <v>484</v>
      </c>
      <c r="B306" s="41" t="s">
        <v>189</v>
      </c>
      <c r="C306" s="41" t="s">
        <v>86</v>
      </c>
      <c r="D306" s="41" t="s">
        <v>105</v>
      </c>
      <c r="E306" s="41" t="s">
        <v>102</v>
      </c>
      <c r="F306" s="41" t="s">
        <v>78</v>
      </c>
      <c r="G306" s="41" t="n">
        <v>14.96</v>
      </c>
      <c r="H306" s="41" t="n">
        <v>8</v>
      </c>
      <c r="I306" s="41" t="n">
        <v>5.984</v>
      </c>
      <c r="J306" s="41" t="n">
        <v>125.664</v>
      </c>
      <c r="K306" s="41" t="s">
        <v>1321</v>
      </c>
      <c r="L306" s="41" t="s">
        <v>1359</v>
      </c>
      <c r="M306" s="41" t="s">
        <v>97</v>
      </c>
      <c r="N306" s="41" t="n">
        <v>119.68</v>
      </c>
      <c r="O306" s="41" t="n">
        <v>4.761904762</v>
      </c>
      <c r="P306" s="41" t="n">
        <v>5.984</v>
      </c>
      <c r="Q306" s="41" t="n">
        <v>8.6</v>
      </c>
    </row>
    <row r="307" customFormat="false" ht="15" hidden="false" customHeight="false" outlineLevel="0" collapsed="false">
      <c r="A307" s="41" t="s">
        <v>485</v>
      </c>
      <c r="B307" s="41" t="s">
        <v>178</v>
      </c>
      <c r="C307" s="41" t="s">
        <v>85</v>
      </c>
      <c r="D307" s="41" t="s">
        <v>104</v>
      </c>
      <c r="E307" s="41" t="s">
        <v>103</v>
      </c>
      <c r="F307" s="41" t="s">
        <v>78</v>
      </c>
      <c r="G307" s="41" t="n">
        <v>72.2</v>
      </c>
      <c r="H307" s="41" t="n">
        <v>7</v>
      </c>
      <c r="I307" s="41" t="n">
        <v>25.27</v>
      </c>
      <c r="J307" s="41" t="n">
        <v>530.67</v>
      </c>
      <c r="K307" s="41" t="s">
        <v>1338</v>
      </c>
      <c r="L307" s="41" t="s">
        <v>1522</v>
      </c>
      <c r="M307" s="41" t="s">
        <v>98</v>
      </c>
      <c r="N307" s="41" t="n">
        <v>505.4</v>
      </c>
      <c r="O307" s="41" t="n">
        <v>4.761904762</v>
      </c>
      <c r="P307" s="41" t="n">
        <v>25.27</v>
      </c>
      <c r="Q307" s="41" t="n">
        <v>4.3</v>
      </c>
    </row>
    <row r="308" customFormat="false" ht="15" hidden="false" customHeight="false" outlineLevel="0" collapsed="false">
      <c r="A308" s="41" t="s">
        <v>486</v>
      </c>
      <c r="B308" s="41" t="s">
        <v>178</v>
      </c>
      <c r="C308" s="41" t="s">
        <v>85</v>
      </c>
      <c r="D308" s="41" t="s">
        <v>105</v>
      </c>
      <c r="E308" s="41" t="s">
        <v>102</v>
      </c>
      <c r="F308" s="41" t="s">
        <v>77</v>
      </c>
      <c r="G308" s="41" t="n">
        <v>40.23</v>
      </c>
      <c r="H308" s="41" t="n">
        <v>7</v>
      </c>
      <c r="I308" s="41" t="n">
        <v>14.0805</v>
      </c>
      <c r="J308" s="41" t="n">
        <v>295.6905</v>
      </c>
      <c r="K308" s="41" t="s">
        <v>1399</v>
      </c>
      <c r="L308" s="41" t="s">
        <v>1340</v>
      </c>
      <c r="M308" s="41" t="s">
        <v>97</v>
      </c>
      <c r="N308" s="41" t="n">
        <v>281.61</v>
      </c>
      <c r="O308" s="41" t="n">
        <v>4.761904762</v>
      </c>
      <c r="P308" s="41" t="n">
        <v>14.0805</v>
      </c>
      <c r="Q308" s="41" t="n">
        <v>9.6</v>
      </c>
    </row>
    <row r="309" customFormat="false" ht="15" hidden="false" customHeight="false" outlineLevel="0" collapsed="false">
      <c r="A309" s="41" t="s">
        <v>487</v>
      </c>
      <c r="B309" s="41" t="s">
        <v>178</v>
      </c>
      <c r="C309" s="41" t="s">
        <v>85</v>
      </c>
      <c r="D309" s="41" t="s">
        <v>104</v>
      </c>
      <c r="E309" s="41" t="s">
        <v>102</v>
      </c>
      <c r="F309" s="41" t="s">
        <v>80</v>
      </c>
      <c r="G309" s="41" t="n">
        <v>88.79</v>
      </c>
      <c r="H309" s="41" t="n">
        <v>8</v>
      </c>
      <c r="I309" s="41" t="n">
        <v>35.516</v>
      </c>
      <c r="J309" s="41" t="n">
        <v>745.836</v>
      </c>
      <c r="K309" s="41" t="s">
        <v>1231</v>
      </c>
      <c r="L309" s="41" t="s">
        <v>1523</v>
      </c>
      <c r="M309" s="41" t="s">
        <v>97</v>
      </c>
      <c r="N309" s="41" t="n">
        <v>710.32</v>
      </c>
      <c r="O309" s="41" t="n">
        <v>4.761904762</v>
      </c>
      <c r="P309" s="41" t="n">
        <v>35.516</v>
      </c>
      <c r="Q309" s="41" t="n">
        <v>4.1</v>
      </c>
    </row>
    <row r="310" customFormat="false" ht="15" hidden="false" customHeight="false" outlineLevel="0" collapsed="false">
      <c r="A310" s="41" t="s">
        <v>488</v>
      </c>
      <c r="B310" s="41" t="s">
        <v>178</v>
      </c>
      <c r="C310" s="41" t="s">
        <v>85</v>
      </c>
      <c r="D310" s="41" t="s">
        <v>104</v>
      </c>
      <c r="E310" s="41" t="s">
        <v>102</v>
      </c>
      <c r="F310" s="41" t="s">
        <v>78</v>
      </c>
      <c r="G310" s="41" t="n">
        <v>26.48</v>
      </c>
      <c r="H310" s="41" t="n">
        <v>3</v>
      </c>
      <c r="I310" s="41" t="n">
        <v>3.972</v>
      </c>
      <c r="J310" s="41" t="n">
        <v>83.412</v>
      </c>
      <c r="K310" s="41" t="s">
        <v>1416</v>
      </c>
      <c r="L310" s="41" t="s">
        <v>1228</v>
      </c>
      <c r="M310" s="41" t="s">
        <v>98</v>
      </c>
      <c r="N310" s="41" t="n">
        <v>79.44</v>
      </c>
      <c r="O310" s="41" t="n">
        <v>4.761904762</v>
      </c>
      <c r="P310" s="41" t="n">
        <v>3.972</v>
      </c>
      <c r="Q310" s="41" t="n">
        <v>4.7</v>
      </c>
    </row>
    <row r="311" customFormat="false" ht="15" hidden="false" customHeight="false" outlineLevel="0" collapsed="false">
      <c r="A311" s="41" t="s">
        <v>489</v>
      </c>
      <c r="B311" s="41" t="s">
        <v>178</v>
      </c>
      <c r="C311" s="41" t="s">
        <v>85</v>
      </c>
      <c r="D311" s="41" t="s">
        <v>105</v>
      </c>
      <c r="E311" s="41" t="s">
        <v>102</v>
      </c>
      <c r="F311" s="41" t="s">
        <v>79</v>
      </c>
      <c r="G311" s="41" t="n">
        <v>81.91</v>
      </c>
      <c r="H311" s="41" t="n">
        <v>2</v>
      </c>
      <c r="I311" s="41" t="n">
        <v>8.191</v>
      </c>
      <c r="J311" s="41" t="n">
        <v>172.011</v>
      </c>
      <c r="K311" s="41" t="s">
        <v>1227</v>
      </c>
      <c r="L311" s="41" t="s">
        <v>1524</v>
      </c>
      <c r="M311" s="41" t="s">
        <v>97</v>
      </c>
      <c r="N311" s="41" t="n">
        <v>163.82</v>
      </c>
      <c r="O311" s="41" t="n">
        <v>4.761904762</v>
      </c>
      <c r="P311" s="41" t="n">
        <v>8.191</v>
      </c>
      <c r="Q311" s="41" t="n">
        <v>7.8</v>
      </c>
    </row>
    <row r="312" customFormat="false" ht="15" hidden="false" customHeight="false" outlineLevel="0" collapsed="false">
      <c r="A312" s="41" t="s">
        <v>490</v>
      </c>
      <c r="B312" s="41" t="s">
        <v>189</v>
      </c>
      <c r="C312" s="41" t="s">
        <v>86</v>
      </c>
      <c r="D312" s="41" t="s">
        <v>104</v>
      </c>
      <c r="E312" s="41" t="s">
        <v>103</v>
      </c>
      <c r="F312" s="41" t="s">
        <v>77</v>
      </c>
      <c r="G312" s="41" t="n">
        <v>79.93</v>
      </c>
      <c r="H312" s="41" t="n">
        <v>6</v>
      </c>
      <c r="I312" s="41" t="n">
        <v>23.979</v>
      </c>
      <c r="J312" s="41" t="n">
        <v>503.559</v>
      </c>
      <c r="K312" s="41" t="s">
        <v>1454</v>
      </c>
      <c r="L312" s="41" t="s">
        <v>1482</v>
      </c>
      <c r="M312" s="41" t="s">
        <v>97</v>
      </c>
      <c r="N312" s="41" t="n">
        <v>479.58</v>
      </c>
      <c r="O312" s="41" t="n">
        <v>4.761904762</v>
      </c>
      <c r="P312" s="41" t="n">
        <v>23.979</v>
      </c>
      <c r="Q312" s="41" t="n">
        <v>5.5</v>
      </c>
    </row>
    <row r="313" customFormat="false" ht="15" hidden="false" customHeight="false" outlineLevel="0" collapsed="false">
      <c r="A313" s="41" t="s">
        <v>491</v>
      </c>
      <c r="B313" s="41" t="s">
        <v>180</v>
      </c>
      <c r="C313" s="41" t="s">
        <v>87</v>
      </c>
      <c r="D313" s="41" t="s">
        <v>104</v>
      </c>
      <c r="E313" s="41" t="s">
        <v>103</v>
      </c>
      <c r="F313" s="41" t="s">
        <v>79</v>
      </c>
      <c r="G313" s="41" t="n">
        <v>69.33</v>
      </c>
      <c r="H313" s="41" t="n">
        <v>2</v>
      </c>
      <c r="I313" s="41" t="n">
        <v>6.933</v>
      </c>
      <c r="J313" s="41" t="n">
        <v>145.593</v>
      </c>
      <c r="K313" s="41" t="s">
        <v>1352</v>
      </c>
      <c r="L313" s="41" t="s">
        <v>1525</v>
      </c>
      <c r="M313" s="41" t="s">
        <v>98</v>
      </c>
      <c r="N313" s="41" t="n">
        <v>138.66</v>
      </c>
      <c r="O313" s="41" t="n">
        <v>4.761904762</v>
      </c>
      <c r="P313" s="41" t="n">
        <v>6.933</v>
      </c>
      <c r="Q313" s="41" t="n">
        <v>9.7</v>
      </c>
    </row>
    <row r="314" customFormat="false" ht="15" hidden="false" customHeight="false" outlineLevel="0" collapsed="false">
      <c r="A314" s="41" t="s">
        <v>492</v>
      </c>
      <c r="B314" s="41" t="s">
        <v>178</v>
      </c>
      <c r="C314" s="41" t="s">
        <v>85</v>
      </c>
      <c r="D314" s="41" t="s">
        <v>104</v>
      </c>
      <c r="E314" s="41" t="s">
        <v>102</v>
      </c>
      <c r="F314" s="41" t="s">
        <v>76</v>
      </c>
      <c r="G314" s="41" t="n">
        <v>14.23</v>
      </c>
      <c r="H314" s="41" t="n">
        <v>5</v>
      </c>
      <c r="I314" s="41" t="n">
        <v>3.5575</v>
      </c>
      <c r="J314" s="41" t="n">
        <v>74.7075</v>
      </c>
      <c r="K314" s="41" t="s">
        <v>1341</v>
      </c>
      <c r="L314" s="41" t="s">
        <v>1526</v>
      </c>
      <c r="M314" s="41" t="s">
        <v>99</v>
      </c>
      <c r="N314" s="41" t="n">
        <v>71.15</v>
      </c>
      <c r="O314" s="41" t="n">
        <v>4.761904762</v>
      </c>
      <c r="P314" s="41" t="n">
        <v>3.5575</v>
      </c>
      <c r="Q314" s="41" t="n">
        <v>4.4</v>
      </c>
    </row>
    <row r="315" customFormat="false" ht="15" hidden="false" customHeight="false" outlineLevel="0" collapsed="false">
      <c r="A315" s="41" t="s">
        <v>493</v>
      </c>
      <c r="B315" s="41" t="s">
        <v>178</v>
      </c>
      <c r="C315" s="41" t="s">
        <v>85</v>
      </c>
      <c r="D315" s="41" t="s">
        <v>104</v>
      </c>
      <c r="E315" s="41" t="s">
        <v>102</v>
      </c>
      <c r="F315" s="41" t="s">
        <v>81</v>
      </c>
      <c r="G315" s="41" t="n">
        <v>15.55</v>
      </c>
      <c r="H315" s="41" t="n">
        <v>9</v>
      </c>
      <c r="I315" s="41" t="n">
        <v>6.9975</v>
      </c>
      <c r="J315" s="41" t="n">
        <v>146.9475</v>
      </c>
      <c r="K315" s="41" t="s">
        <v>1277</v>
      </c>
      <c r="L315" s="41" t="s">
        <v>1527</v>
      </c>
      <c r="M315" s="41" t="s">
        <v>97</v>
      </c>
      <c r="N315" s="41" t="n">
        <v>139.95</v>
      </c>
      <c r="O315" s="41" t="n">
        <v>4.761904762</v>
      </c>
      <c r="P315" s="41" t="n">
        <v>6.9975</v>
      </c>
      <c r="Q315" s="41" t="n">
        <v>5</v>
      </c>
    </row>
    <row r="316" customFormat="false" ht="15" hidden="false" customHeight="false" outlineLevel="0" collapsed="false">
      <c r="A316" s="41" t="s">
        <v>494</v>
      </c>
      <c r="B316" s="41" t="s">
        <v>180</v>
      </c>
      <c r="C316" s="41" t="s">
        <v>87</v>
      </c>
      <c r="D316" s="41" t="s">
        <v>104</v>
      </c>
      <c r="E316" s="41" t="s">
        <v>102</v>
      </c>
      <c r="F316" s="41" t="s">
        <v>78</v>
      </c>
      <c r="G316" s="41" t="n">
        <v>78.13</v>
      </c>
      <c r="H316" s="41" t="n">
        <v>10</v>
      </c>
      <c r="I316" s="41" t="n">
        <v>39.065</v>
      </c>
      <c r="J316" s="41" t="n">
        <v>820.365</v>
      </c>
      <c r="K316" s="41" t="s">
        <v>1268</v>
      </c>
      <c r="L316" s="41" t="s">
        <v>1528</v>
      </c>
      <c r="M316" s="41" t="s">
        <v>97</v>
      </c>
      <c r="N316" s="41" t="n">
        <v>781.3</v>
      </c>
      <c r="O316" s="41" t="n">
        <v>4.761904762</v>
      </c>
      <c r="P316" s="41" t="n">
        <v>39.065</v>
      </c>
      <c r="Q316" s="41" t="n">
        <v>4.4</v>
      </c>
    </row>
    <row r="317" customFormat="false" ht="15" hidden="false" customHeight="false" outlineLevel="0" collapsed="false">
      <c r="A317" s="41" t="s">
        <v>495</v>
      </c>
      <c r="B317" s="41" t="s">
        <v>180</v>
      </c>
      <c r="C317" s="41" t="s">
        <v>87</v>
      </c>
      <c r="D317" s="41" t="s">
        <v>104</v>
      </c>
      <c r="E317" s="41" t="s">
        <v>103</v>
      </c>
      <c r="F317" s="41" t="s">
        <v>76</v>
      </c>
      <c r="G317" s="41" t="n">
        <v>99.37</v>
      </c>
      <c r="H317" s="41" t="n">
        <v>2</v>
      </c>
      <c r="I317" s="41" t="n">
        <v>9.937</v>
      </c>
      <c r="J317" s="41" t="n">
        <v>208.677</v>
      </c>
      <c r="K317" s="41" t="s">
        <v>1294</v>
      </c>
      <c r="L317" s="41" t="s">
        <v>1529</v>
      </c>
      <c r="M317" s="41" t="s">
        <v>97</v>
      </c>
      <c r="N317" s="41" t="n">
        <v>198.74</v>
      </c>
      <c r="O317" s="41" t="n">
        <v>4.761904762</v>
      </c>
      <c r="P317" s="41" t="n">
        <v>9.937</v>
      </c>
      <c r="Q317" s="41" t="n">
        <v>5.2</v>
      </c>
    </row>
    <row r="318" customFormat="false" ht="15" hidden="false" customHeight="false" outlineLevel="0" collapsed="false">
      <c r="A318" s="41" t="s">
        <v>496</v>
      </c>
      <c r="B318" s="41" t="s">
        <v>180</v>
      </c>
      <c r="C318" s="41" t="s">
        <v>87</v>
      </c>
      <c r="D318" s="41" t="s">
        <v>104</v>
      </c>
      <c r="E318" s="41" t="s">
        <v>102</v>
      </c>
      <c r="F318" s="41" t="s">
        <v>76</v>
      </c>
      <c r="G318" s="41" t="n">
        <v>21.08</v>
      </c>
      <c r="H318" s="41" t="n">
        <v>3</v>
      </c>
      <c r="I318" s="41" t="n">
        <v>3.162</v>
      </c>
      <c r="J318" s="41" t="n">
        <v>66.402</v>
      </c>
      <c r="K318" s="41" t="s">
        <v>1334</v>
      </c>
      <c r="L318" s="41" t="s">
        <v>1213</v>
      </c>
      <c r="M318" s="41" t="s">
        <v>97</v>
      </c>
      <c r="N318" s="41" t="n">
        <v>63.24</v>
      </c>
      <c r="O318" s="41" t="n">
        <v>4.761904762</v>
      </c>
      <c r="P318" s="41" t="n">
        <v>3.162</v>
      </c>
      <c r="Q318" s="41" t="n">
        <v>7.3</v>
      </c>
    </row>
    <row r="319" customFormat="false" ht="15" hidden="false" customHeight="false" outlineLevel="0" collapsed="false">
      <c r="A319" s="41" t="s">
        <v>497</v>
      </c>
      <c r="B319" s="41" t="s">
        <v>180</v>
      </c>
      <c r="C319" s="41" t="s">
        <v>87</v>
      </c>
      <c r="D319" s="41" t="s">
        <v>104</v>
      </c>
      <c r="E319" s="41" t="s">
        <v>103</v>
      </c>
      <c r="F319" s="41" t="s">
        <v>78</v>
      </c>
      <c r="G319" s="41" t="n">
        <v>74.79</v>
      </c>
      <c r="H319" s="41" t="n">
        <v>5</v>
      </c>
      <c r="I319" s="41" t="n">
        <v>18.6975</v>
      </c>
      <c r="J319" s="41" t="n">
        <v>392.6475</v>
      </c>
      <c r="K319" s="41" t="s">
        <v>1204</v>
      </c>
      <c r="L319" s="41" t="s">
        <v>1530</v>
      </c>
      <c r="M319" s="41" t="s">
        <v>97</v>
      </c>
      <c r="N319" s="41" t="n">
        <v>373.95</v>
      </c>
      <c r="O319" s="41" t="n">
        <v>4.761904762</v>
      </c>
      <c r="P319" s="41" t="n">
        <v>18.6975</v>
      </c>
      <c r="Q319" s="41" t="n">
        <v>4.9</v>
      </c>
    </row>
    <row r="320" customFormat="false" ht="15" hidden="false" customHeight="false" outlineLevel="0" collapsed="false">
      <c r="A320" s="41" t="s">
        <v>498</v>
      </c>
      <c r="B320" s="41" t="s">
        <v>180</v>
      </c>
      <c r="C320" s="41" t="s">
        <v>87</v>
      </c>
      <c r="D320" s="41" t="s">
        <v>104</v>
      </c>
      <c r="E320" s="41" t="s">
        <v>102</v>
      </c>
      <c r="F320" s="41" t="s">
        <v>81</v>
      </c>
      <c r="G320" s="41" t="n">
        <v>29.67</v>
      </c>
      <c r="H320" s="41" t="n">
        <v>7</v>
      </c>
      <c r="I320" s="41" t="n">
        <v>10.3845</v>
      </c>
      <c r="J320" s="41" t="n">
        <v>218.0745</v>
      </c>
      <c r="K320" s="41" t="s">
        <v>1220</v>
      </c>
      <c r="L320" s="41" t="s">
        <v>1531</v>
      </c>
      <c r="M320" s="41" t="s">
        <v>99</v>
      </c>
      <c r="N320" s="41" t="n">
        <v>207.69</v>
      </c>
      <c r="O320" s="41" t="n">
        <v>4.761904762</v>
      </c>
      <c r="P320" s="41" t="n">
        <v>10.3845</v>
      </c>
      <c r="Q320" s="41" t="n">
        <v>8.1</v>
      </c>
    </row>
    <row r="321" customFormat="false" ht="15" hidden="false" customHeight="false" outlineLevel="0" collapsed="false">
      <c r="A321" s="41" t="s">
        <v>499</v>
      </c>
      <c r="B321" s="41" t="s">
        <v>180</v>
      </c>
      <c r="C321" s="41" t="s">
        <v>87</v>
      </c>
      <c r="D321" s="41" t="s">
        <v>104</v>
      </c>
      <c r="E321" s="41" t="s">
        <v>103</v>
      </c>
      <c r="F321" s="41" t="s">
        <v>81</v>
      </c>
      <c r="G321" s="41" t="n">
        <v>44.07</v>
      </c>
      <c r="H321" s="41" t="n">
        <v>4</v>
      </c>
      <c r="I321" s="41" t="n">
        <v>8.814</v>
      </c>
      <c r="J321" s="41" t="n">
        <v>185.094</v>
      </c>
      <c r="K321" s="41" t="s">
        <v>1377</v>
      </c>
      <c r="L321" s="41" t="s">
        <v>1504</v>
      </c>
      <c r="M321" s="41" t="s">
        <v>98</v>
      </c>
      <c r="N321" s="41" t="n">
        <v>176.28</v>
      </c>
      <c r="O321" s="41" t="n">
        <v>4.761904762</v>
      </c>
      <c r="P321" s="41" t="n">
        <v>8.814</v>
      </c>
      <c r="Q321" s="41" t="n">
        <v>8.4</v>
      </c>
    </row>
    <row r="322" customFormat="false" ht="15" hidden="false" customHeight="false" outlineLevel="0" collapsed="false">
      <c r="A322" s="41" t="s">
        <v>500</v>
      </c>
      <c r="B322" s="41" t="s">
        <v>180</v>
      </c>
      <c r="C322" s="41" t="s">
        <v>87</v>
      </c>
      <c r="D322" s="41" t="s">
        <v>105</v>
      </c>
      <c r="E322" s="41" t="s">
        <v>102</v>
      </c>
      <c r="F322" s="41" t="s">
        <v>76</v>
      </c>
      <c r="G322" s="41" t="n">
        <v>22.93</v>
      </c>
      <c r="H322" s="41" t="n">
        <v>9</v>
      </c>
      <c r="I322" s="41" t="n">
        <v>10.3185</v>
      </c>
      <c r="J322" s="41" t="n">
        <v>216.6885</v>
      </c>
      <c r="K322" s="41" t="s">
        <v>1463</v>
      </c>
      <c r="L322" s="41" t="s">
        <v>1532</v>
      </c>
      <c r="M322" s="41" t="s">
        <v>97</v>
      </c>
      <c r="N322" s="41" t="n">
        <v>206.37</v>
      </c>
      <c r="O322" s="41" t="n">
        <v>4.761904762</v>
      </c>
      <c r="P322" s="41" t="n">
        <v>10.3185</v>
      </c>
      <c r="Q322" s="41" t="n">
        <v>5.5</v>
      </c>
    </row>
    <row r="323" customFormat="false" ht="15" hidden="false" customHeight="false" outlineLevel="0" collapsed="false">
      <c r="A323" s="41" t="s">
        <v>501</v>
      </c>
      <c r="B323" s="41" t="s">
        <v>180</v>
      </c>
      <c r="C323" s="41" t="s">
        <v>87</v>
      </c>
      <c r="D323" s="41" t="s">
        <v>105</v>
      </c>
      <c r="E323" s="41" t="s">
        <v>102</v>
      </c>
      <c r="F323" s="41" t="s">
        <v>81</v>
      </c>
      <c r="G323" s="41" t="n">
        <v>39.42</v>
      </c>
      <c r="H323" s="41" t="n">
        <v>1</v>
      </c>
      <c r="I323" s="41" t="n">
        <v>1.971</v>
      </c>
      <c r="J323" s="41" t="n">
        <v>41.391</v>
      </c>
      <c r="K323" s="41" t="s">
        <v>1378</v>
      </c>
      <c r="L323" s="41" t="s">
        <v>1533</v>
      </c>
      <c r="M323" s="41" t="s">
        <v>97</v>
      </c>
      <c r="N323" s="41" t="n">
        <v>39.42</v>
      </c>
      <c r="O323" s="41" t="n">
        <v>4.761904762</v>
      </c>
      <c r="P323" s="41" t="n">
        <v>1.971</v>
      </c>
      <c r="Q323" s="41" t="n">
        <v>8.4</v>
      </c>
    </row>
    <row r="324" customFormat="false" ht="15" hidden="false" customHeight="false" outlineLevel="0" collapsed="false">
      <c r="A324" s="41" t="s">
        <v>502</v>
      </c>
      <c r="B324" s="41" t="s">
        <v>178</v>
      </c>
      <c r="C324" s="41" t="s">
        <v>85</v>
      </c>
      <c r="D324" s="41" t="s">
        <v>105</v>
      </c>
      <c r="E324" s="41" t="s">
        <v>103</v>
      </c>
      <c r="F324" s="41" t="s">
        <v>81</v>
      </c>
      <c r="G324" s="41" t="n">
        <v>15.26</v>
      </c>
      <c r="H324" s="41" t="n">
        <v>6</v>
      </c>
      <c r="I324" s="41" t="n">
        <v>4.578</v>
      </c>
      <c r="J324" s="41" t="n">
        <v>96.138</v>
      </c>
      <c r="K324" s="41" t="s">
        <v>1288</v>
      </c>
      <c r="L324" s="41" t="s">
        <v>1433</v>
      </c>
      <c r="M324" s="41" t="s">
        <v>98</v>
      </c>
      <c r="N324" s="41" t="n">
        <v>91.56</v>
      </c>
      <c r="O324" s="41" t="n">
        <v>4.761904762</v>
      </c>
      <c r="P324" s="41" t="n">
        <v>4.578</v>
      </c>
      <c r="Q324" s="41" t="n">
        <v>9.8</v>
      </c>
    </row>
    <row r="325" customFormat="false" ht="15" hidden="false" customHeight="false" outlineLevel="0" collapsed="false">
      <c r="A325" s="41" t="s">
        <v>503</v>
      </c>
      <c r="B325" s="41" t="s">
        <v>178</v>
      </c>
      <c r="C325" s="41" t="s">
        <v>85</v>
      </c>
      <c r="D325" s="41" t="s">
        <v>105</v>
      </c>
      <c r="E325" s="41" t="s">
        <v>102</v>
      </c>
      <c r="F325" s="41" t="s">
        <v>79</v>
      </c>
      <c r="G325" s="41" t="n">
        <v>61.77</v>
      </c>
      <c r="H325" s="41" t="n">
        <v>5</v>
      </c>
      <c r="I325" s="41" t="n">
        <v>15.4425</v>
      </c>
      <c r="J325" s="41" t="n">
        <v>324.2925</v>
      </c>
      <c r="K325" s="41" t="s">
        <v>1190</v>
      </c>
      <c r="L325" s="41" t="s">
        <v>1534</v>
      </c>
      <c r="M325" s="41" t="s">
        <v>97</v>
      </c>
      <c r="N325" s="41" t="n">
        <v>308.85</v>
      </c>
      <c r="O325" s="41" t="n">
        <v>4.761904762</v>
      </c>
      <c r="P325" s="41" t="n">
        <v>15.4425</v>
      </c>
      <c r="Q325" s="41" t="n">
        <v>6.7</v>
      </c>
    </row>
    <row r="326" customFormat="false" ht="15" hidden="false" customHeight="false" outlineLevel="0" collapsed="false">
      <c r="A326" s="41" t="s">
        <v>504</v>
      </c>
      <c r="B326" s="41" t="s">
        <v>178</v>
      </c>
      <c r="C326" s="41" t="s">
        <v>85</v>
      </c>
      <c r="D326" s="41" t="s">
        <v>105</v>
      </c>
      <c r="E326" s="41" t="s">
        <v>103</v>
      </c>
      <c r="F326" s="41" t="s">
        <v>80</v>
      </c>
      <c r="G326" s="41" t="n">
        <v>21.52</v>
      </c>
      <c r="H326" s="41" t="n">
        <v>6</v>
      </c>
      <c r="I326" s="41" t="n">
        <v>6.456</v>
      </c>
      <c r="J326" s="41" t="n">
        <v>135.576</v>
      </c>
      <c r="K326" s="41" t="s">
        <v>1256</v>
      </c>
      <c r="L326" s="41" t="s">
        <v>1535</v>
      </c>
      <c r="M326" s="41" t="s">
        <v>99</v>
      </c>
      <c r="N326" s="41" t="n">
        <v>129.12</v>
      </c>
      <c r="O326" s="41" t="n">
        <v>4.761904762</v>
      </c>
      <c r="P326" s="41" t="n">
        <v>6.456</v>
      </c>
      <c r="Q326" s="41" t="n">
        <v>9.4</v>
      </c>
    </row>
    <row r="327" customFormat="false" ht="15" hidden="false" customHeight="false" outlineLevel="0" collapsed="false">
      <c r="A327" s="41" t="s">
        <v>505</v>
      </c>
      <c r="B327" s="41" t="s">
        <v>189</v>
      </c>
      <c r="C327" s="41" t="s">
        <v>86</v>
      </c>
      <c r="D327" s="41" t="s">
        <v>105</v>
      </c>
      <c r="E327" s="41" t="s">
        <v>103</v>
      </c>
      <c r="F327" s="41" t="s">
        <v>77</v>
      </c>
      <c r="G327" s="41" t="n">
        <v>97.74</v>
      </c>
      <c r="H327" s="41" t="n">
        <v>4</v>
      </c>
      <c r="I327" s="41" t="n">
        <v>19.548</v>
      </c>
      <c r="J327" s="41" t="n">
        <v>410.508</v>
      </c>
      <c r="K327" s="41" t="s">
        <v>1286</v>
      </c>
      <c r="L327" s="41" t="s">
        <v>1536</v>
      </c>
      <c r="M327" s="41" t="s">
        <v>98</v>
      </c>
      <c r="N327" s="41" t="n">
        <v>390.96</v>
      </c>
      <c r="O327" s="41" t="n">
        <v>4.761904762</v>
      </c>
      <c r="P327" s="41" t="n">
        <v>19.548</v>
      </c>
      <c r="Q327" s="41" t="n">
        <v>6.4</v>
      </c>
    </row>
    <row r="328" customFormat="false" ht="15" hidden="false" customHeight="false" outlineLevel="0" collapsed="false">
      <c r="A328" s="41" t="s">
        <v>506</v>
      </c>
      <c r="B328" s="41" t="s">
        <v>178</v>
      </c>
      <c r="C328" s="41" t="s">
        <v>85</v>
      </c>
      <c r="D328" s="41" t="s">
        <v>104</v>
      </c>
      <c r="E328" s="41" t="s">
        <v>103</v>
      </c>
      <c r="F328" s="41" t="s">
        <v>76</v>
      </c>
      <c r="G328" s="41" t="n">
        <v>99.78</v>
      </c>
      <c r="H328" s="41" t="n">
        <v>5</v>
      </c>
      <c r="I328" s="41" t="n">
        <v>24.945</v>
      </c>
      <c r="J328" s="41" t="n">
        <v>523.845</v>
      </c>
      <c r="K328" s="41" t="s">
        <v>1210</v>
      </c>
      <c r="L328" s="41" t="s">
        <v>1537</v>
      </c>
      <c r="M328" s="41" t="s">
        <v>97</v>
      </c>
      <c r="N328" s="41" t="n">
        <v>498.9</v>
      </c>
      <c r="O328" s="41" t="n">
        <v>4.761904762</v>
      </c>
      <c r="P328" s="41" t="n">
        <v>24.945</v>
      </c>
      <c r="Q328" s="41" t="n">
        <v>5.4</v>
      </c>
    </row>
    <row r="329" customFormat="false" ht="15" hidden="false" customHeight="false" outlineLevel="0" collapsed="false">
      <c r="A329" s="41" t="s">
        <v>507</v>
      </c>
      <c r="B329" s="41" t="s">
        <v>180</v>
      </c>
      <c r="C329" s="41" t="s">
        <v>87</v>
      </c>
      <c r="D329" s="41" t="s">
        <v>104</v>
      </c>
      <c r="E329" s="41" t="s">
        <v>103</v>
      </c>
      <c r="F329" s="41" t="s">
        <v>76</v>
      </c>
      <c r="G329" s="41" t="n">
        <v>94.26</v>
      </c>
      <c r="H329" s="41" t="n">
        <v>4</v>
      </c>
      <c r="I329" s="41" t="n">
        <v>18.852</v>
      </c>
      <c r="J329" s="41" t="n">
        <v>395.892</v>
      </c>
      <c r="K329" s="41" t="s">
        <v>1286</v>
      </c>
      <c r="L329" s="41" t="s">
        <v>1538</v>
      </c>
      <c r="M329" s="41" t="s">
        <v>97</v>
      </c>
      <c r="N329" s="41" t="n">
        <v>377.04</v>
      </c>
      <c r="O329" s="41" t="n">
        <v>4.761904762</v>
      </c>
      <c r="P329" s="41" t="n">
        <v>18.852</v>
      </c>
      <c r="Q329" s="41" t="n">
        <v>8.6</v>
      </c>
    </row>
    <row r="330" customFormat="false" ht="15" hidden="false" customHeight="false" outlineLevel="0" collapsed="false">
      <c r="A330" s="41" t="s">
        <v>508</v>
      </c>
      <c r="B330" s="41" t="s">
        <v>189</v>
      </c>
      <c r="C330" s="41" t="s">
        <v>86</v>
      </c>
      <c r="D330" s="41" t="s">
        <v>104</v>
      </c>
      <c r="E330" s="41" t="s">
        <v>103</v>
      </c>
      <c r="F330" s="41" t="s">
        <v>81</v>
      </c>
      <c r="G330" s="41" t="n">
        <v>51.13</v>
      </c>
      <c r="H330" s="41" t="n">
        <v>4</v>
      </c>
      <c r="I330" s="41" t="n">
        <v>10.226</v>
      </c>
      <c r="J330" s="41" t="n">
        <v>214.746</v>
      </c>
      <c r="K330" s="41" t="s">
        <v>1240</v>
      </c>
      <c r="L330" s="41" t="s">
        <v>1259</v>
      </c>
      <c r="M330" s="41" t="s">
        <v>99</v>
      </c>
      <c r="N330" s="41" t="n">
        <v>204.52</v>
      </c>
      <c r="O330" s="41" t="n">
        <v>4.761904762</v>
      </c>
      <c r="P330" s="41" t="n">
        <v>10.226</v>
      </c>
      <c r="Q330" s="41" t="n">
        <v>4</v>
      </c>
    </row>
    <row r="331" customFormat="false" ht="15" hidden="false" customHeight="false" outlineLevel="0" collapsed="false">
      <c r="A331" s="41" t="s">
        <v>509</v>
      </c>
      <c r="B331" s="41" t="s">
        <v>178</v>
      </c>
      <c r="C331" s="41" t="s">
        <v>85</v>
      </c>
      <c r="D331" s="41" t="s">
        <v>104</v>
      </c>
      <c r="E331" s="41" t="s">
        <v>103</v>
      </c>
      <c r="F331" s="41" t="s">
        <v>78</v>
      </c>
      <c r="G331" s="41" t="n">
        <v>36.36</v>
      </c>
      <c r="H331" s="41" t="n">
        <v>4</v>
      </c>
      <c r="I331" s="41" t="n">
        <v>7.272</v>
      </c>
      <c r="J331" s="41" t="n">
        <v>152.712</v>
      </c>
      <c r="K331" s="41" t="s">
        <v>1198</v>
      </c>
      <c r="L331" s="41" t="s">
        <v>1539</v>
      </c>
      <c r="M331" s="41" t="s">
        <v>97</v>
      </c>
      <c r="N331" s="41" t="n">
        <v>145.44</v>
      </c>
      <c r="O331" s="41" t="n">
        <v>4.761904762</v>
      </c>
      <c r="P331" s="41" t="n">
        <v>7.272</v>
      </c>
      <c r="Q331" s="41" t="n">
        <v>7.6</v>
      </c>
    </row>
    <row r="332" customFormat="false" ht="15" hidden="false" customHeight="false" outlineLevel="0" collapsed="false">
      <c r="A332" s="41" t="s">
        <v>510</v>
      </c>
      <c r="B332" s="41" t="s">
        <v>189</v>
      </c>
      <c r="C332" s="41" t="s">
        <v>86</v>
      </c>
      <c r="D332" s="41" t="s">
        <v>105</v>
      </c>
      <c r="E332" s="41" t="s">
        <v>103</v>
      </c>
      <c r="F332" s="41" t="s">
        <v>80</v>
      </c>
      <c r="G332" s="41" t="n">
        <v>22.02</v>
      </c>
      <c r="H332" s="41" t="n">
        <v>9</v>
      </c>
      <c r="I332" s="41" t="n">
        <v>9.909</v>
      </c>
      <c r="J332" s="41" t="n">
        <v>208.089</v>
      </c>
      <c r="K332" s="41" t="s">
        <v>1214</v>
      </c>
      <c r="L332" s="41" t="s">
        <v>1540</v>
      </c>
      <c r="M332" s="41" t="s">
        <v>97</v>
      </c>
      <c r="N332" s="41" t="n">
        <v>198.18</v>
      </c>
      <c r="O332" s="41" t="n">
        <v>4.761904762</v>
      </c>
      <c r="P332" s="41" t="n">
        <v>9.909</v>
      </c>
      <c r="Q332" s="41" t="n">
        <v>6.8</v>
      </c>
    </row>
    <row r="333" customFormat="false" ht="15" hidden="false" customHeight="false" outlineLevel="0" collapsed="false">
      <c r="A333" s="41" t="s">
        <v>511</v>
      </c>
      <c r="B333" s="41" t="s">
        <v>178</v>
      </c>
      <c r="C333" s="41" t="s">
        <v>85</v>
      </c>
      <c r="D333" s="41" t="s">
        <v>105</v>
      </c>
      <c r="E333" s="41" t="s">
        <v>103</v>
      </c>
      <c r="F333" s="41" t="s">
        <v>76</v>
      </c>
      <c r="G333" s="41" t="n">
        <v>32.9</v>
      </c>
      <c r="H333" s="41" t="n">
        <v>3</v>
      </c>
      <c r="I333" s="41" t="n">
        <v>4.935</v>
      </c>
      <c r="J333" s="41" t="n">
        <v>103.635</v>
      </c>
      <c r="K333" s="41" t="s">
        <v>1231</v>
      </c>
      <c r="L333" s="41" t="s">
        <v>1541</v>
      </c>
      <c r="M333" s="41" t="s">
        <v>99</v>
      </c>
      <c r="N333" s="41" t="n">
        <v>98.7</v>
      </c>
      <c r="O333" s="41" t="n">
        <v>4.761904762</v>
      </c>
      <c r="P333" s="41" t="n">
        <v>4.935</v>
      </c>
      <c r="Q333" s="41" t="n">
        <v>9.1</v>
      </c>
    </row>
    <row r="334" customFormat="false" ht="15" hidden="false" customHeight="false" outlineLevel="0" collapsed="false">
      <c r="A334" s="41" t="s">
        <v>512</v>
      </c>
      <c r="B334" s="41" t="s">
        <v>178</v>
      </c>
      <c r="C334" s="41" t="s">
        <v>85</v>
      </c>
      <c r="D334" s="41" t="s">
        <v>105</v>
      </c>
      <c r="E334" s="41" t="s">
        <v>103</v>
      </c>
      <c r="F334" s="41" t="s">
        <v>79</v>
      </c>
      <c r="G334" s="41" t="n">
        <v>77.02</v>
      </c>
      <c r="H334" s="41" t="n">
        <v>5</v>
      </c>
      <c r="I334" s="41" t="n">
        <v>19.255</v>
      </c>
      <c r="J334" s="41" t="n">
        <v>404.355</v>
      </c>
      <c r="K334" s="41" t="s">
        <v>1272</v>
      </c>
      <c r="L334" s="41" t="s">
        <v>1542</v>
      </c>
      <c r="M334" s="41" t="s">
        <v>97</v>
      </c>
      <c r="N334" s="41" t="n">
        <v>385.1</v>
      </c>
      <c r="O334" s="41" t="n">
        <v>4.761904762</v>
      </c>
      <c r="P334" s="41" t="n">
        <v>19.255</v>
      </c>
      <c r="Q334" s="41" t="n">
        <v>5.5</v>
      </c>
    </row>
    <row r="335" customFormat="false" ht="15" hidden="false" customHeight="false" outlineLevel="0" collapsed="false">
      <c r="A335" s="41" t="s">
        <v>513</v>
      </c>
      <c r="B335" s="41" t="s">
        <v>178</v>
      </c>
      <c r="C335" s="41" t="s">
        <v>85</v>
      </c>
      <c r="D335" s="41" t="s">
        <v>104</v>
      </c>
      <c r="E335" s="41" t="s">
        <v>103</v>
      </c>
      <c r="F335" s="41" t="s">
        <v>76</v>
      </c>
      <c r="G335" s="41" t="n">
        <v>23.48</v>
      </c>
      <c r="H335" s="41" t="n">
        <v>2</v>
      </c>
      <c r="I335" s="41" t="n">
        <v>2.348</v>
      </c>
      <c r="J335" s="41" t="n">
        <v>49.308</v>
      </c>
      <c r="K335" s="41" t="s">
        <v>1494</v>
      </c>
      <c r="L335" s="41" t="s">
        <v>1543</v>
      </c>
      <c r="M335" s="41" t="s">
        <v>99</v>
      </c>
      <c r="N335" s="41" t="n">
        <v>46.96</v>
      </c>
      <c r="O335" s="41" t="n">
        <v>4.761904762</v>
      </c>
      <c r="P335" s="41" t="n">
        <v>2.348</v>
      </c>
      <c r="Q335" s="41" t="n">
        <v>7.9</v>
      </c>
    </row>
    <row r="336" customFormat="false" ht="15" hidden="false" customHeight="false" outlineLevel="0" collapsed="false">
      <c r="A336" s="41" t="s">
        <v>514</v>
      </c>
      <c r="B336" s="41" t="s">
        <v>180</v>
      </c>
      <c r="C336" s="41" t="s">
        <v>87</v>
      </c>
      <c r="D336" s="41" t="s">
        <v>104</v>
      </c>
      <c r="E336" s="41" t="s">
        <v>103</v>
      </c>
      <c r="F336" s="41" t="s">
        <v>77</v>
      </c>
      <c r="G336" s="41" t="n">
        <v>14.7</v>
      </c>
      <c r="H336" s="41" t="n">
        <v>5</v>
      </c>
      <c r="I336" s="41" t="n">
        <v>3.675</v>
      </c>
      <c r="J336" s="41" t="n">
        <v>77.175</v>
      </c>
      <c r="K336" s="41" t="s">
        <v>1349</v>
      </c>
      <c r="L336" s="41" t="s">
        <v>1384</v>
      </c>
      <c r="M336" s="41" t="s">
        <v>98</v>
      </c>
      <c r="N336" s="41" t="n">
        <v>73.5</v>
      </c>
      <c r="O336" s="41" t="n">
        <v>4.761904762</v>
      </c>
      <c r="P336" s="41" t="n">
        <v>3.675</v>
      </c>
      <c r="Q336" s="41" t="n">
        <v>8.5</v>
      </c>
    </row>
    <row r="337" customFormat="false" ht="15" hidden="false" customHeight="false" outlineLevel="0" collapsed="false">
      <c r="A337" s="41" t="s">
        <v>515</v>
      </c>
      <c r="B337" s="41" t="s">
        <v>178</v>
      </c>
      <c r="C337" s="41" t="s">
        <v>85</v>
      </c>
      <c r="D337" s="41" t="s">
        <v>104</v>
      </c>
      <c r="E337" s="41" t="s">
        <v>102</v>
      </c>
      <c r="F337" s="41" t="s">
        <v>78</v>
      </c>
      <c r="G337" s="41" t="n">
        <v>28.45</v>
      </c>
      <c r="H337" s="41" t="n">
        <v>5</v>
      </c>
      <c r="I337" s="41" t="n">
        <v>7.1125</v>
      </c>
      <c r="J337" s="41" t="n">
        <v>149.3625</v>
      </c>
      <c r="K337" s="41" t="s">
        <v>1416</v>
      </c>
      <c r="L337" s="41" t="s">
        <v>1322</v>
      </c>
      <c r="M337" s="41" t="s">
        <v>99</v>
      </c>
      <c r="N337" s="41" t="n">
        <v>142.25</v>
      </c>
      <c r="O337" s="41" t="n">
        <v>4.761904762</v>
      </c>
      <c r="P337" s="41" t="n">
        <v>7.1125</v>
      </c>
      <c r="Q337" s="41" t="n">
        <v>9.1</v>
      </c>
    </row>
    <row r="338" customFormat="false" ht="15" hidden="false" customHeight="false" outlineLevel="0" collapsed="false">
      <c r="A338" s="41" t="s">
        <v>516</v>
      </c>
      <c r="B338" s="41" t="s">
        <v>178</v>
      </c>
      <c r="C338" s="41" t="s">
        <v>85</v>
      </c>
      <c r="D338" s="41" t="s">
        <v>105</v>
      </c>
      <c r="E338" s="41" t="s">
        <v>103</v>
      </c>
      <c r="F338" s="41" t="s">
        <v>79</v>
      </c>
      <c r="G338" s="41" t="n">
        <v>76.4</v>
      </c>
      <c r="H338" s="41" t="n">
        <v>9</v>
      </c>
      <c r="I338" s="41" t="n">
        <v>34.38</v>
      </c>
      <c r="J338" s="41" t="n">
        <v>721.98</v>
      </c>
      <c r="K338" s="41" t="s">
        <v>1270</v>
      </c>
      <c r="L338" s="41" t="s">
        <v>1544</v>
      </c>
      <c r="M338" s="41" t="s">
        <v>98</v>
      </c>
      <c r="N338" s="41" t="n">
        <v>687.6</v>
      </c>
      <c r="O338" s="41" t="n">
        <v>4.761904762</v>
      </c>
      <c r="P338" s="41" t="n">
        <v>34.38</v>
      </c>
      <c r="Q338" s="41" t="n">
        <v>7.5</v>
      </c>
    </row>
    <row r="339" customFormat="false" ht="15" hidden="false" customHeight="false" outlineLevel="0" collapsed="false">
      <c r="A339" s="41" t="s">
        <v>517</v>
      </c>
      <c r="B339" s="41" t="s">
        <v>189</v>
      </c>
      <c r="C339" s="41" t="s">
        <v>86</v>
      </c>
      <c r="D339" s="41" t="s">
        <v>105</v>
      </c>
      <c r="E339" s="41" t="s">
        <v>102</v>
      </c>
      <c r="F339" s="41" t="s">
        <v>77</v>
      </c>
      <c r="G339" s="41" t="n">
        <v>57.95</v>
      </c>
      <c r="H339" s="41" t="n">
        <v>6</v>
      </c>
      <c r="I339" s="41" t="n">
        <v>17.385</v>
      </c>
      <c r="J339" s="41" t="n">
        <v>365.085</v>
      </c>
      <c r="K339" s="41" t="s">
        <v>1202</v>
      </c>
      <c r="L339" s="41" t="s">
        <v>1545</v>
      </c>
      <c r="M339" s="41" t="s">
        <v>97</v>
      </c>
      <c r="N339" s="41" t="n">
        <v>347.7</v>
      </c>
      <c r="O339" s="41" t="n">
        <v>4.761904762</v>
      </c>
      <c r="P339" s="41" t="n">
        <v>17.385</v>
      </c>
      <c r="Q339" s="41" t="n">
        <v>5.2</v>
      </c>
    </row>
    <row r="340" customFormat="false" ht="15" hidden="false" customHeight="false" outlineLevel="0" collapsed="false">
      <c r="A340" s="41" t="s">
        <v>518</v>
      </c>
      <c r="B340" s="41" t="s">
        <v>180</v>
      </c>
      <c r="C340" s="41" t="s">
        <v>87</v>
      </c>
      <c r="D340" s="41" t="s">
        <v>105</v>
      </c>
      <c r="E340" s="41" t="s">
        <v>102</v>
      </c>
      <c r="F340" s="41" t="s">
        <v>78</v>
      </c>
      <c r="G340" s="41" t="n">
        <v>47.65</v>
      </c>
      <c r="H340" s="41" t="n">
        <v>3</v>
      </c>
      <c r="I340" s="41" t="n">
        <v>7.1475</v>
      </c>
      <c r="J340" s="41" t="n">
        <v>150.0975</v>
      </c>
      <c r="K340" s="41" t="s">
        <v>1343</v>
      </c>
      <c r="L340" s="41" t="s">
        <v>1452</v>
      </c>
      <c r="M340" s="41" t="s">
        <v>99</v>
      </c>
      <c r="N340" s="41" t="n">
        <v>142.95</v>
      </c>
      <c r="O340" s="41" t="n">
        <v>4.761904762</v>
      </c>
      <c r="P340" s="41" t="n">
        <v>7.1475</v>
      </c>
      <c r="Q340" s="41" t="n">
        <v>9.5</v>
      </c>
    </row>
    <row r="341" customFormat="false" ht="15" hidden="false" customHeight="false" outlineLevel="0" collapsed="false">
      <c r="A341" s="41" t="s">
        <v>519</v>
      </c>
      <c r="B341" s="41" t="s">
        <v>189</v>
      </c>
      <c r="C341" s="41" t="s">
        <v>86</v>
      </c>
      <c r="D341" s="41" t="s">
        <v>104</v>
      </c>
      <c r="E341" s="41" t="s">
        <v>102</v>
      </c>
      <c r="F341" s="41" t="s">
        <v>76</v>
      </c>
      <c r="G341" s="41" t="n">
        <v>42.82</v>
      </c>
      <c r="H341" s="41" t="n">
        <v>9</v>
      </c>
      <c r="I341" s="41" t="n">
        <v>19.269</v>
      </c>
      <c r="J341" s="41" t="n">
        <v>404.649</v>
      </c>
      <c r="K341" s="41" t="s">
        <v>1352</v>
      </c>
      <c r="L341" s="41" t="s">
        <v>1361</v>
      </c>
      <c r="M341" s="41" t="s">
        <v>99</v>
      </c>
      <c r="N341" s="41" t="n">
        <v>385.38</v>
      </c>
      <c r="O341" s="41" t="n">
        <v>4.761904762</v>
      </c>
      <c r="P341" s="41" t="n">
        <v>19.269</v>
      </c>
      <c r="Q341" s="41" t="n">
        <v>8.9</v>
      </c>
    </row>
    <row r="342" customFormat="false" ht="15" hidden="false" customHeight="false" outlineLevel="0" collapsed="false">
      <c r="A342" s="41" t="s">
        <v>520</v>
      </c>
      <c r="B342" s="41" t="s">
        <v>189</v>
      </c>
      <c r="C342" s="41" t="s">
        <v>86</v>
      </c>
      <c r="D342" s="41" t="s">
        <v>104</v>
      </c>
      <c r="E342" s="41" t="s">
        <v>103</v>
      </c>
      <c r="F342" s="41" t="s">
        <v>78</v>
      </c>
      <c r="G342" s="41" t="n">
        <v>48.09</v>
      </c>
      <c r="H342" s="41" t="n">
        <v>3</v>
      </c>
      <c r="I342" s="41" t="n">
        <v>7.2135</v>
      </c>
      <c r="J342" s="41" t="n">
        <v>151.4835</v>
      </c>
      <c r="K342" s="41" t="s">
        <v>1268</v>
      </c>
      <c r="L342" s="41" t="s">
        <v>1394</v>
      </c>
      <c r="M342" s="41" t="s">
        <v>99</v>
      </c>
      <c r="N342" s="41" t="n">
        <v>144.27</v>
      </c>
      <c r="O342" s="41" t="n">
        <v>4.761904762</v>
      </c>
      <c r="P342" s="41" t="n">
        <v>7.2135</v>
      </c>
      <c r="Q342" s="41" t="n">
        <v>7.8</v>
      </c>
    </row>
    <row r="343" customFormat="false" ht="15" hidden="false" customHeight="false" outlineLevel="0" collapsed="false">
      <c r="A343" s="41" t="s">
        <v>521</v>
      </c>
      <c r="B343" s="41" t="s">
        <v>189</v>
      </c>
      <c r="C343" s="41" t="s">
        <v>86</v>
      </c>
      <c r="D343" s="41" t="s">
        <v>104</v>
      </c>
      <c r="E343" s="41" t="s">
        <v>102</v>
      </c>
      <c r="F343" s="41" t="s">
        <v>81</v>
      </c>
      <c r="G343" s="41" t="n">
        <v>55.97</v>
      </c>
      <c r="H343" s="41" t="n">
        <v>7</v>
      </c>
      <c r="I343" s="41" t="n">
        <v>19.5895</v>
      </c>
      <c r="J343" s="41" t="n">
        <v>411.3795</v>
      </c>
      <c r="K343" s="41" t="s">
        <v>1227</v>
      </c>
      <c r="L343" s="41" t="s">
        <v>1484</v>
      </c>
      <c r="M343" s="41" t="s">
        <v>98</v>
      </c>
      <c r="N343" s="41" t="n">
        <v>391.79</v>
      </c>
      <c r="O343" s="41" t="n">
        <v>4.761904762</v>
      </c>
      <c r="P343" s="41" t="n">
        <v>19.5895</v>
      </c>
      <c r="Q343" s="41" t="n">
        <v>8.9</v>
      </c>
    </row>
    <row r="344" customFormat="false" ht="15" hidden="false" customHeight="false" outlineLevel="0" collapsed="false">
      <c r="A344" s="41" t="s">
        <v>522</v>
      </c>
      <c r="B344" s="41" t="s">
        <v>189</v>
      </c>
      <c r="C344" s="41" t="s">
        <v>86</v>
      </c>
      <c r="D344" s="41" t="s">
        <v>104</v>
      </c>
      <c r="E344" s="41" t="s">
        <v>102</v>
      </c>
      <c r="F344" s="41" t="s">
        <v>81</v>
      </c>
      <c r="G344" s="41" t="n">
        <v>76.9</v>
      </c>
      <c r="H344" s="41" t="n">
        <v>7</v>
      </c>
      <c r="I344" s="41" t="n">
        <v>26.915</v>
      </c>
      <c r="J344" s="41" t="n">
        <v>565.215</v>
      </c>
      <c r="K344" s="41" t="s">
        <v>1288</v>
      </c>
      <c r="L344" s="41" t="s">
        <v>1546</v>
      </c>
      <c r="M344" s="41" t="s">
        <v>97</v>
      </c>
      <c r="N344" s="41" t="n">
        <v>538.3</v>
      </c>
      <c r="O344" s="41" t="n">
        <v>4.761904762</v>
      </c>
      <c r="P344" s="41" t="n">
        <v>26.915</v>
      </c>
      <c r="Q344" s="41" t="n">
        <v>7.7</v>
      </c>
    </row>
    <row r="345" customFormat="false" ht="15" hidden="false" customHeight="false" outlineLevel="0" collapsed="false">
      <c r="A345" s="41" t="s">
        <v>523</v>
      </c>
      <c r="B345" s="41" t="s">
        <v>180</v>
      </c>
      <c r="C345" s="41" t="s">
        <v>87</v>
      </c>
      <c r="D345" s="41" t="s">
        <v>105</v>
      </c>
      <c r="E345" s="41" t="s">
        <v>102</v>
      </c>
      <c r="F345" s="41" t="s">
        <v>76</v>
      </c>
      <c r="G345" s="41" t="n">
        <v>97.03</v>
      </c>
      <c r="H345" s="41" t="n">
        <v>5</v>
      </c>
      <c r="I345" s="41" t="n">
        <v>24.2575</v>
      </c>
      <c r="J345" s="41" t="n">
        <v>509.4075</v>
      </c>
      <c r="K345" s="41" t="s">
        <v>1404</v>
      </c>
      <c r="L345" s="41" t="s">
        <v>1315</v>
      </c>
      <c r="M345" s="41" t="s">
        <v>98</v>
      </c>
      <c r="N345" s="41" t="n">
        <v>485.15</v>
      </c>
      <c r="O345" s="41" t="n">
        <v>4.761904762</v>
      </c>
      <c r="P345" s="41" t="n">
        <v>24.2575</v>
      </c>
      <c r="Q345" s="41" t="n">
        <v>9.3</v>
      </c>
    </row>
    <row r="346" customFormat="false" ht="15" hidden="false" customHeight="false" outlineLevel="0" collapsed="false">
      <c r="A346" s="41" t="s">
        <v>524</v>
      </c>
      <c r="B346" s="41" t="s">
        <v>178</v>
      </c>
      <c r="C346" s="41" t="s">
        <v>85</v>
      </c>
      <c r="D346" s="41" t="s">
        <v>105</v>
      </c>
      <c r="E346" s="41" t="s">
        <v>103</v>
      </c>
      <c r="F346" s="41" t="s">
        <v>77</v>
      </c>
      <c r="G346" s="41" t="n">
        <v>44.65</v>
      </c>
      <c r="H346" s="41" t="n">
        <v>3</v>
      </c>
      <c r="I346" s="41" t="n">
        <v>6.6975</v>
      </c>
      <c r="J346" s="41" t="n">
        <v>140.6475</v>
      </c>
      <c r="K346" s="41" t="s">
        <v>1294</v>
      </c>
      <c r="L346" s="41" t="s">
        <v>1547</v>
      </c>
      <c r="M346" s="41" t="s">
        <v>97</v>
      </c>
      <c r="N346" s="41" t="n">
        <v>133.95</v>
      </c>
      <c r="O346" s="41" t="n">
        <v>4.761904762</v>
      </c>
      <c r="P346" s="41" t="n">
        <v>6.6975</v>
      </c>
      <c r="Q346" s="41" t="n">
        <v>6.2</v>
      </c>
    </row>
    <row r="347" customFormat="false" ht="15" hidden="false" customHeight="false" outlineLevel="0" collapsed="false">
      <c r="A347" s="41" t="s">
        <v>525</v>
      </c>
      <c r="B347" s="41" t="s">
        <v>178</v>
      </c>
      <c r="C347" s="41" t="s">
        <v>85</v>
      </c>
      <c r="D347" s="41" t="s">
        <v>105</v>
      </c>
      <c r="E347" s="41" t="s">
        <v>102</v>
      </c>
      <c r="F347" s="41" t="s">
        <v>79</v>
      </c>
      <c r="G347" s="41" t="n">
        <v>77.93</v>
      </c>
      <c r="H347" s="41" t="n">
        <v>9</v>
      </c>
      <c r="I347" s="41" t="n">
        <v>35.0685</v>
      </c>
      <c r="J347" s="41" t="n">
        <v>736.4385</v>
      </c>
      <c r="K347" s="41" t="s">
        <v>1265</v>
      </c>
      <c r="L347" s="41" t="s">
        <v>1548</v>
      </c>
      <c r="M347" s="41" t="s">
        <v>98</v>
      </c>
      <c r="N347" s="41" t="n">
        <v>701.37</v>
      </c>
      <c r="O347" s="41" t="n">
        <v>4.761904762</v>
      </c>
      <c r="P347" s="41" t="n">
        <v>35.0685</v>
      </c>
      <c r="Q347" s="41" t="n">
        <v>7.6</v>
      </c>
    </row>
    <row r="348" customFormat="false" ht="15" hidden="false" customHeight="false" outlineLevel="0" collapsed="false">
      <c r="A348" s="41" t="s">
        <v>526</v>
      </c>
      <c r="B348" s="41" t="s">
        <v>178</v>
      </c>
      <c r="C348" s="41" t="s">
        <v>85</v>
      </c>
      <c r="D348" s="41" t="s">
        <v>104</v>
      </c>
      <c r="E348" s="41" t="s">
        <v>103</v>
      </c>
      <c r="F348" s="41" t="s">
        <v>78</v>
      </c>
      <c r="G348" s="41" t="n">
        <v>71.95</v>
      </c>
      <c r="H348" s="41" t="n">
        <v>1</v>
      </c>
      <c r="I348" s="41" t="n">
        <v>3.5975</v>
      </c>
      <c r="J348" s="41" t="n">
        <v>75.5475</v>
      </c>
      <c r="K348" s="41" t="s">
        <v>1549</v>
      </c>
      <c r="L348" s="41" t="s">
        <v>1550</v>
      </c>
      <c r="M348" s="41" t="s">
        <v>97</v>
      </c>
      <c r="N348" s="41" t="n">
        <v>71.95</v>
      </c>
      <c r="O348" s="41" t="n">
        <v>4.761904762</v>
      </c>
      <c r="P348" s="41" t="n">
        <v>3.5975</v>
      </c>
      <c r="Q348" s="41" t="n">
        <v>7.3</v>
      </c>
    </row>
    <row r="349" customFormat="false" ht="15" hidden="false" customHeight="false" outlineLevel="0" collapsed="false">
      <c r="A349" s="41" t="s">
        <v>527</v>
      </c>
      <c r="B349" s="41" t="s">
        <v>180</v>
      </c>
      <c r="C349" s="41" t="s">
        <v>87</v>
      </c>
      <c r="D349" s="41" t="s">
        <v>104</v>
      </c>
      <c r="E349" s="41" t="s">
        <v>102</v>
      </c>
      <c r="F349" s="41" t="s">
        <v>80</v>
      </c>
      <c r="G349" s="41" t="n">
        <v>89.25</v>
      </c>
      <c r="H349" s="41" t="n">
        <v>8</v>
      </c>
      <c r="I349" s="41" t="n">
        <v>35.7</v>
      </c>
      <c r="J349" s="41" t="n">
        <v>749.7</v>
      </c>
      <c r="K349" s="41" t="s">
        <v>1284</v>
      </c>
      <c r="L349" s="41" t="s">
        <v>1434</v>
      </c>
      <c r="M349" s="41" t="s">
        <v>97</v>
      </c>
      <c r="N349" s="41" t="n">
        <v>714</v>
      </c>
      <c r="O349" s="41" t="n">
        <v>4.761904762</v>
      </c>
      <c r="P349" s="41" t="n">
        <v>35.7</v>
      </c>
      <c r="Q349" s="41" t="n">
        <v>4.7</v>
      </c>
    </row>
    <row r="350" customFormat="false" ht="15" hidden="false" customHeight="false" outlineLevel="0" collapsed="false">
      <c r="A350" s="41" t="s">
        <v>528</v>
      </c>
      <c r="B350" s="41" t="s">
        <v>178</v>
      </c>
      <c r="C350" s="41" t="s">
        <v>85</v>
      </c>
      <c r="D350" s="41" t="s">
        <v>105</v>
      </c>
      <c r="E350" s="41" t="s">
        <v>103</v>
      </c>
      <c r="F350" s="41" t="s">
        <v>78</v>
      </c>
      <c r="G350" s="41" t="n">
        <v>26.02</v>
      </c>
      <c r="H350" s="41" t="n">
        <v>7</v>
      </c>
      <c r="I350" s="41" t="n">
        <v>9.107</v>
      </c>
      <c r="J350" s="41" t="n">
        <v>191.247</v>
      </c>
      <c r="K350" s="41" t="s">
        <v>1343</v>
      </c>
      <c r="L350" s="41" t="s">
        <v>1443</v>
      </c>
      <c r="M350" s="41" t="s">
        <v>97</v>
      </c>
      <c r="N350" s="41" t="n">
        <v>182.14</v>
      </c>
      <c r="O350" s="41" t="n">
        <v>4.761904762</v>
      </c>
      <c r="P350" s="41" t="n">
        <v>9.107</v>
      </c>
      <c r="Q350" s="41" t="n">
        <v>5.1</v>
      </c>
    </row>
    <row r="351" customFormat="false" ht="15" hidden="false" customHeight="false" outlineLevel="0" collapsed="false">
      <c r="A351" s="41" t="s">
        <v>529</v>
      </c>
      <c r="B351" s="41" t="s">
        <v>189</v>
      </c>
      <c r="C351" s="41" t="s">
        <v>86</v>
      </c>
      <c r="D351" s="41" t="s">
        <v>105</v>
      </c>
      <c r="E351" s="41" t="s">
        <v>102</v>
      </c>
      <c r="F351" s="41" t="s">
        <v>81</v>
      </c>
      <c r="G351" s="41" t="n">
        <v>13.5</v>
      </c>
      <c r="H351" s="41" t="n">
        <v>10</v>
      </c>
      <c r="I351" s="41" t="n">
        <v>6.75</v>
      </c>
      <c r="J351" s="41" t="n">
        <v>141.75</v>
      </c>
      <c r="K351" s="41" t="s">
        <v>1265</v>
      </c>
      <c r="L351" s="41" t="s">
        <v>1551</v>
      </c>
      <c r="M351" s="41" t="s">
        <v>99</v>
      </c>
      <c r="N351" s="41" t="n">
        <v>135</v>
      </c>
      <c r="O351" s="41" t="n">
        <v>4.761904762</v>
      </c>
      <c r="P351" s="41" t="n">
        <v>6.75</v>
      </c>
      <c r="Q351" s="41" t="n">
        <v>4.8</v>
      </c>
    </row>
    <row r="352" customFormat="false" ht="15" hidden="false" customHeight="false" outlineLevel="0" collapsed="false">
      <c r="A352" s="41" t="s">
        <v>530</v>
      </c>
      <c r="B352" s="41" t="s">
        <v>180</v>
      </c>
      <c r="C352" s="41" t="s">
        <v>87</v>
      </c>
      <c r="D352" s="41" t="s">
        <v>104</v>
      </c>
      <c r="E352" s="41" t="s">
        <v>102</v>
      </c>
      <c r="F352" s="41" t="s">
        <v>79</v>
      </c>
      <c r="G352" s="41" t="n">
        <v>99.3</v>
      </c>
      <c r="H352" s="41" t="n">
        <v>10</v>
      </c>
      <c r="I352" s="41" t="n">
        <v>49.65</v>
      </c>
      <c r="J352" s="41" t="n">
        <v>1042.65</v>
      </c>
      <c r="K352" s="41" t="s">
        <v>1288</v>
      </c>
      <c r="L352" s="41" t="s">
        <v>1491</v>
      </c>
      <c r="M352" s="41" t="s">
        <v>99</v>
      </c>
      <c r="N352" s="41" t="n">
        <v>993</v>
      </c>
      <c r="O352" s="41" t="n">
        <v>4.761904762</v>
      </c>
      <c r="P352" s="41" t="n">
        <v>49.65</v>
      </c>
      <c r="Q352" s="41" t="n">
        <v>6.6</v>
      </c>
    </row>
    <row r="353" customFormat="false" ht="15" hidden="false" customHeight="false" outlineLevel="0" collapsed="false">
      <c r="A353" s="41" t="s">
        <v>531</v>
      </c>
      <c r="B353" s="41" t="s">
        <v>178</v>
      </c>
      <c r="C353" s="41" t="s">
        <v>85</v>
      </c>
      <c r="D353" s="41" t="s">
        <v>105</v>
      </c>
      <c r="E353" s="41" t="s">
        <v>103</v>
      </c>
      <c r="F353" s="41" t="s">
        <v>78</v>
      </c>
      <c r="G353" s="41" t="n">
        <v>51.69</v>
      </c>
      <c r="H353" s="41" t="n">
        <v>7</v>
      </c>
      <c r="I353" s="41" t="n">
        <v>18.0915</v>
      </c>
      <c r="J353" s="41" t="n">
        <v>379.9215</v>
      </c>
      <c r="K353" s="41" t="s">
        <v>1317</v>
      </c>
      <c r="L353" s="41" t="s">
        <v>1552</v>
      </c>
      <c r="M353" s="41" t="s">
        <v>97</v>
      </c>
      <c r="N353" s="41" t="n">
        <v>361.83</v>
      </c>
      <c r="O353" s="41" t="n">
        <v>4.761904762</v>
      </c>
      <c r="P353" s="41" t="n">
        <v>18.0915</v>
      </c>
      <c r="Q353" s="41" t="n">
        <v>5.5</v>
      </c>
    </row>
    <row r="354" customFormat="false" ht="15" hidden="false" customHeight="false" outlineLevel="0" collapsed="false">
      <c r="A354" s="41" t="s">
        <v>532</v>
      </c>
      <c r="B354" s="41" t="s">
        <v>189</v>
      </c>
      <c r="C354" s="41" t="s">
        <v>86</v>
      </c>
      <c r="D354" s="41" t="s">
        <v>104</v>
      </c>
      <c r="E354" s="41" t="s">
        <v>102</v>
      </c>
      <c r="F354" s="41" t="s">
        <v>79</v>
      </c>
      <c r="G354" s="41" t="n">
        <v>54.73</v>
      </c>
      <c r="H354" s="41" t="n">
        <v>7</v>
      </c>
      <c r="I354" s="41" t="n">
        <v>19.1555</v>
      </c>
      <c r="J354" s="41" t="n">
        <v>402.2655</v>
      </c>
      <c r="K354" s="41" t="s">
        <v>1494</v>
      </c>
      <c r="L354" s="41" t="s">
        <v>1553</v>
      </c>
      <c r="M354" s="41" t="s">
        <v>99</v>
      </c>
      <c r="N354" s="41" t="n">
        <v>383.11</v>
      </c>
      <c r="O354" s="41" t="n">
        <v>4.761904762</v>
      </c>
      <c r="P354" s="41" t="n">
        <v>19.1555</v>
      </c>
      <c r="Q354" s="41" t="n">
        <v>8.5</v>
      </c>
    </row>
    <row r="355" customFormat="false" ht="15" hidden="false" customHeight="false" outlineLevel="0" collapsed="false">
      <c r="A355" s="41" t="s">
        <v>533</v>
      </c>
      <c r="B355" s="41" t="s">
        <v>189</v>
      </c>
      <c r="C355" s="41" t="s">
        <v>86</v>
      </c>
      <c r="D355" s="41" t="s">
        <v>104</v>
      </c>
      <c r="E355" s="41" t="s">
        <v>103</v>
      </c>
      <c r="F355" s="41" t="s">
        <v>80</v>
      </c>
      <c r="G355" s="41" t="n">
        <v>27</v>
      </c>
      <c r="H355" s="41" t="n">
        <v>9</v>
      </c>
      <c r="I355" s="41" t="n">
        <v>12.15</v>
      </c>
      <c r="J355" s="41" t="n">
        <v>255.15</v>
      </c>
      <c r="K355" s="41" t="s">
        <v>1233</v>
      </c>
      <c r="L355" s="41" t="s">
        <v>1518</v>
      </c>
      <c r="M355" s="41" t="s">
        <v>97</v>
      </c>
      <c r="N355" s="41" t="n">
        <v>243</v>
      </c>
      <c r="O355" s="41" t="n">
        <v>4.761904762</v>
      </c>
      <c r="P355" s="41" t="n">
        <v>12.15</v>
      </c>
      <c r="Q355" s="41" t="n">
        <v>4.8</v>
      </c>
    </row>
    <row r="356" customFormat="false" ht="15" hidden="false" customHeight="false" outlineLevel="0" collapsed="false">
      <c r="A356" s="41" t="s">
        <v>534</v>
      </c>
      <c r="B356" s="41" t="s">
        <v>180</v>
      </c>
      <c r="C356" s="41" t="s">
        <v>87</v>
      </c>
      <c r="D356" s="41" t="s">
        <v>105</v>
      </c>
      <c r="E356" s="41" t="s">
        <v>102</v>
      </c>
      <c r="F356" s="41" t="s">
        <v>78</v>
      </c>
      <c r="G356" s="41" t="n">
        <v>30.24</v>
      </c>
      <c r="H356" s="41" t="n">
        <v>1</v>
      </c>
      <c r="I356" s="41" t="n">
        <v>1.512</v>
      </c>
      <c r="J356" s="41" t="n">
        <v>31.752</v>
      </c>
      <c r="K356" s="41" t="s">
        <v>1261</v>
      </c>
      <c r="L356" s="41" t="s">
        <v>1554</v>
      </c>
      <c r="M356" s="41" t="s">
        <v>97</v>
      </c>
      <c r="N356" s="41" t="n">
        <v>30.24</v>
      </c>
      <c r="O356" s="41" t="n">
        <v>4.761904762</v>
      </c>
      <c r="P356" s="41" t="n">
        <v>1.512</v>
      </c>
      <c r="Q356" s="41" t="n">
        <v>8.4</v>
      </c>
    </row>
    <row r="357" customFormat="false" ht="15" hidden="false" customHeight="false" outlineLevel="0" collapsed="false">
      <c r="A357" s="41" t="s">
        <v>535</v>
      </c>
      <c r="B357" s="41" t="s">
        <v>189</v>
      </c>
      <c r="C357" s="41" t="s">
        <v>86</v>
      </c>
      <c r="D357" s="41" t="s">
        <v>104</v>
      </c>
      <c r="E357" s="41" t="s">
        <v>102</v>
      </c>
      <c r="F357" s="41" t="s">
        <v>76</v>
      </c>
      <c r="G357" s="41" t="n">
        <v>89.14</v>
      </c>
      <c r="H357" s="41" t="n">
        <v>4</v>
      </c>
      <c r="I357" s="41" t="n">
        <v>17.828</v>
      </c>
      <c r="J357" s="41" t="n">
        <v>374.388</v>
      </c>
      <c r="K357" s="41" t="s">
        <v>1249</v>
      </c>
      <c r="L357" s="41" t="s">
        <v>1230</v>
      </c>
      <c r="M357" s="41" t="s">
        <v>99</v>
      </c>
      <c r="N357" s="41" t="n">
        <v>356.56</v>
      </c>
      <c r="O357" s="41" t="n">
        <v>4.761904762</v>
      </c>
      <c r="P357" s="41" t="n">
        <v>17.828</v>
      </c>
      <c r="Q357" s="41" t="n">
        <v>7.8</v>
      </c>
    </row>
    <row r="358" customFormat="false" ht="15" hidden="false" customHeight="false" outlineLevel="0" collapsed="false">
      <c r="A358" s="41" t="s">
        <v>536</v>
      </c>
      <c r="B358" s="41" t="s">
        <v>180</v>
      </c>
      <c r="C358" s="41" t="s">
        <v>87</v>
      </c>
      <c r="D358" s="41" t="s">
        <v>105</v>
      </c>
      <c r="E358" s="41" t="s">
        <v>102</v>
      </c>
      <c r="F358" s="41" t="s">
        <v>79</v>
      </c>
      <c r="G358" s="41" t="n">
        <v>37.55</v>
      </c>
      <c r="H358" s="41" t="n">
        <v>10</v>
      </c>
      <c r="I358" s="41" t="n">
        <v>18.775</v>
      </c>
      <c r="J358" s="41" t="n">
        <v>394.275</v>
      </c>
      <c r="K358" s="41" t="s">
        <v>1190</v>
      </c>
      <c r="L358" s="41" t="s">
        <v>1555</v>
      </c>
      <c r="M358" s="41" t="s">
        <v>99</v>
      </c>
      <c r="N358" s="41" t="n">
        <v>375.5</v>
      </c>
      <c r="O358" s="41" t="n">
        <v>4.761904762</v>
      </c>
      <c r="P358" s="41" t="n">
        <v>18.775</v>
      </c>
      <c r="Q358" s="41" t="n">
        <v>9.3</v>
      </c>
    </row>
    <row r="359" customFormat="false" ht="15" hidden="false" customHeight="false" outlineLevel="0" collapsed="false">
      <c r="A359" s="41" t="s">
        <v>537</v>
      </c>
      <c r="B359" s="41" t="s">
        <v>180</v>
      </c>
      <c r="C359" s="41" t="s">
        <v>87</v>
      </c>
      <c r="D359" s="41" t="s">
        <v>105</v>
      </c>
      <c r="E359" s="41" t="s">
        <v>102</v>
      </c>
      <c r="F359" s="41" t="s">
        <v>77</v>
      </c>
      <c r="G359" s="41" t="n">
        <v>95.44</v>
      </c>
      <c r="H359" s="41" t="n">
        <v>10</v>
      </c>
      <c r="I359" s="41" t="n">
        <v>47.72</v>
      </c>
      <c r="J359" s="41" t="n">
        <v>1002.12</v>
      </c>
      <c r="K359" s="41" t="s">
        <v>1311</v>
      </c>
      <c r="L359" s="41" t="s">
        <v>1556</v>
      </c>
      <c r="M359" s="41" t="s">
        <v>97</v>
      </c>
      <c r="N359" s="41" t="n">
        <v>954.4</v>
      </c>
      <c r="O359" s="41" t="n">
        <v>4.761904762</v>
      </c>
      <c r="P359" s="41" t="n">
        <v>47.72</v>
      </c>
      <c r="Q359" s="41" t="n">
        <v>5.2</v>
      </c>
    </row>
    <row r="360" customFormat="false" ht="15" hidden="false" customHeight="false" outlineLevel="0" collapsed="false">
      <c r="A360" s="41" t="s">
        <v>538</v>
      </c>
      <c r="B360" s="41" t="s">
        <v>189</v>
      </c>
      <c r="C360" s="41" t="s">
        <v>86</v>
      </c>
      <c r="D360" s="41" t="s">
        <v>105</v>
      </c>
      <c r="E360" s="41" t="s">
        <v>103</v>
      </c>
      <c r="F360" s="41" t="s">
        <v>78</v>
      </c>
      <c r="G360" s="41" t="n">
        <v>27.5</v>
      </c>
      <c r="H360" s="41" t="n">
        <v>3</v>
      </c>
      <c r="I360" s="41" t="n">
        <v>4.125</v>
      </c>
      <c r="J360" s="41" t="n">
        <v>86.625</v>
      </c>
      <c r="K360" s="41" t="s">
        <v>1339</v>
      </c>
      <c r="L360" s="41" t="s">
        <v>1557</v>
      </c>
      <c r="M360" s="41" t="s">
        <v>98</v>
      </c>
      <c r="N360" s="41" t="n">
        <v>82.5</v>
      </c>
      <c r="O360" s="41" t="n">
        <v>4.761904762</v>
      </c>
      <c r="P360" s="41" t="n">
        <v>4.125</v>
      </c>
      <c r="Q360" s="41" t="n">
        <v>6.5</v>
      </c>
    </row>
    <row r="361" customFormat="false" ht="15" hidden="false" customHeight="false" outlineLevel="0" collapsed="false">
      <c r="A361" s="41" t="s">
        <v>539</v>
      </c>
      <c r="B361" s="41" t="s">
        <v>189</v>
      </c>
      <c r="C361" s="41" t="s">
        <v>86</v>
      </c>
      <c r="D361" s="41" t="s">
        <v>105</v>
      </c>
      <c r="E361" s="41" t="s">
        <v>103</v>
      </c>
      <c r="F361" s="41" t="s">
        <v>77</v>
      </c>
      <c r="G361" s="41" t="n">
        <v>74.97</v>
      </c>
      <c r="H361" s="41" t="n">
        <v>1</v>
      </c>
      <c r="I361" s="41" t="n">
        <v>3.7485</v>
      </c>
      <c r="J361" s="41" t="n">
        <v>78.7185</v>
      </c>
      <c r="K361" s="41" t="s">
        <v>1263</v>
      </c>
      <c r="L361" s="41" t="s">
        <v>1558</v>
      </c>
      <c r="M361" s="41" t="s">
        <v>97</v>
      </c>
      <c r="N361" s="41" t="n">
        <v>74.97</v>
      </c>
      <c r="O361" s="41" t="n">
        <v>4.761904762</v>
      </c>
      <c r="P361" s="41" t="n">
        <v>3.7485</v>
      </c>
      <c r="Q361" s="41" t="n">
        <v>5.6</v>
      </c>
    </row>
    <row r="362" customFormat="false" ht="15" hidden="false" customHeight="false" outlineLevel="0" collapsed="false">
      <c r="A362" s="41" t="s">
        <v>540</v>
      </c>
      <c r="B362" s="41" t="s">
        <v>178</v>
      </c>
      <c r="C362" s="41" t="s">
        <v>85</v>
      </c>
      <c r="D362" s="41" t="s">
        <v>104</v>
      </c>
      <c r="E362" s="41" t="s">
        <v>103</v>
      </c>
      <c r="F362" s="41" t="s">
        <v>76</v>
      </c>
      <c r="G362" s="41" t="n">
        <v>80.96</v>
      </c>
      <c r="H362" s="41" t="n">
        <v>8</v>
      </c>
      <c r="I362" s="41" t="n">
        <v>32.384</v>
      </c>
      <c r="J362" s="41" t="n">
        <v>680.064</v>
      </c>
      <c r="K362" s="41" t="s">
        <v>1231</v>
      </c>
      <c r="L362" s="41" t="s">
        <v>1559</v>
      </c>
      <c r="M362" s="41" t="s">
        <v>99</v>
      </c>
      <c r="N362" s="41" t="n">
        <v>647.68</v>
      </c>
      <c r="O362" s="41" t="n">
        <v>4.761904762</v>
      </c>
      <c r="P362" s="41" t="n">
        <v>32.384</v>
      </c>
      <c r="Q362" s="41" t="n">
        <v>7.4</v>
      </c>
    </row>
    <row r="363" customFormat="false" ht="15" hidden="false" customHeight="false" outlineLevel="0" collapsed="false">
      <c r="A363" s="41" t="s">
        <v>541</v>
      </c>
      <c r="B363" s="41" t="s">
        <v>180</v>
      </c>
      <c r="C363" s="41" t="s">
        <v>87</v>
      </c>
      <c r="D363" s="41" t="s">
        <v>105</v>
      </c>
      <c r="E363" s="41" t="s">
        <v>102</v>
      </c>
      <c r="F363" s="41" t="s">
        <v>76</v>
      </c>
      <c r="G363" s="41" t="n">
        <v>94.47</v>
      </c>
      <c r="H363" s="41" t="n">
        <v>8</v>
      </c>
      <c r="I363" s="41" t="n">
        <v>37.788</v>
      </c>
      <c r="J363" s="41" t="n">
        <v>793.548</v>
      </c>
      <c r="K363" s="41" t="s">
        <v>1265</v>
      </c>
      <c r="L363" s="41" t="s">
        <v>1560</v>
      </c>
      <c r="M363" s="41" t="s">
        <v>97</v>
      </c>
      <c r="N363" s="41" t="n">
        <v>755.76</v>
      </c>
      <c r="O363" s="41" t="n">
        <v>4.761904762</v>
      </c>
      <c r="P363" s="41" t="n">
        <v>37.788</v>
      </c>
      <c r="Q363" s="41" t="n">
        <v>9.1</v>
      </c>
    </row>
    <row r="364" customFormat="false" ht="15" hidden="false" customHeight="false" outlineLevel="0" collapsed="false">
      <c r="A364" s="41" t="s">
        <v>542</v>
      </c>
      <c r="B364" s="41" t="s">
        <v>180</v>
      </c>
      <c r="C364" s="41" t="s">
        <v>87</v>
      </c>
      <c r="D364" s="41" t="s">
        <v>105</v>
      </c>
      <c r="E364" s="41" t="s">
        <v>103</v>
      </c>
      <c r="F364" s="41" t="s">
        <v>76</v>
      </c>
      <c r="G364" s="41" t="n">
        <v>99.79</v>
      </c>
      <c r="H364" s="41" t="n">
        <v>2</v>
      </c>
      <c r="I364" s="41" t="n">
        <v>9.979</v>
      </c>
      <c r="J364" s="41" t="n">
        <v>209.559</v>
      </c>
      <c r="K364" s="41" t="s">
        <v>1277</v>
      </c>
      <c r="L364" s="41" t="s">
        <v>1561</v>
      </c>
      <c r="M364" s="41" t="s">
        <v>98</v>
      </c>
      <c r="N364" s="41" t="n">
        <v>199.58</v>
      </c>
      <c r="O364" s="41" t="n">
        <v>4.761904762</v>
      </c>
      <c r="P364" s="41" t="n">
        <v>9.979</v>
      </c>
      <c r="Q364" s="41" t="n">
        <v>8</v>
      </c>
    </row>
    <row r="365" customFormat="false" ht="15" hidden="false" customHeight="false" outlineLevel="0" collapsed="false">
      <c r="A365" s="41" t="s">
        <v>543</v>
      </c>
      <c r="B365" s="41" t="s">
        <v>178</v>
      </c>
      <c r="C365" s="41" t="s">
        <v>85</v>
      </c>
      <c r="D365" s="41" t="s">
        <v>105</v>
      </c>
      <c r="E365" s="41" t="s">
        <v>103</v>
      </c>
      <c r="F365" s="41" t="s">
        <v>80</v>
      </c>
      <c r="G365" s="41" t="n">
        <v>73.22</v>
      </c>
      <c r="H365" s="41" t="n">
        <v>6</v>
      </c>
      <c r="I365" s="41" t="n">
        <v>21.966</v>
      </c>
      <c r="J365" s="41" t="n">
        <v>461.286</v>
      </c>
      <c r="K365" s="41" t="s">
        <v>1224</v>
      </c>
      <c r="L365" s="41" t="s">
        <v>1562</v>
      </c>
      <c r="M365" s="41" t="s">
        <v>97</v>
      </c>
      <c r="N365" s="41" t="n">
        <v>439.32</v>
      </c>
      <c r="O365" s="41" t="n">
        <v>4.761904762</v>
      </c>
      <c r="P365" s="41" t="n">
        <v>21.966</v>
      </c>
      <c r="Q365" s="41" t="n">
        <v>7.2</v>
      </c>
    </row>
    <row r="366" customFormat="false" ht="15" hidden="false" customHeight="false" outlineLevel="0" collapsed="false">
      <c r="A366" s="41" t="s">
        <v>544</v>
      </c>
      <c r="B366" s="41" t="s">
        <v>180</v>
      </c>
      <c r="C366" s="41" t="s">
        <v>87</v>
      </c>
      <c r="D366" s="41" t="s">
        <v>105</v>
      </c>
      <c r="E366" s="41" t="s">
        <v>102</v>
      </c>
      <c r="F366" s="41" t="s">
        <v>76</v>
      </c>
      <c r="G366" s="41" t="n">
        <v>41.24</v>
      </c>
      <c r="H366" s="41" t="n">
        <v>4</v>
      </c>
      <c r="I366" s="41" t="n">
        <v>8.248</v>
      </c>
      <c r="J366" s="41" t="n">
        <v>173.208</v>
      </c>
      <c r="K366" s="41" t="s">
        <v>1563</v>
      </c>
      <c r="L366" s="41" t="s">
        <v>1564</v>
      </c>
      <c r="M366" s="41" t="s">
        <v>97</v>
      </c>
      <c r="N366" s="41" t="n">
        <v>164.96</v>
      </c>
      <c r="O366" s="41" t="n">
        <v>4.761904762</v>
      </c>
      <c r="P366" s="41" t="n">
        <v>8.248</v>
      </c>
      <c r="Q366" s="41" t="n">
        <v>7.1</v>
      </c>
    </row>
    <row r="367" customFormat="false" ht="15" hidden="false" customHeight="false" outlineLevel="0" collapsed="false">
      <c r="A367" s="41" t="s">
        <v>545</v>
      </c>
      <c r="B367" s="41" t="s">
        <v>180</v>
      </c>
      <c r="C367" s="41" t="s">
        <v>87</v>
      </c>
      <c r="D367" s="41" t="s">
        <v>105</v>
      </c>
      <c r="E367" s="41" t="s">
        <v>102</v>
      </c>
      <c r="F367" s="41" t="s">
        <v>79</v>
      </c>
      <c r="G367" s="41" t="n">
        <v>81.68</v>
      </c>
      <c r="H367" s="41" t="n">
        <v>4</v>
      </c>
      <c r="I367" s="41" t="n">
        <v>16.336</v>
      </c>
      <c r="J367" s="41" t="n">
        <v>343.056</v>
      </c>
      <c r="K367" s="41" t="s">
        <v>1303</v>
      </c>
      <c r="L367" s="41" t="s">
        <v>1565</v>
      </c>
      <c r="M367" s="41" t="s">
        <v>97</v>
      </c>
      <c r="N367" s="41" t="n">
        <v>326.72</v>
      </c>
      <c r="O367" s="41" t="n">
        <v>4.761904762</v>
      </c>
      <c r="P367" s="41" t="n">
        <v>16.336</v>
      </c>
      <c r="Q367" s="41" t="n">
        <v>9.1</v>
      </c>
    </row>
    <row r="368" customFormat="false" ht="15" hidden="false" customHeight="false" outlineLevel="0" collapsed="false">
      <c r="A368" s="41" t="s">
        <v>546</v>
      </c>
      <c r="B368" s="41" t="s">
        <v>180</v>
      </c>
      <c r="C368" s="41" t="s">
        <v>87</v>
      </c>
      <c r="D368" s="41" t="s">
        <v>105</v>
      </c>
      <c r="E368" s="41" t="s">
        <v>102</v>
      </c>
      <c r="F368" s="41" t="s">
        <v>78</v>
      </c>
      <c r="G368" s="41" t="n">
        <v>51.32</v>
      </c>
      <c r="H368" s="41" t="n">
        <v>9</v>
      </c>
      <c r="I368" s="41" t="n">
        <v>23.094</v>
      </c>
      <c r="J368" s="41" t="n">
        <v>484.974</v>
      </c>
      <c r="K368" s="41" t="s">
        <v>1494</v>
      </c>
      <c r="L368" s="41" t="s">
        <v>1566</v>
      </c>
      <c r="M368" s="41" t="s">
        <v>97</v>
      </c>
      <c r="N368" s="41" t="n">
        <v>461.88</v>
      </c>
      <c r="O368" s="41" t="n">
        <v>4.761904762</v>
      </c>
      <c r="P368" s="41" t="n">
        <v>23.094</v>
      </c>
      <c r="Q368" s="41" t="n">
        <v>5.6</v>
      </c>
    </row>
    <row r="369" customFormat="false" ht="15" hidden="false" customHeight="false" outlineLevel="0" collapsed="false">
      <c r="A369" s="41" t="s">
        <v>547</v>
      </c>
      <c r="B369" s="41" t="s">
        <v>178</v>
      </c>
      <c r="C369" s="41" t="s">
        <v>85</v>
      </c>
      <c r="D369" s="41" t="s">
        <v>104</v>
      </c>
      <c r="E369" s="41" t="s">
        <v>103</v>
      </c>
      <c r="F369" s="41" t="s">
        <v>80</v>
      </c>
      <c r="G369" s="41" t="n">
        <v>65.94</v>
      </c>
      <c r="H369" s="41" t="n">
        <v>4</v>
      </c>
      <c r="I369" s="41" t="n">
        <v>13.188</v>
      </c>
      <c r="J369" s="41" t="n">
        <v>276.948</v>
      </c>
      <c r="K369" s="41" t="s">
        <v>1349</v>
      </c>
      <c r="L369" s="41" t="s">
        <v>1191</v>
      </c>
      <c r="M369" s="41" t="s">
        <v>97</v>
      </c>
      <c r="N369" s="41" t="n">
        <v>263.76</v>
      </c>
      <c r="O369" s="41" t="n">
        <v>4.761904762</v>
      </c>
      <c r="P369" s="41" t="n">
        <v>13.188</v>
      </c>
      <c r="Q369" s="41" t="n">
        <v>6</v>
      </c>
    </row>
    <row r="370" customFormat="false" ht="15" hidden="false" customHeight="false" outlineLevel="0" collapsed="false">
      <c r="A370" s="41" t="s">
        <v>548</v>
      </c>
      <c r="B370" s="41" t="s">
        <v>180</v>
      </c>
      <c r="C370" s="41" t="s">
        <v>87</v>
      </c>
      <c r="D370" s="41" t="s">
        <v>105</v>
      </c>
      <c r="E370" s="41" t="s">
        <v>102</v>
      </c>
      <c r="F370" s="41" t="s">
        <v>77</v>
      </c>
      <c r="G370" s="41" t="n">
        <v>14.36</v>
      </c>
      <c r="H370" s="41" t="n">
        <v>10</v>
      </c>
      <c r="I370" s="41" t="n">
        <v>7.18</v>
      </c>
      <c r="J370" s="41" t="n">
        <v>150.78</v>
      </c>
      <c r="K370" s="41" t="s">
        <v>1194</v>
      </c>
      <c r="L370" s="41" t="s">
        <v>1567</v>
      </c>
      <c r="M370" s="41" t="s">
        <v>97</v>
      </c>
      <c r="N370" s="41" t="n">
        <v>143.6</v>
      </c>
      <c r="O370" s="41" t="n">
        <v>4.761904762</v>
      </c>
      <c r="P370" s="41" t="n">
        <v>7.18</v>
      </c>
      <c r="Q370" s="41" t="n">
        <v>5.4</v>
      </c>
    </row>
    <row r="371" customFormat="false" ht="15" hidden="false" customHeight="false" outlineLevel="0" collapsed="false">
      <c r="A371" s="41" t="s">
        <v>549</v>
      </c>
      <c r="B371" s="41" t="s">
        <v>178</v>
      </c>
      <c r="C371" s="41" t="s">
        <v>85</v>
      </c>
      <c r="D371" s="41" t="s">
        <v>104</v>
      </c>
      <c r="E371" s="41" t="s">
        <v>103</v>
      </c>
      <c r="F371" s="41" t="s">
        <v>78</v>
      </c>
      <c r="G371" s="41" t="n">
        <v>21.5</v>
      </c>
      <c r="H371" s="41" t="n">
        <v>9</v>
      </c>
      <c r="I371" s="41" t="n">
        <v>9.675</v>
      </c>
      <c r="J371" s="41" t="n">
        <v>203.175</v>
      </c>
      <c r="K371" s="41" t="s">
        <v>1292</v>
      </c>
      <c r="L371" s="41" t="s">
        <v>1304</v>
      </c>
      <c r="M371" s="41" t="s">
        <v>99</v>
      </c>
      <c r="N371" s="41" t="n">
        <v>193.5</v>
      </c>
      <c r="O371" s="41" t="n">
        <v>4.761904762</v>
      </c>
      <c r="P371" s="41" t="n">
        <v>9.675</v>
      </c>
      <c r="Q371" s="41" t="n">
        <v>7.8</v>
      </c>
    </row>
    <row r="372" customFormat="false" ht="15" hidden="false" customHeight="false" outlineLevel="0" collapsed="false">
      <c r="A372" s="41" t="s">
        <v>550</v>
      </c>
      <c r="B372" s="41" t="s">
        <v>189</v>
      </c>
      <c r="C372" s="41" t="s">
        <v>86</v>
      </c>
      <c r="D372" s="41" t="s">
        <v>104</v>
      </c>
      <c r="E372" s="41" t="s">
        <v>102</v>
      </c>
      <c r="F372" s="41" t="s">
        <v>78</v>
      </c>
      <c r="G372" s="41" t="n">
        <v>26.26</v>
      </c>
      <c r="H372" s="41" t="n">
        <v>7</v>
      </c>
      <c r="I372" s="41" t="n">
        <v>9.191</v>
      </c>
      <c r="J372" s="41" t="n">
        <v>193.011</v>
      </c>
      <c r="K372" s="41" t="s">
        <v>1258</v>
      </c>
      <c r="L372" s="41" t="s">
        <v>1397</v>
      </c>
      <c r="M372" s="41" t="s">
        <v>97</v>
      </c>
      <c r="N372" s="41" t="n">
        <v>183.82</v>
      </c>
      <c r="O372" s="41" t="n">
        <v>4.761904762</v>
      </c>
      <c r="P372" s="41" t="n">
        <v>9.191</v>
      </c>
      <c r="Q372" s="41" t="n">
        <v>9.9</v>
      </c>
    </row>
    <row r="373" customFormat="false" ht="15" hidden="false" customHeight="false" outlineLevel="0" collapsed="false">
      <c r="A373" s="41" t="s">
        <v>551</v>
      </c>
      <c r="B373" s="41" t="s">
        <v>189</v>
      </c>
      <c r="C373" s="41" t="s">
        <v>86</v>
      </c>
      <c r="D373" s="41" t="s">
        <v>105</v>
      </c>
      <c r="E373" s="41" t="s">
        <v>102</v>
      </c>
      <c r="F373" s="41" t="s">
        <v>79</v>
      </c>
      <c r="G373" s="41" t="n">
        <v>60.96</v>
      </c>
      <c r="H373" s="41" t="n">
        <v>2</v>
      </c>
      <c r="I373" s="41" t="n">
        <v>6.096</v>
      </c>
      <c r="J373" s="41" t="n">
        <v>128.016</v>
      </c>
      <c r="K373" s="41" t="s">
        <v>1240</v>
      </c>
      <c r="L373" s="41" t="s">
        <v>1243</v>
      </c>
      <c r="M373" s="41" t="s">
        <v>99</v>
      </c>
      <c r="N373" s="41" t="n">
        <v>121.92</v>
      </c>
      <c r="O373" s="41" t="n">
        <v>4.761904762</v>
      </c>
      <c r="P373" s="41" t="n">
        <v>6.096</v>
      </c>
      <c r="Q373" s="41" t="n">
        <v>4.9</v>
      </c>
    </row>
    <row r="374" customFormat="false" ht="15" hidden="false" customHeight="false" outlineLevel="0" collapsed="false">
      <c r="A374" s="41" t="s">
        <v>552</v>
      </c>
      <c r="B374" s="41" t="s">
        <v>180</v>
      </c>
      <c r="C374" s="41" t="s">
        <v>87</v>
      </c>
      <c r="D374" s="41" t="s">
        <v>105</v>
      </c>
      <c r="E374" s="41" t="s">
        <v>102</v>
      </c>
      <c r="F374" s="41" t="s">
        <v>80</v>
      </c>
      <c r="G374" s="41" t="n">
        <v>70.11</v>
      </c>
      <c r="H374" s="41" t="n">
        <v>6</v>
      </c>
      <c r="I374" s="41" t="n">
        <v>21.033</v>
      </c>
      <c r="J374" s="41" t="n">
        <v>441.693</v>
      </c>
      <c r="K374" s="41" t="s">
        <v>1494</v>
      </c>
      <c r="L374" s="41" t="s">
        <v>1568</v>
      </c>
      <c r="M374" s="41" t="s">
        <v>98</v>
      </c>
      <c r="N374" s="41" t="n">
        <v>420.66</v>
      </c>
      <c r="O374" s="41" t="n">
        <v>4.761904762</v>
      </c>
      <c r="P374" s="41" t="n">
        <v>21.033</v>
      </c>
      <c r="Q374" s="41" t="n">
        <v>5.2</v>
      </c>
    </row>
    <row r="375" customFormat="false" ht="15" hidden="false" customHeight="false" outlineLevel="0" collapsed="false">
      <c r="A375" s="41" t="s">
        <v>553</v>
      </c>
      <c r="B375" s="41" t="s">
        <v>180</v>
      </c>
      <c r="C375" s="41" t="s">
        <v>87</v>
      </c>
      <c r="D375" s="41" t="s">
        <v>105</v>
      </c>
      <c r="E375" s="41" t="s">
        <v>103</v>
      </c>
      <c r="F375" s="41" t="s">
        <v>79</v>
      </c>
      <c r="G375" s="41" t="n">
        <v>42.08</v>
      </c>
      <c r="H375" s="41" t="n">
        <v>6</v>
      </c>
      <c r="I375" s="41" t="n">
        <v>12.624</v>
      </c>
      <c r="J375" s="41" t="n">
        <v>265.104</v>
      </c>
      <c r="K375" s="41" t="s">
        <v>1392</v>
      </c>
      <c r="L375" s="41" t="s">
        <v>1569</v>
      </c>
      <c r="M375" s="41" t="s">
        <v>97</v>
      </c>
      <c r="N375" s="41" t="n">
        <v>252.48</v>
      </c>
      <c r="O375" s="41" t="n">
        <v>4.761904762</v>
      </c>
      <c r="P375" s="41" t="n">
        <v>12.624</v>
      </c>
      <c r="Q375" s="41" t="n">
        <v>8.9</v>
      </c>
    </row>
    <row r="376" customFormat="false" ht="15" hidden="false" customHeight="false" outlineLevel="0" collapsed="false">
      <c r="A376" s="41" t="s">
        <v>554</v>
      </c>
      <c r="B376" s="41" t="s">
        <v>178</v>
      </c>
      <c r="C376" s="41" t="s">
        <v>85</v>
      </c>
      <c r="D376" s="41" t="s">
        <v>105</v>
      </c>
      <c r="E376" s="41" t="s">
        <v>102</v>
      </c>
      <c r="F376" s="41" t="s">
        <v>80</v>
      </c>
      <c r="G376" s="41" t="n">
        <v>67.09</v>
      </c>
      <c r="H376" s="41" t="n">
        <v>5</v>
      </c>
      <c r="I376" s="41" t="n">
        <v>16.7725</v>
      </c>
      <c r="J376" s="41" t="n">
        <v>352.2225</v>
      </c>
      <c r="K376" s="41" t="s">
        <v>1411</v>
      </c>
      <c r="L376" s="41" t="s">
        <v>1421</v>
      </c>
      <c r="M376" s="41" t="s">
        <v>99</v>
      </c>
      <c r="N376" s="41" t="n">
        <v>335.45</v>
      </c>
      <c r="O376" s="41" t="n">
        <v>4.761904762</v>
      </c>
      <c r="P376" s="41" t="n">
        <v>16.7725</v>
      </c>
      <c r="Q376" s="41" t="n">
        <v>9.1</v>
      </c>
    </row>
    <row r="377" customFormat="false" ht="15" hidden="false" customHeight="false" outlineLevel="0" collapsed="false">
      <c r="A377" s="41" t="s">
        <v>555</v>
      </c>
      <c r="B377" s="41" t="s">
        <v>178</v>
      </c>
      <c r="C377" s="41" t="s">
        <v>85</v>
      </c>
      <c r="D377" s="41" t="s">
        <v>104</v>
      </c>
      <c r="E377" s="41" t="s">
        <v>102</v>
      </c>
      <c r="F377" s="41" t="s">
        <v>79</v>
      </c>
      <c r="G377" s="41" t="n">
        <v>96.7</v>
      </c>
      <c r="H377" s="41" t="n">
        <v>5</v>
      </c>
      <c r="I377" s="41" t="n">
        <v>24.175</v>
      </c>
      <c r="J377" s="41" t="n">
        <v>507.675</v>
      </c>
      <c r="K377" s="41" t="s">
        <v>1438</v>
      </c>
      <c r="L377" s="41" t="s">
        <v>1570</v>
      </c>
      <c r="M377" s="41" t="s">
        <v>98</v>
      </c>
      <c r="N377" s="41" t="n">
        <v>483.5</v>
      </c>
      <c r="O377" s="41" t="n">
        <v>4.761904762</v>
      </c>
      <c r="P377" s="41" t="n">
        <v>24.175</v>
      </c>
      <c r="Q377" s="41" t="n">
        <v>7</v>
      </c>
    </row>
    <row r="378" customFormat="false" ht="15" hidden="false" customHeight="false" outlineLevel="0" collapsed="false">
      <c r="A378" s="41" t="s">
        <v>556</v>
      </c>
      <c r="B378" s="41" t="s">
        <v>189</v>
      </c>
      <c r="C378" s="41" t="s">
        <v>86</v>
      </c>
      <c r="D378" s="41" t="s">
        <v>104</v>
      </c>
      <c r="E378" s="41" t="s">
        <v>102</v>
      </c>
      <c r="F378" s="41" t="s">
        <v>80</v>
      </c>
      <c r="G378" s="41" t="n">
        <v>35.38</v>
      </c>
      <c r="H378" s="41" t="n">
        <v>9</v>
      </c>
      <c r="I378" s="41" t="n">
        <v>15.921</v>
      </c>
      <c r="J378" s="41" t="n">
        <v>334.341</v>
      </c>
      <c r="K378" s="41" t="s">
        <v>1188</v>
      </c>
      <c r="L378" s="41" t="s">
        <v>1571</v>
      </c>
      <c r="M378" s="41" t="s">
        <v>99</v>
      </c>
      <c r="N378" s="41" t="n">
        <v>318.42</v>
      </c>
      <c r="O378" s="41" t="n">
        <v>4.761904762</v>
      </c>
      <c r="P378" s="41" t="n">
        <v>15.921</v>
      </c>
      <c r="Q378" s="41" t="n">
        <v>9.6</v>
      </c>
    </row>
    <row r="379" customFormat="false" ht="15" hidden="false" customHeight="false" outlineLevel="0" collapsed="false">
      <c r="A379" s="41" t="s">
        <v>557</v>
      </c>
      <c r="B379" s="41" t="s">
        <v>180</v>
      </c>
      <c r="C379" s="41" t="s">
        <v>87</v>
      </c>
      <c r="D379" s="41" t="s">
        <v>105</v>
      </c>
      <c r="E379" s="41" t="s">
        <v>103</v>
      </c>
      <c r="F379" s="41" t="s">
        <v>77</v>
      </c>
      <c r="G379" s="41" t="n">
        <v>95.49</v>
      </c>
      <c r="H379" s="41" t="n">
        <v>7</v>
      </c>
      <c r="I379" s="41" t="n">
        <v>33.4215</v>
      </c>
      <c r="J379" s="41" t="n">
        <v>701.8515</v>
      </c>
      <c r="K379" s="41" t="s">
        <v>1386</v>
      </c>
      <c r="L379" s="41" t="s">
        <v>1306</v>
      </c>
      <c r="M379" s="41" t="s">
        <v>98</v>
      </c>
      <c r="N379" s="41" t="n">
        <v>668.43</v>
      </c>
      <c r="O379" s="41" t="n">
        <v>4.761904762</v>
      </c>
      <c r="P379" s="41" t="n">
        <v>33.4215</v>
      </c>
      <c r="Q379" s="41" t="n">
        <v>8.7</v>
      </c>
    </row>
    <row r="380" customFormat="false" ht="15" hidden="false" customHeight="false" outlineLevel="0" collapsed="false">
      <c r="A380" s="41" t="s">
        <v>558</v>
      </c>
      <c r="B380" s="41" t="s">
        <v>180</v>
      </c>
      <c r="C380" s="41" t="s">
        <v>87</v>
      </c>
      <c r="D380" s="41" t="s">
        <v>104</v>
      </c>
      <c r="E380" s="41" t="s">
        <v>103</v>
      </c>
      <c r="F380" s="41" t="s">
        <v>79</v>
      </c>
      <c r="G380" s="41" t="n">
        <v>96.98</v>
      </c>
      <c r="H380" s="41" t="n">
        <v>4</v>
      </c>
      <c r="I380" s="41" t="n">
        <v>19.396</v>
      </c>
      <c r="J380" s="41" t="n">
        <v>407.316</v>
      </c>
      <c r="K380" s="41" t="s">
        <v>1208</v>
      </c>
      <c r="L380" s="41" t="s">
        <v>1513</v>
      </c>
      <c r="M380" s="41" t="s">
        <v>98</v>
      </c>
      <c r="N380" s="41" t="n">
        <v>387.92</v>
      </c>
      <c r="O380" s="41" t="n">
        <v>4.761904762</v>
      </c>
      <c r="P380" s="41" t="n">
        <v>19.396</v>
      </c>
      <c r="Q380" s="41" t="n">
        <v>9.4</v>
      </c>
    </row>
    <row r="381" customFormat="false" ht="15" hidden="false" customHeight="false" outlineLevel="0" collapsed="false">
      <c r="A381" s="41" t="s">
        <v>559</v>
      </c>
      <c r="B381" s="41" t="s">
        <v>189</v>
      </c>
      <c r="C381" s="41" t="s">
        <v>86</v>
      </c>
      <c r="D381" s="41" t="s">
        <v>105</v>
      </c>
      <c r="E381" s="41" t="s">
        <v>102</v>
      </c>
      <c r="F381" s="41" t="s">
        <v>78</v>
      </c>
      <c r="G381" s="41" t="n">
        <v>23.65</v>
      </c>
      <c r="H381" s="41" t="n">
        <v>4</v>
      </c>
      <c r="I381" s="41" t="n">
        <v>4.73</v>
      </c>
      <c r="J381" s="41" t="n">
        <v>99.33</v>
      </c>
      <c r="K381" s="41" t="s">
        <v>1404</v>
      </c>
      <c r="L381" s="41" t="s">
        <v>1408</v>
      </c>
      <c r="M381" s="41" t="s">
        <v>99</v>
      </c>
      <c r="N381" s="41" t="n">
        <v>94.6</v>
      </c>
      <c r="O381" s="41" t="n">
        <v>4.761904762</v>
      </c>
      <c r="P381" s="41" t="n">
        <v>4.73</v>
      </c>
      <c r="Q381" s="41" t="n">
        <v>4</v>
      </c>
    </row>
    <row r="382" customFormat="false" ht="15" hidden="false" customHeight="false" outlineLevel="0" collapsed="false">
      <c r="A382" s="41" t="s">
        <v>560</v>
      </c>
      <c r="B382" s="41" t="s">
        <v>178</v>
      </c>
      <c r="C382" s="41" t="s">
        <v>85</v>
      </c>
      <c r="D382" s="41" t="s">
        <v>104</v>
      </c>
      <c r="E382" s="41" t="s">
        <v>103</v>
      </c>
      <c r="F382" s="41" t="s">
        <v>77</v>
      </c>
      <c r="G382" s="41" t="n">
        <v>82.33</v>
      </c>
      <c r="H382" s="41" t="n">
        <v>4</v>
      </c>
      <c r="I382" s="41" t="n">
        <v>16.466</v>
      </c>
      <c r="J382" s="41" t="n">
        <v>345.786</v>
      </c>
      <c r="K382" s="41" t="s">
        <v>1460</v>
      </c>
      <c r="L382" s="41" t="s">
        <v>1197</v>
      </c>
      <c r="M382" s="41" t="s">
        <v>99</v>
      </c>
      <c r="N382" s="41" t="n">
        <v>329.32</v>
      </c>
      <c r="O382" s="41" t="n">
        <v>4.761904762</v>
      </c>
      <c r="P382" s="41" t="n">
        <v>16.466</v>
      </c>
      <c r="Q382" s="41" t="n">
        <v>7.5</v>
      </c>
    </row>
    <row r="383" customFormat="false" ht="15" hidden="false" customHeight="false" outlineLevel="0" collapsed="false">
      <c r="A383" s="41" t="s">
        <v>561</v>
      </c>
      <c r="B383" s="41" t="s">
        <v>180</v>
      </c>
      <c r="C383" s="41" t="s">
        <v>87</v>
      </c>
      <c r="D383" s="41" t="s">
        <v>105</v>
      </c>
      <c r="E383" s="41" t="s">
        <v>102</v>
      </c>
      <c r="F383" s="41" t="s">
        <v>78</v>
      </c>
      <c r="G383" s="41" t="n">
        <v>26.61</v>
      </c>
      <c r="H383" s="41" t="n">
        <v>2</v>
      </c>
      <c r="I383" s="41" t="n">
        <v>2.661</v>
      </c>
      <c r="J383" s="41" t="n">
        <v>55.881</v>
      </c>
      <c r="K383" s="41" t="s">
        <v>1270</v>
      </c>
      <c r="L383" s="41" t="s">
        <v>1295</v>
      </c>
      <c r="M383" s="41" t="s">
        <v>97</v>
      </c>
      <c r="N383" s="41" t="n">
        <v>53.22</v>
      </c>
      <c r="O383" s="41" t="n">
        <v>4.761904762</v>
      </c>
      <c r="P383" s="41" t="n">
        <v>2.661</v>
      </c>
      <c r="Q383" s="41" t="n">
        <v>4.2</v>
      </c>
    </row>
    <row r="384" customFormat="false" ht="15" hidden="false" customHeight="false" outlineLevel="0" collapsed="false">
      <c r="A384" s="41" t="s">
        <v>562</v>
      </c>
      <c r="B384" s="41" t="s">
        <v>189</v>
      </c>
      <c r="C384" s="41" t="s">
        <v>86</v>
      </c>
      <c r="D384" s="41" t="s">
        <v>105</v>
      </c>
      <c r="E384" s="41" t="s">
        <v>102</v>
      </c>
      <c r="F384" s="41" t="s">
        <v>76</v>
      </c>
      <c r="G384" s="41" t="n">
        <v>99.69</v>
      </c>
      <c r="H384" s="41" t="n">
        <v>5</v>
      </c>
      <c r="I384" s="41" t="n">
        <v>24.9225</v>
      </c>
      <c r="J384" s="41" t="n">
        <v>523.3725</v>
      </c>
      <c r="K384" s="41" t="s">
        <v>1438</v>
      </c>
      <c r="L384" s="41" t="s">
        <v>1331</v>
      </c>
      <c r="M384" s="41" t="s">
        <v>97</v>
      </c>
      <c r="N384" s="41" t="n">
        <v>498.45</v>
      </c>
      <c r="O384" s="41" t="n">
        <v>4.761904762</v>
      </c>
      <c r="P384" s="41" t="n">
        <v>24.9225</v>
      </c>
      <c r="Q384" s="41" t="n">
        <v>9.9</v>
      </c>
    </row>
    <row r="385" customFormat="false" ht="15" hidden="false" customHeight="false" outlineLevel="0" collapsed="false">
      <c r="A385" s="41" t="s">
        <v>563</v>
      </c>
      <c r="B385" s="41" t="s">
        <v>180</v>
      </c>
      <c r="C385" s="41" t="s">
        <v>87</v>
      </c>
      <c r="D385" s="41" t="s">
        <v>104</v>
      </c>
      <c r="E385" s="41" t="s">
        <v>102</v>
      </c>
      <c r="F385" s="41" t="s">
        <v>76</v>
      </c>
      <c r="G385" s="41" t="n">
        <v>74.89</v>
      </c>
      <c r="H385" s="41" t="n">
        <v>4</v>
      </c>
      <c r="I385" s="41" t="n">
        <v>14.978</v>
      </c>
      <c r="J385" s="41" t="n">
        <v>314.538</v>
      </c>
      <c r="K385" s="41" t="s">
        <v>1339</v>
      </c>
      <c r="L385" s="41" t="s">
        <v>1572</v>
      </c>
      <c r="M385" s="41" t="s">
        <v>98</v>
      </c>
      <c r="N385" s="41" t="n">
        <v>299.56</v>
      </c>
      <c r="O385" s="41" t="n">
        <v>4.761904762</v>
      </c>
      <c r="P385" s="41" t="n">
        <v>14.978</v>
      </c>
      <c r="Q385" s="41" t="n">
        <v>4.2</v>
      </c>
    </row>
    <row r="386" customFormat="false" ht="15" hidden="false" customHeight="false" outlineLevel="0" collapsed="false">
      <c r="A386" s="41" t="s">
        <v>564</v>
      </c>
      <c r="B386" s="41" t="s">
        <v>178</v>
      </c>
      <c r="C386" s="41" t="s">
        <v>85</v>
      </c>
      <c r="D386" s="41" t="s">
        <v>105</v>
      </c>
      <c r="E386" s="41" t="s">
        <v>102</v>
      </c>
      <c r="F386" s="41" t="s">
        <v>76</v>
      </c>
      <c r="G386" s="41" t="n">
        <v>40.94</v>
      </c>
      <c r="H386" s="41" t="n">
        <v>5</v>
      </c>
      <c r="I386" s="41" t="n">
        <v>10.235</v>
      </c>
      <c r="J386" s="41" t="n">
        <v>214.935</v>
      </c>
      <c r="K386" s="41" t="s">
        <v>1303</v>
      </c>
      <c r="L386" s="41" t="s">
        <v>1398</v>
      </c>
      <c r="M386" s="41" t="s">
        <v>98</v>
      </c>
      <c r="N386" s="41" t="n">
        <v>204.7</v>
      </c>
      <c r="O386" s="41" t="n">
        <v>4.761904762</v>
      </c>
      <c r="P386" s="41" t="n">
        <v>10.235</v>
      </c>
      <c r="Q386" s="41" t="n">
        <v>9.9</v>
      </c>
    </row>
    <row r="387" customFormat="false" ht="15" hidden="false" customHeight="false" outlineLevel="0" collapsed="false">
      <c r="A387" s="41" t="s">
        <v>565</v>
      </c>
      <c r="B387" s="41" t="s">
        <v>189</v>
      </c>
      <c r="C387" s="41" t="s">
        <v>86</v>
      </c>
      <c r="D387" s="41" t="s">
        <v>104</v>
      </c>
      <c r="E387" s="41" t="s">
        <v>103</v>
      </c>
      <c r="F387" s="41" t="s">
        <v>77</v>
      </c>
      <c r="G387" s="41" t="n">
        <v>75.82</v>
      </c>
      <c r="H387" s="41" t="n">
        <v>1</v>
      </c>
      <c r="I387" s="41" t="n">
        <v>3.791</v>
      </c>
      <c r="J387" s="41" t="n">
        <v>79.611</v>
      </c>
      <c r="K387" s="41" t="s">
        <v>1454</v>
      </c>
      <c r="L387" s="41" t="s">
        <v>1573</v>
      </c>
      <c r="M387" s="41" t="s">
        <v>97</v>
      </c>
      <c r="N387" s="41" t="n">
        <v>75.82</v>
      </c>
      <c r="O387" s="41" t="n">
        <v>4.761904762</v>
      </c>
      <c r="P387" s="41" t="n">
        <v>3.791</v>
      </c>
      <c r="Q387" s="41" t="n">
        <v>5.8</v>
      </c>
    </row>
    <row r="388" customFormat="false" ht="15" hidden="false" customHeight="false" outlineLevel="0" collapsed="false">
      <c r="A388" s="41" t="s">
        <v>566</v>
      </c>
      <c r="B388" s="41" t="s">
        <v>180</v>
      </c>
      <c r="C388" s="41" t="s">
        <v>87</v>
      </c>
      <c r="D388" s="41" t="s">
        <v>105</v>
      </c>
      <c r="E388" s="41" t="s">
        <v>103</v>
      </c>
      <c r="F388" s="41" t="s">
        <v>76</v>
      </c>
      <c r="G388" s="41" t="n">
        <v>46.77</v>
      </c>
      <c r="H388" s="41" t="n">
        <v>6</v>
      </c>
      <c r="I388" s="41" t="n">
        <v>14.031</v>
      </c>
      <c r="J388" s="41" t="n">
        <v>294.651</v>
      </c>
      <c r="K388" s="41" t="s">
        <v>1220</v>
      </c>
      <c r="L388" s="41" t="s">
        <v>1574</v>
      </c>
      <c r="M388" s="41" t="s">
        <v>97</v>
      </c>
      <c r="N388" s="41" t="n">
        <v>280.62</v>
      </c>
      <c r="O388" s="41" t="n">
        <v>4.761904762</v>
      </c>
      <c r="P388" s="41" t="n">
        <v>14.031</v>
      </c>
      <c r="Q388" s="41" t="n">
        <v>6</v>
      </c>
    </row>
    <row r="389" customFormat="false" ht="15" hidden="false" customHeight="false" outlineLevel="0" collapsed="false">
      <c r="A389" s="41" t="s">
        <v>567</v>
      </c>
      <c r="B389" s="41" t="s">
        <v>178</v>
      </c>
      <c r="C389" s="41" t="s">
        <v>85</v>
      </c>
      <c r="D389" s="41" t="s">
        <v>105</v>
      </c>
      <c r="E389" s="41" t="s">
        <v>102</v>
      </c>
      <c r="F389" s="41" t="s">
        <v>81</v>
      </c>
      <c r="G389" s="41" t="n">
        <v>32.32</v>
      </c>
      <c r="H389" s="41" t="n">
        <v>10</v>
      </c>
      <c r="I389" s="41" t="n">
        <v>16.16</v>
      </c>
      <c r="J389" s="41" t="n">
        <v>339.36</v>
      </c>
      <c r="K389" s="41" t="s">
        <v>1206</v>
      </c>
      <c r="L389" s="41" t="s">
        <v>1476</v>
      </c>
      <c r="M389" s="41" t="s">
        <v>99</v>
      </c>
      <c r="N389" s="41" t="n">
        <v>323.2</v>
      </c>
      <c r="O389" s="41" t="n">
        <v>4.761904762</v>
      </c>
      <c r="P389" s="41" t="n">
        <v>16.16</v>
      </c>
      <c r="Q389" s="41" t="n">
        <v>10</v>
      </c>
    </row>
    <row r="390" customFormat="false" ht="15" hidden="false" customHeight="false" outlineLevel="0" collapsed="false">
      <c r="A390" s="41" t="s">
        <v>568</v>
      </c>
      <c r="B390" s="41" t="s">
        <v>180</v>
      </c>
      <c r="C390" s="41" t="s">
        <v>87</v>
      </c>
      <c r="D390" s="41" t="s">
        <v>104</v>
      </c>
      <c r="E390" s="41" t="s">
        <v>102</v>
      </c>
      <c r="F390" s="41" t="s">
        <v>79</v>
      </c>
      <c r="G390" s="41" t="n">
        <v>54.07</v>
      </c>
      <c r="H390" s="41" t="n">
        <v>9</v>
      </c>
      <c r="I390" s="41" t="n">
        <v>24.3315</v>
      </c>
      <c r="J390" s="41" t="n">
        <v>510.9615</v>
      </c>
      <c r="K390" s="41" t="s">
        <v>1194</v>
      </c>
      <c r="L390" s="41" t="s">
        <v>1575</v>
      </c>
      <c r="M390" s="41" t="s">
        <v>98</v>
      </c>
      <c r="N390" s="41" t="n">
        <v>486.63</v>
      </c>
      <c r="O390" s="41" t="n">
        <v>4.761904762</v>
      </c>
      <c r="P390" s="41" t="n">
        <v>24.3315</v>
      </c>
      <c r="Q390" s="41" t="n">
        <v>9.5</v>
      </c>
    </row>
    <row r="391" customFormat="false" ht="15" hidden="false" customHeight="false" outlineLevel="0" collapsed="false">
      <c r="A391" s="41" t="s">
        <v>569</v>
      </c>
      <c r="B391" s="41" t="s">
        <v>189</v>
      </c>
      <c r="C391" s="41" t="s">
        <v>86</v>
      </c>
      <c r="D391" s="41" t="s">
        <v>105</v>
      </c>
      <c r="E391" s="41" t="s">
        <v>103</v>
      </c>
      <c r="F391" s="41" t="s">
        <v>76</v>
      </c>
      <c r="G391" s="41" t="n">
        <v>18.22</v>
      </c>
      <c r="H391" s="41" t="n">
        <v>7</v>
      </c>
      <c r="I391" s="41" t="n">
        <v>6.377</v>
      </c>
      <c r="J391" s="41" t="n">
        <v>133.917</v>
      </c>
      <c r="K391" s="41" t="s">
        <v>1238</v>
      </c>
      <c r="L391" s="41" t="s">
        <v>1482</v>
      </c>
      <c r="M391" s="41" t="s">
        <v>99</v>
      </c>
      <c r="N391" s="41" t="n">
        <v>127.54</v>
      </c>
      <c r="O391" s="41" t="n">
        <v>4.761904762</v>
      </c>
      <c r="P391" s="41" t="n">
        <v>6.377</v>
      </c>
      <c r="Q391" s="41" t="n">
        <v>6.6</v>
      </c>
    </row>
    <row r="392" customFormat="false" ht="15" hidden="false" customHeight="false" outlineLevel="0" collapsed="false">
      <c r="A392" s="41" t="s">
        <v>570</v>
      </c>
      <c r="B392" s="41" t="s">
        <v>180</v>
      </c>
      <c r="C392" s="41" t="s">
        <v>87</v>
      </c>
      <c r="D392" s="41" t="s">
        <v>104</v>
      </c>
      <c r="E392" s="41" t="s">
        <v>102</v>
      </c>
      <c r="F392" s="41" t="s">
        <v>79</v>
      </c>
      <c r="G392" s="41" t="n">
        <v>80.48</v>
      </c>
      <c r="H392" s="41" t="n">
        <v>3</v>
      </c>
      <c r="I392" s="41" t="n">
        <v>12.072</v>
      </c>
      <c r="J392" s="41" t="n">
        <v>253.512</v>
      </c>
      <c r="K392" s="41" t="s">
        <v>1288</v>
      </c>
      <c r="L392" s="41" t="s">
        <v>1576</v>
      </c>
      <c r="M392" s="41" t="s">
        <v>97</v>
      </c>
      <c r="N392" s="41" t="n">
        <v>241.44</v>
      </c>
      <c r="O392" s="41" t="n">
        <v>4.761904762</v>
      </c>
      <c r="P392" s="41" t="n">
        <v>12.072</v>
      </c>
      <c r="Q392" s="41" t="n">
        <v>8.1</v>
      </c>
    </row>
    <row r="393" customFormat="false" ht="15" hidden="false" customHeight="false" outlineLevel="0" collapsed="false">
      <c r="A393" s="41" t="s">
        <v>571</v>
      </c>
      <c r="B393" s="41" t="s">
        <v>189</v>
      </c>
      <c r="C393" s="41" t="s">
        <v>86</v>
      </c>
      <c r="D393" s="41" t="s">
        <v>105</v>
      </c>
      <c r="E393" s="41" t="s">
        <v>102</v>
      </c>
      <c r="F393" s="41" t="s">
        <v>79</v>
      </c>
      <c r="G393" s="41" t="n">
        <v>37.95</v>
      </c>
      <c r="H393" s="41" t="n">
        <v>10</v>
      </c>
      <c r="I393" s="41" t="n">
        <v>18.975</v>
      </c>
      <c r="J393" s="41" t="n">
        <v>398.475</v>
      </c>
      <c r="K393" s="41" t="s">
        <v>1317</v>
      </c>
      <c r="L393" s="41" t="s">
        <v>1440</v>
      </c>
      <c r="M393" s="41" t="s">
        <v>97</v>
      </c>
      <c r="N393" s="41" t="n">
        <v>379.5</v>
      </c>
      <c r="O393" s="41" t="n">
        <v>4.761904762</v>
      </c>
      <c r="P393" s="41" t="n">
        <v>18.975</v>
      </c>
      <c r="Q393" s="41" t="n">
        <v>9.7</v>
      </c>
    </row>
    <row r="394" customFormat="false" ht="15" hidden="false" customHeight="false" outlineLevel="0" collapsed="false">
      <c r="A394" s="41" t="s">
        <v>572</v>
      </c>
      <c r="B394" s="41" t="s">
        <v>178</v>
      </c>
      <c r="C394" s="41" t="s">
        <v>85</v>
      </c>
      <c r="D394" s="41" t="s">
        <v>104</v>
      </c>
      <c r="E394" s="41" t="s">
        <v>103</v>
      </c>
      <c r="F394" s="41" t="s">
        <v>78</v>
      </c>
      <c r="G394" s="41" t="n">
        <v>76.82</v>
      </c>
      <c r="H394" s="41" t="n">
        <v>1</v>
      </c>
      <c r="I394" s="41" t="n">
        <v>3.841</v>
      </c>
      <c r="J394" s="41" t="n">
        <v>80.661</v>
      </c>
      <c r="K394" s="41" t="s">
        <v>1418</v>
      </c>
      <c r="L394" s="41" t="s">
        <v>1449</v>
      </c>
      <c r="M394" s="41" t="s">
        <v>98</v>
      </c>
      <c r="N394" s="41" t="n">
        <v>76.82</v>
      </c>
      <c r="O394" s="41" t="n">
        <v>4.761904762</v>
      </c>
      <c r="P394" s="41" t="n">
        <v>3.841</v>
      </c>
      <c r="Q394" s="41" t="n">
        <v>7.2</v>
      </c>
    </row>
    <row r="395" customFormat="false" ht="15" hidden="false" customHeight="false" outlineLevel="0" collapsed="false">
      <c r="A395" s="41" t="s">
        <v>573</v>
      </c>
      <c r="B395" s="41" t="s">
        <v>178</v>
      </c>
      <c r="C395" s="41" t="s">
        <v>85</v>
      </c>
      <c r="D395" s="41" t="s">
        <v>104</v>
      </c>
      <c r="E395" s="41" t="s">
        <v>102</v>
      </c>
      <c r="F395" s="41" t="s">
        <v>77</v>
      </c>
      <c r="G395" s="41" t="n">
        <v>52.26</v>
      </c>
      <c r="H395" s="41" t="n">
        <v>10</v>
      </c>
      <c r="I395" s="41" t="n">
        <v>26.13</v>
      </c>
      <c r="J395" s="41" t="n">
        <v>548.73</v>
      </c>
      <c r="K395" s="41" t="s">
        <v>1210</v>
      </c>
      <c r="L395" s="41" t="s">
        <v>1269</v>
      </c>
      <c r="M395" s="41" t="s">
        <v>99</v>
      </c>
      <c r="N395" s="41" t="n">
        <v>522.6</v>
      </c>
      <c r="O395" s="41" t="n">
        <v>4.761904762</v>
      </c>
      <c r="P395" s="41" t="n">
        <v>26.13</v>
      </c>
      <c r="Q395" s="41" t="n">
        <v>6.2</v>
      </c>
    </row>
    <row r="396" customFormat="false" ht="15" hidden="false" customHeight="false" outlineLevel="0" collapsed="false">
      <c r="A396" s="41" t="s">
        <v>574</v>
      </c>
      <c r="B396" s="41" t="s">
        <v>178</v>
      </c>
      <c r="C396" s="41" t="s">
        <v>85</v>
      </c>
      <c r="D396" s="41" t="s">
        <v>105</v>
      </c>
      <c r="E396" s="41" t="s">
        <v>102</v>
      </c>
      <c r="F396" s="41" t="s">
        <v>81</v>
      </c>
      <c r="G396" s="41" t="n">
        <v>79.74</v>
      </c>
      <c r="H396" s="41" t="n">
        <v>1</v>
      </c>
      <c r="I396" s="41" t="n">
        <v>3.987</v>
      </c>
      <c r="J396" s="41" t="n">
        <v>83.727</v>
      </c>
      <c r="K396" s="41" t="s">
        <v>1292</v>
      </c>
      <c r="L396" s="41" t="s">
        <v>1387</v>
      </c>
      <c r="M396" s="41" t="s">
        <v>98</v>
      </c>
      <c r="N396" s="41" t="n">
        <v>79.74</v>
      </c>
      <c r="O396" s="41" t="n">
        <v>4.761904762</v>
      </c>
      <c r="P396" s="41" t="n">
        <v>3.987</v>
      </c>
      <c r="Q396" s="41" t="n">
        <v>7.3</v>
      </c>
    </row>
    <row r="397" customFormat="false" ht="15" hidden="false" customHeight="false" outlineLevel="0" collapsed="false">
      <c r="A397" s="41" t="s">
        <v>575</v>
      </c>
      <c r="B397" s="41" t="s">
        <v>178</v>
      </c>
      <c r="C397" s="41" t="s">
        <v>85</v>
      </c>
      <c r="D397" s="41" t="s">
        <v>105</v>
      </c>
      <c r="E397" s="41" t="s">
        <v>102</v>
      </c>
      <c r="F397" s="41" t="s">
        <v>81</v>
      </c>
      <c r="G397" s="41" t="n">
        <v>77.5</v>
      </c>
      <c r="H397" s="41" t="n">
        <v>5</v>
      </c>
      <c r="I397" s="41" t="n">
        <v>19.375</v>
      </c>
      <c r="J397" s="41" t="n">
        <v>406.875</v>
      </c>
      <c r="K397" s="41" t="s">
        <v>1300</v>
      </c>
      <c r="L397" s="41" t="s">
        <v>1287</v>
      </c>
      <c r="M397" s="41" t="s">
        <v>98</v>
      </c>
      <c r="N397" s="41" t="n">
        <v>387.5</v>
      </c>
      <c r="O397" s="41" t="n">
        <v>4.761904762</v>
      </c>
      <c r="P397" s="41" t="n">
        <v>19.375</v>
      </c>
      <c r="Q397" s="41" t="n">
        <v>4.3</v>
      </c>
    </row>
    <row r="398" customFormat="false" ht="15" hidden="false" customHeight="false" outlineLevel="0" collapsed="false">
      <c r="A398" s="41" t="s">
        <v>576</v>
      </c>
      <c r="B398" s="41" t="s">
        <v>178</v>
      </c>
      <c r="C398" s="41" t="s">
        <v>85</v>
      </c>
      <c r="D398" s="41" t="s">
        <v>105</v>
      </c>
      <c r="E398" s="41" t="s">
        <v>102</v>
      </c>
      <c r="F398" s="41" t="s">
        <v>76</v>
      </c>
      <c r="G398" s="41" t="n">
        <v>54.27</v>
      </c>
      <c r="H398" s="41" t="n">
        <v>5</v>
      </c>
      <c r="I398" s="41" t="n">
        <v>13.5675</v>
      </c>
      <c r="J398" s="41" t="n">
        <v>284.9175</v>
      </c>
      <c r="K398" s="41" t="s">
        <v>1296</v>
      </c>
      <c r="L398" s="41" t="s">
        <v>1518</v>
      </c>
      <c r="M398" s="41" t="s">
        <v>98</v>
      </c>
      <c r="N398" s="41" t="n">
        <v>271.35</v>
      </c>
      <c r="O398" s="41" t="n">
        <v>4.761904762</v>
      </c>
      <c r="P398" s="41" t="n">
        <v>13.5675</v>
      </c>
      <c r="Q398" s="41" t="n">
        <v>4.6</v>
      </c>
    </row>
    <row r="399" customFormat="false" ht="15" hidden="false" customHeight="false" outlineLevel="0" collapsed="false">
      <c r="A399" s="41" t="s">
        <v>577</v>
      </c>
      <c r="B399" s="41" t="s">
        <v>189</v>
      </c>
      <c r="C399" s="41" t="s">
        <v>86</v>
      </c>
      <c r="D399" s="41" t="s">
        <v>105</v>
      </c>
      <c r="E399" s="41" t="s">
        <v>103</v>
      </c>
      <c r="F399" s="41" t="s">
        <v>80</v>
      </c>
      <c r="G399" s="41" t="n">
        <v>13.59</v>
      </c>
      <c r="H399" s="41" t="n">
        <v>9</v>
      </c>
      <c r="I399" s="41" t="n">
        <v>6.1155</v>
      </c>
      <c r="J399" s="41" t="n">
        <v>128.4255</v>
      </c>
      <c r="K399" s="41" t="s">
        <v>1229</v>
      </c>
      <c r="L399" s="41" t="s">
        <v>1577</v>
      </c>
      <c r="M399" s="41" t="s">
        <v>97</v>
      </c>
      <c r="N399" s="41" t="n">
        <v>122.31</v>
      </c>
      <c r="O399" s="41" t="n">
        <v>4.761904762</v>
      </c>
      <c r="P399" s="41" t="n">
        <v>6.1155</v>
      </c>
      <c r="Q399" s="41" t="n">
        <v>5.8</v>
      </c>
    </row>
    <row r="400" customFormat="false" ht="15" hidden="false" customHeight="false" outlineLevel="0" collapsed="false">
      <c r="A400" s="41" t="s">
        <v>578</v>
      </c>
      <c r="B400" s="41" t="s">
        <v>189</v>
      </c>
      <c r="C400" s="41" t="s">
        <v>86</v>
      </c>
      <c r="D400" s="41" t="s">
        <v>104</v>
      </c>
      <c r="E400" s="41" t="s">
        <v>102</v>
      </c>
      <c r="F400" s="41" t="s">
        <v>81</v>
      </c>
      <c r="G400" s="41" t="n">
        <v>41.06</v>
      </c>
      <c r="H400" s="41" t="n">
        <v>6</v>
      </c>
      <c r="I400" s="41" t="n">
        <v>12.318</v>
      </c>
      <c r="J400" s="41" t="n">
        <v>258.678</v>
      </c>
      <c r="K400" s="41" t="s">
        <v>1227</v>
      </c>
      <c r="L400" s="41" t="s">
        <v>1510</v>
      </c>
      <c r="M400" s="41" t="s">
        <v>99</v>
      </c>
      <c r="N400" s="41" t="n">
        <v>246.36</v>
      </c>
      <c r="O400" s="41" t="n">
        <v>4.761904762</v>
      </c>
      <c r="P400" s="41" t="n">
        <v>12.318</v>
      </c>
      <c r="Q400" s="41" t="n">
        <v>8.3</v>
      </c>
    </row>
    <row r="401" customFormat="false" ht="15" hidden="false" customHeight="false" outlineLevel="0" collapsed="false">
      <c r="A401" s="41" t="s">
        <v>579</v>
      </c>
      <c r="B401" s="41" t="s">
        <v>189</v>
      </c>
      <c r="C401" s="41" t="s">
        <v>86</v>
      </c>
      <c r="D401" s="41" t="s">
        <v>104</v>
      </c>
      <c r="E401" s="41" t="s">
        <v>103</v>
      </c>
      <c r="F401" s="41" t="s">
        <v>78</v>
      </c>
      <c r="G401" s="41" t="n">
        <v>19.24</v>
      </c>
      <c r="H401" s="41" t="n">
        <v>9</v>
      </c>
      <c r="I401" s="41" t="n">
        <v>8.658</v>
      </c>
      <c r="J401" s="41" t="n">
        <v>181.818</v>
      </c>
      <c r="K401" s="41" t="s">
        <v>1261</v>
      </c>
      <c r="L401" s="41" t="s">
        <v>1504</v>
      </c>
      <c r="M401" s="41" t="s">
        <v>97</v>
      </c>
      <c r="N401" s="41" t="n">
        <v>173.16</v>
      </c>
      <c r="O401" s="41" t="n">
        <v>4.761904762</v>
      </c>
      <c r="P401" s="41" t="n">
        <v>8.658</v>
      </c>
      <c r="Q401" s="41" t="n">
        <v>8</v>
      </c>
    </row>
    <row r="402" customFormat="false" ht="15" hidden="false" customHeight="false" outlineLevel="0" collapsed="false">
      <c r="A402" s="41" t="s">
        <v>580</v>
      </c>
      <c r="B402" s="41" t="s">
        <v>180</v>
      </c>
      <c r="C402" s="41" t="s">
        <v>87</v>
      </c>
      <c r="D402" s="41" t="s">
        <v>105</v>
      </c>
      <c r="E402" s="41" t="s">
        <v>102</v>
      </c>
      <c r="F402" s="41" t="s">
        <v>76</v>
      </c>
      <c r="G402" s="41" t="n">
        <v>39.43</v>
      </c>
      <c r="H402" s="41" t="n">
        <v>6</v>
      </c>
      <c r="I402" s="41" t="n">
        <v>11.829</v>
      </c>
      <c r="J402" s="41" t="n">
        <v>248.409</v>
      </c>
      <c r="K402" s="41" t="s">
        <v>1198</v>
      </c>
      <c r="L402" s="41" t="s">
        <v>1578</v>
      </c>
      <c r="M402" s="41" t="s">
        <v>99</v>
      </c>
      <c r="N402" s="41" t="n">
        <v>236.58</v>
      </c>
      <c r="O402" s="41" t="n">
        <v>4.761904762</v>
      </c>
      <c r="P402" s="41" t="n">
        <v>11.829</v>
      </c>
      <c r="Q402" s="41" t="n">
        <v>9.4</v>
      </c>
    </row>
    <row r="403" customFormat="false" ht="15" hidden="false" customHeight="false" outlineLevel="0" collapsed="false">
      <c r="A403" s="41" t="s">
        <v>581</v>
      </c>
      <c r="B403" s="41" t="s">
        <v>180</v>
      </c>
      <c r="C403" s="41" t="s">
        <v>87</v>
      </c>
      <c r="D403" s="41" t="s">
        <v>105</v>
      </c>
      <c r="E403" s="41" t="s">
        <v>103</v>
      </c>
      <c r="F403" s="41" t="s">
        <v>80</v>
      </c>
      <c r="G403" s="41" t="n">
        <v>46.22</v>
      </c>
      <c r="H403" s="41" t="n">
        <v>4</v>
      </c>
      <c r="I403" s="41" t="n">
        <v>9.244</v>
      </c>
      <c r="J403" s="41" t="n">
        <v>194.124</v>
      </c>
      <c r="K403" s="41" t="s">
        <v>1286</v>
      </c>
      <c r="L403" s="41" t="s">
        <v>1579</v>
      </c>
      <c r="M403" s="41" t="s">
        <v>99</v>
      </c>
      <c r="N403" s="41" t="n">
        <v>184.88</v>
      </c>
      <c r="O403" s="41" t="n">
        <v>4.761904762</v>
      </c>
      <c r="P403" s="41" t="n">
        <v>9.244</v>
      </c>
      <c r="Q403" s="41" t="n">
        <v>6.2</v>
      </c>
    </row>
    <row r="404" customFormat="false" ht="15" hidden="false" customHeight="false" outlineLevel="0" collapsed="false">
      <c r="A404" s="41" t="s">
        <v>582</v>
      </c>
      <c r="B404" s="41" t="s">
        <v>180</v>
      </c>
      <c r="C404" s="41" t="s">
        <v>87</v>
      </c>
      <c r="D404" s="41" t="s">
        <v>104</v>
      </c>
      <c r="E404" s="41" t="s">
        <v>103</v>
      </c>
      <c r="F404" s="41" t="s">
        <v>80</v>
      </c>
      <c r="G404" s="41" t="n">
        <v>13.98</v>
      </c>
      <c r="H404" s="41" t="n">
        <v>1</v>
      </c>
      <c r="I404" s="41" t="n">
        <v>0.699</v>
      </c>
      <c r="J404" s="41" t="n">
        <v>14.679</v>
      </c>
      <c r="K404" s="41" t="s">
        <v>1549</v>
      </c>
      <c r="L404" s="41" t="s">
        <v>1580</v>
      </c>
      <c r="M404" s="41" t="s">
        <v>98</v>
      </c>
      <c r="N404" s="41" t="n">
        <v>13.98</v>
      </c>
      <c r="O404" s="41" t="n">
        <v>4.761904762</v>
      </c>
      <c r="P404" s="41" t="n">
        <v>0.699</v>
      </c>
      <c r="Q404" s="41" t="n">
        <v>9.8</v>
      </c>
    </row>
    <row r="405" customFormat="false" ht="15" hidden="false" customHeight="false" outlineLevel="0" collapsed="false">
      <c r="A405" s="41" t="s">
        <v>583</v>
      </c>
      <c r="B405" s="41" t="s">
        <v>189</v>
      </c>
      <c r="C405" s="41" t="s">
        <v>86</v>
      </c>
      <c r="D405" s="41" t="s">
        <v>105</v>
      </c>
      <c r="E405" s="41" t="s">
        <v>102</v>
      </c>
      <c r="F405" s="41" t="s">
        <v>79</v>
      </c>
      <c r="G405" s="41" t="n">
        <v>39.75</v>
      </c>
      <c r="H405" s="41" t="n">
        <v>5</v>
      </c>
      <c r="I405" s="41" t="n">
        <v>9.9375</v>
      </c>
      <c r="J405" s="41" t="n">
        <v>208.6875</v>
      </c>
      <c r="K405" s="41" t="s">
        <v>1386</v>
      </c>
      <c r="L405" s="41" t="s">
        <v>1350</v>
      </c>
      <c r="M405" s="41" t="s">
        <v>98</v>
      </c>
      <c r="N405" s="41" t="n">
        <v>198.75</v>
      </c>
      <c r="O405" s="41" t="n">
        <v>4.761904762</v>
      </c>
      <c r="P405" s="41" t="n">
        <v>9.9375</v>
      </c>
      <c r="Q405" s="41" t="n">
        <v>9.6</v>
      </c>
    </row>
    <row r="406" customFormat="false" ht="15" hidden="false" customHeight="false" outlineLevel="0" collapsed="false">
      <c r="A406" s="41" t="s">
        <v>584</v>
      </c>
      <c r="B406" s="41" t="s">
        <v>180</v>
      </c>
      <c r="C406" s="41" t="s">
        <v>87</v>
      </c>
      <c r="D406" s="41" t="s">
        <v>104</v>
      </c>
      <c r="E406" s="41" t="s">
        <v>102</v>
      </c>
      <c r="F406" s="41" t="s">
        <v>79</v>
      </c>
      <c r="G406" s="41" t="n">
        <v>97.79</v>
      </c>
      <c r="H406" s="41" t="n">
        <v>7</v>
      </c>
      <c r="I406" s="41" t="n">
        <v>34.2265</v>
      </c>
      <c r="J406" s="41" t="n">
        <v>718.7565</v>
      </c>
      <c r="K406" s="41" t="s">
        <v>1381</v>
      </c>
      <c r="L406" s="41" t="s">
        <v>1581</v>
      </c>
      <c r="M406" s="41" t="s">
        <v>98</v>
      </c>
      <c r="N406" s="41" t="n">
        <v>684.53</v>
      </c>
      <c r="O406" s="41" t="n">
        <v>4.761904762</v>
      </c>
      <c r="P406" s="41" t="n">
        <v>34.2265</v>
      </c>
      <c r="Q406" s="41" t="n">
        <v>4.9</v>
      </c>
    </row>
    <row r="407" customFormat="false" ht="15" hidden="false" customHeight="false" outlineLevel="0" collapsed="false">
      <c r="A407" s="41" t="s">
        <v>585</v>
      </c>
      <c r="B407" s="41" t="s">
        <v>178</v>
      </c>
      <c r="C407" s="41" t="s">
        <v>85</v>
      </c>
      <c r="D407" s="41" t="s">
        <v>104</v>
      </c>
      <c r="E407" s="41" t="s">
        <v>103</v>
      </c>
      <c r="F407" s="41" t="s">
        <v>77</v>
      </c>
      <c r="G407" s="41" t="n">
        <v>67.26</v>
      </c>
      <c r="H407" s="41" t="n">
        <v>4</v>
      </c>
      <c r="I407" s="41" t="n">
        <v>13.452</v>
      </c>
      <c r="J407" s="41" t="n">
        <v>282.492</v>
      </c>
      <c r="K407" s="41" t="s">
        <v>1356</v>
      </c>
      <c r="L407" s="41" t="s">
        <v>1582</v>
      </c>
      <c r="M407" s="41" t="s">
        <v>99</v>
      </c>
      <c r="N407" s="41" t="n">
        <v>269.04</v>
      </c>
      <c r="O407" s="41" t="n">
        <v>4.761904762</v>
      </c>
      <c r="P407" s="41" t="n">
        <v>13.452</v>
      </c>
      <c r="Q407" s="41" t="n">
        <v>8</v>
      </c>
    </row>
    <row r="408" customFormat="false" ht="15" hidden="false" customHeight="false" outlineLevel="0" collapsed="false">
      <c r="A408" s="41" t="s">
        <v>586</v>
      </c>
      <c r="B408" s="41" t="s">
        <v>178</v>
      </c>
      <c r="C408" s="41" t="s">
        <v>85</v>
      </c>
      <c r="D408" s="41" t="s">
        <v>105</v>
      </c>
      <c r="E408" s="41" t="s">
        <v>103</v>
      </c>
      <c r="F408" s="41" t="s">
        <v>76</v>
      </c>
      <c r="G408" s="41" t="n">
        <v>13.79</v>
      </c>
      <c r="H408" s="41" t="n">
        <v>5</v>
      </c>
      <c r="I408" s="41" t="n">
        <v>3.4475</v>
      </c>
      <c r="J408" s="41" t="n">
        <v>72.3975</v>
      </c>
      <c r="K408" s="41" t="s">
        <v>1460</v>
      </c>
      <c r="L408" s="41" t="s">
        <v>1583</v>
      </c>
      <c r="M408" s="41" t="s">
        <v>99</v>
      </c>
      <c r="N408" s="41" t="n">
        <v>68.95</v>
      </c>
      <c r="O408" s="41" t="n">
        <v>4.761904762</v>
      </c>
      <c r="P408" s="41" t="n">
        <v>3.4475</v>
      </c>
      <c r="Q408" s="41" t="n">
        <v>7.8</v>
      </c>
    </row>
    <row r="409" customFormat="false" ht="15" hidden="false" customHeight="false" outlineLevel="0" collapsed="false">
      <c r="A409" s="41" t="s">
        <v>587</v>
      </c>
      <c r="B409" s="41" t="s">
        <v>189</v>
      </c>
      <c r="C409" s="41" t="s">
        <v>86</v>
      </c>
      <c r="D409" s="41" t="s">
        <v>104</v>
      </c>
      <c r="E409" s="41" t="s">
        <v>102</v>
      </c>
      <c r="F409" s="41" t="s">
        <v>79</v>
      </c>
      <c r="G409" s="41" t="n">
        <v>68.71</v>
      </c>
      <c r="H409" s="41" t="n">
        <v>4</v>
      </c>
      <c r="I409" s="41" t="n">
        <v>13.742</v>
      </c>
      <c r="J409" s="41" t="n">
        <v>288.582</v>
      </c>
      <c r="K409" s="41" t="s">
        <v>1396</v>
      </c>
      <c r="L409" s="41" t="s">
        <v>1280</v>
      </c>
      <c r="M409" s="41" t="s">
        <v>97</v>
      </c>
      <c r="N409" s="41" t="n">
        <v>274.84</v>
      </c>
      <c r="O409" s="41" t="n">
        <v>4.761904762</v>
      </c>
      <c r="P409" s="41" t="n">
        <v>13.742</v>
      </c>
      <c r="Q409" s="41" t="n">
        <v>4.1</v>
      </c>
    </row>
    <row r="410" customFormat="false" ht="15" hidden="false" customHeight="false" outlineLevel="0" collapsed="false">
      <c r="A410" s="41" t="s">
        <v>588</v>
      </c>
      <c r="B410" s="41" t="s">
        <v>178</v>
      </c>
      <c r="C410" s="41" t="s">
        <v>85</v>
      </c>
      <c r="D410" s="41" t="s">
        <v>105</v>
      </c>
      <c r="E410" s="41" t="s">
        <v>102</v>
      </c>
      <c r="F410" s="41" t="s">
        <v>80</v>
      </c>
      <c r="G410" s="41" t="n">
        <v>56.53</v>
      </c>
      <c r="H410" s="41" t="n">
        <v>4</v>
      </c>
      <c r="I410" s="41" t="n">
        <v>11.306</v>
      </c>
      <c r="J410" s="41" t="n">
        <v>237.426</v>
      </c>
      <c r="K410" s="41" t="s">
        <v>1261</v>
      </c>
      <c r="L410" s="41" t="s">
        <v>1241</v>
      </c>
      <c r="M410" s="41" t="s">
        <v>98</v>
      </c>
      <c r="N410" s="41" t="n">
        <v>226.12</v>
      </c>
      <c r="O410" s="41" t="n">
        <v>4.761904762</v>
      </c>
      <c r="P410" s="41" t="n">
        <v>11.306</v>
      </c>
      <c r="Q410" s="41" t="n">
        <v>5.5</v>
      </c>
    </row>
    <row r="411" customFormat="false" ht="15" hidden="false" customHeight="false" outlineLevel="0" collapsed="false">
      <c r="A411" s="41" t="s">
        <v>589</v>
      </c>
      <c r="B411" s="41" t="s">
        <v>180</v>
      </c>
      <c r="C411" s="41" t="s">
        <v>87</v>
      </c>
      <c r="D411" s="41" t="s">
        <v>105</v>
      </c>
      <c r="E411" s="41" t="s">
        <v>102</v>
      </c>
      <c r="F411" s="41" t="s">
        <v>79</v>
      </c>
      <c r="G411" s="41" t="n">
        <v>23.82</v>
      </c>
      <c r="H411" s="41" t="n">
        <v>5</v>
      </c>
      <c r="I411" s="41" t="n">
        <v>5.955</v>
      </c>
      <c r="J411" s="41" t="n">
        <v>125.055</v>
      </c>
      <c r="K411" s="41" t="s">
        <v>1244</v>
      </c>
      <c r="L411" s="41" t="s">
        <v>1493</v>
      </c>
      <c r="M411" s="41" t="s">
        <v>98</v>
      </c>
      <c r="N411" s="41" t="n">
        <v>119.1</v>
      </c>
      <c r="O411" s="41" t="n">
        <v>4.761904762</v>
      </c>
      <c r="P411" s="41" t="n">
        <v>5.955</v>
      </c>
      <c r="Q411" s="41" t="n">
        <v>5.4</v>
      </c>
    </row>
    <row r="412" customFormat="false" ht="15" hidden="false" customHeight="false" outlineLevel="0" collapsed="false">
      <c r="A412" s="41" t="s">
        <v>590</v>
      </c>
      <c r="B412" s="41" t="s">
        <v>189</v>
      </c>
      <c r="C412" s="41" t="s">
        <v>86</v>
      </c>
      <c r="D412" s="41" t="s">
        <v>105</v>
      </c>
      <c r="E412" s="41" t="s">
        <v>102</v>
      </c>
      <c r="F412" s="41" t="s">
        <v>81</v>
      </c>
      <c r="G412" s="41" t="n">
        <v>34.21</v>
      </c>
      <c r="H412" s="41" t="n">
        <v>10</v>
      </c>
      <c r="I412" s="41" t="n">
        <v>17.105</v>
      </c>
      <c r="J412" s="41" t="n">
        <v>359.205</v>
      </c>
      <c r="K412" s="41" t="s">
        <v>1326</v>
      </c>
      <c r="L412" s="41" t="s">
        <v>159</v>
      </c>
      <c r="M412" s="41" t="s">
        <v>97</v>
      </c>
      <c r="N412" s="41" t="n">
        <v>342.1</v>
      </c>
      <c r="O412" s="41" t="n">
        <v>4.761904762</v>
      </c>
      <c r="P412" s="41" t="n">
        <v>17.105</v>
      </c>
      <c r="Q412" s="41" t="n">
        <v>5.1</v>
      </c>
    </row>
    <row r="413" customFormat="false" ht="15" hidden="false" customHeight="false" outlineLevel="0" collapsed="false">
      <c r="A413" s="41" t="s">
        <v>591</v>
      </c>
      <c r="B413" s="41" t="s">
        <v>189</v>
      </c>
      <c r="C413" s="41" t="s">
        <v>86</v>
      </c>
      <c r="D413" s="41" t="s">
        <v>105</v>
      </c>
      <c r="E413" s="41" t="s">
        <v>103</v>
      </c>
      <c r="F413" s="41" t="s">
        <v>77</v>
      </c>
      <c r="G413" s="41" t="n">
        <v>21.87</v>
      </c>
      <c r="H413" s="41" t="n">
        <v>2</v>
      </c>
      <c r="I413" s="41" t="n">
        <v>2.187</v>
      </c>
      <c r="J413" s="41" t="n">
        <v>45.927</v>
      </c>
      <c r="K413" s="41" t="s">
        <v>1240</v>
      </c>
      <c r="L413" s="41" t="s">
        <v>1461</v>
      </c>
      <c r="M413" s="41" t="s">
        <v>98</v>
      </c>
      <c r="N413" s="41" t="n">
        <v>43.74</v>
      </c>
      <c r="O413" s="41" t="n">
        <v>4.761904762</v>
      </c>
      <c r="P413" s="41" t="n">
        <v>2.187</v>
      </c>
      <c r="Q413" s="41" t="n">
        <v>6.9</v>
      </c>
    </row>
    <row r="414" customFormat="false" ht="15" hidden="false" customHeight="false" outlineLevel="0" collapsed="false">
      <c r="A414" s="41" t="s">
        <v>592</v>
      </c>
      <c r="B414" s="41" t="s">
        <v>178</v>
      </c>
      <c r="C414" s="41" t="s">
        <v>85</v>
      </c>
      <c r="D414" s="41" t="s">
        <v>104</v>
      </c>
      <c r="E414" s="41" t="s">
        <v>103</v>
      </c>
      <c r="F414" s="41" t="s">
        <v>81</v>
      </c>
      <c r="G414" s="41" t="n">
        <v>20.97</v>
      </c>
      <c r="H414" s="41" t="n">
        <v>5</v>
      </c>
      <c r="I414" s="41" t="n">
        <v>5.2425</v>
      </c>
      <c r="J414" s="41" t="n">
        <v>110.0925</v>
      </c>
      <c r="K414" s="41" t="s">
        <v>1396</v>
      </c>
      <c r="L414" s="41" t="s">
        <v>1534</v>
      </c>
      <c r="M414" s="41" t="s">
        <v>97</v>
      </c>
      <c r="N414" s="41" t="n">
        <v>104.85</v>
      </c>
      <c r="O414" s="41" t="n">
        <v>4.761904762</v>
      </c>
      <c r="P414" s="41" t="n">
        <v>5.2425</v>
      </c>
      <c r="Q414" s="41" t="n">
        <v>7.8</v>
      </c>
    </row>
    <row r="415" customFormat="false" ht="15" hidden="false" customHeight="false" outlineLevel="0" collapsed="false">
      <c r="A415" s="41" t="s">
        <v>593</v>
      </c>
      <c r="B415" s="41" t="s">
        <v>178</v>
      </c>
      <c r="C415" s="41" t="s">
        <v>85</v>
      </c>
      <c r="D415" s="41" t="s">
        <v>105</v>
      </c>
      <c r="E415" s="41" t="s">
        <v>103</v>
      </c>
      <c r="F415" s="41" t="s">
        <v>77</v>
      </c>
      <c r="G415" s="41" t="n">
        <v>25.84</v>
      </c>
      <c r="H415" s="41" t="n">
        <v>3</v>
      </c>
      <c r="I415" s="41" t="n">
        <v>3.876</v>
      </c>
      <c r="J415" s="41" t="n">
        <v>81.396</v>
      </c>
      <c r="K415" s="41" t="s">
        <v>1238</v>
      </c>
      <c r="L415" s="41" t="s">
        <v>1584</v>
      </c>
      <c r="M415" s="41" t="s">
        <v>98</v>
      </c>
      <c r="N415" s="41" t="n">
        <v>77.52</v>
      </c>
      <c r="O415" s="41" t="n">
        <v>4.761904762</v>
      </c>
      <c r="P415" s="41" t="n">
        <v>3.876</v>
      </c>
      <c r="Q415" s="41" t="n">
        <v>6.6</v>
      </c>
    </row>
    <row r="416" customFormat="false" ht="15" hidden="false" customHeight="false" outlineLevel="0" collapsed="false">
      <c r="A416" s="41" t="s">
        <v>594</v>
      </c>
      <c r="B416" s="41" t="s">
        <v>178</v>
      </c>
      <c r="C416" s="41" t="s">
        <v>85</v>
      </c>
      <c r="D416" s="41" t="s">
        <v>105</v>
      </c>
      <c r="E416" s="41" t="s">
        <v>103</v>
      </c>
      <c r="F416" s="41" t="s">
        <v>80</v>
      </c>
      <c r="G416" s="41" t="n">
        <v>50.93</v>
      </c>
      <c r="H416" s="41" t="n">
        <v>8</v>
      </c>
      <c r="I416" s="41" t="n">
        <v>20.372</v>
      </c>
      <c r="J416" s="41" t="n">
        <v>427.812</v>
      </c>
      <c r="K416" s="41" t="s">
        <v>1235</v>
      </c>
      <c r="L416" s="41" t="s">
        <v>1585</v>
      </c>
      <c r="M416" s="41" t="s">
        <v>98</v>
      </c>
      <c r="N416" s="41" t="n">
        <v>407.44</v>
      </c>
      <c r="O416" s="41" t="n">
        <v>4.761904762</v>
      </c>
      <c r="P416" s="41" t="n">
        <v>20.372</v>
      </c>
      <c r="Q416" s="41" t="n">
        <v>9.2</v>
      </c>
    </row>
    <row r="417" customFormat="false" ht="15" hidden="false" customHeight="false" outlineLevel="0" collapsed="false">
      <c r="A417" s="41" t="s">
        <v>595</v>
      </c>
      <c r="B417" s="41" t="s">
        <v>189</v>
      </c>
      <c r="C417" s="41" t="s">
        <v>86</v>
      </c>
      <c r="D417" s="41" t="s">
        <v>105</v>
      </c>
      <c r="E417" s="41" t="s">
        <v>103</v>
      </c>
      <c r="F417" s="41" t="s">
        <v>81</v>
      </c>
      <c r="G417" s="41" t="n">
        <v>96.11</v>
      </c>
      <c r="H417" s="41" t="n">
        <v>1</v>
      </c>
      <c r="I417" s="41" t="n">
        <v>4.8055</v>
      </c>
      <c r="J417" s="41" t="n">
        <v>100.9155</v>
      </c>
      <c r="K417" s="41" t="s">
        <v>1240</v>
      </c>
      <c r="L417" s="41" t="s">
        <v>1504</v>
      </c>
      <c r="M417" s="41" t="s">
        <v>98</v>
      </c>
      <c r="N417" s="41" t="n">
        <v>96.11</v>
      </c>
      <c r="O417" s="41" t="n">
        <v>4.761904762</v>
      </c>
      <c r="P417" s="41" t="n">
        <v>4.8055</v>
      </c>
      <c r="Q417" s="41" t="n">
        <v>7.8</v>
      </c>
    </row>
    <row r="418" customFormat="false" ht="15" hidden="false" customHeight="false" outlineLevel="0" collapsed="false">
      <c r="A418" s="41" t="s">
        <v>596</v>
      </c>
      <c r="B418" s="41" t="s">
        <v>180</v>
      </c>
      <c r="C418" s="41" t="s">
        <v>87</v>
      </c>
      <c r="D418" s="41" t="s">
        <v>105</v>
      </c>
      <c r="E418" s="41" t="s">
        <v>102</v>
      </c>
      <c r="F418" s="41" t="s">
        <v>80</v>
      </c>
      <c r="G418" s="41" t="n">
        <v>45.38</v>
      </c>
      <c r="H418" s="41" t="n">
        <v>4</v>
      </c>
      <c r="I418" s="41" t="n">
        <v>9.076</v>
      </c>
      <c r="J418" s="41" t="n">
        <v>190.596</v>
      </c>
      <c r="K418" s="41" t="s">
        <v>1369</v>
      </c>
      <c r="L418" s="41" t="s">
        <v>1384</v>
      </c>
      <c r="M418" s="41" t="s">
        <v>99</v>
      </c>
      <c r="N418" s="41" t="n">
        <v>181.52</v>
      </c>
      <c r="O418" s="41" t="n">
        <v>4.761904762</v>
      </c>
      <c r="P418" s="41" t="n">
        <v>9.076</v>
      </c>
      <c r="Q418" s="41" t="n">
        <v>8.7</v>
      </c>
    </row>
    <row r="419" customFormat="false" ht="15" hidden="false" customHeight="false" outlineLevel="0" collapsed="false">
      <c r="A419" s="41" t="s">
        <v>597</v>
      </c>
      <c r="B419" s="41" t="s">
        <v>180</v>
      </c>
      <c r="C419" s="41" t="s">
        <v>87</v>
      </c>
      <c r="D419" s="41" t="s">
        <v>104</v>
      </c>
      <c r="E419" s="41" t="s">
        <v>102</v>
      </c>
      <c r="F419" s="41" t="s">
        <v>81</v>
      </c>
      <c r="G419" s="41" t="n">
        <v>81.51</v>
      </c>
      <c r="H419" s="41" t="n">
        <v>1</v>
      </c>
      <c r="I419" s="41" t="n">
        <v>4.0755</v>
      </c>
      <c r="J419" s="41" t="n">
        <v>85.5855</v>
      </c>
      <c r="K419" s="41" t="s">
        <v>1308</v>
      </c>
      <c r="L419" s="41" t="s">
        <v>1586</v>
      </c>
      <c r="M419" s="41" t="s">
        <v>98</v>
      </c>
      <c r="N419" s="41" t="n">
        <v>81.51</v>
      </c>
      <c r="O419" s="41" t="n">
        <v>4.761904762</v>
      </c>
      <c r="P419" s="41" t="n">
        <v>4.0755</v>
      </c>
      <c r="Q419" s="41" t="n">
        <v>9.2</v>
      </c>
    </row>
    <row r="420" customFormat="false" ht="15" hidden="false" customHeight="false" outlineLevel="0" collapsed="false">
      <c r="A420" s="41" t="s">
        <v>598</v>
      </c>
      <c r="B420" s="41" t="s">
        <v>189</v>
      </c>
      <c r="C420" s="41" t="s">
        <v>86</v>
      </c>
      <c r="D420" s="41" t="s">
        <v>105</v>
      </c>
      <c r="E420" s="41" t="s">
        <v>102</v>
      </c>
      <c r="F420" s="41" t="s">
        <v>81</v>
      </c>
      <c r="G420" s="41" t="n">
        <v>57.22</v>
      </c>
      <c r="H420" s="41" t="n">
        <v>2</v>
      </c>
      <c r="I420" s="41" t="n">
        <v>5.722</v>
      </c>
      <c r="J420" s="41" t="n">
        <v>120.162</v>
      </c>
      <c r="K420" s="41" t="s">
        <v>1313</v>
      </c>
      <c r="L420" s="41" t="s">
        <v>1587</v>
      </c>
      <c r="M420" s="41" t="s">
        <v>98</v>
      </c>
      <c r="N420" s="41" t="n">
        <v>114.44</v>
      </c>
      <c r="O420" s="41" t="n">
        <v>4.761904762</v>
      </c>
      <c r="P420" s="41" t="n">
        <v>5.722</v>
      </c>
      <c r="Q420" s="41" t="n">
        <v>8.3</v>
      </c>
    </row>
    <row r="421" customFormat="false" ht="15" hidden="false" customHeight="false" outlineLevel="0" collapsed="false">
      <c r="A421" s="41" t="s">
        <v>599</v>
      </c>
      <c r="B421" s="41" t="s">
        <v>178</v>
      </c>
      <c r="C421" s="41" t="s">
        <v>85</v>
      </c>
      <c r="D421" s="41" t="s">
        <v>104</v>
      </c>
      <c r="E421" s="41" t="s">
        <v>102</v>
      </c>
      <c r="F421" s="41" t="s">
        <v>78</v>
      </c>
      <c r="G421" s="41" t="n">
        <v>25.22</v>
      </c>
      <c r="H421" s="41" t="n">
        <v>7</v>
      </c>
      <c r="I421" s="41" t="n">
        <v>8.827</v>
      </c>
      <c r="J421" s="41" t="n">
        <v>185.367</v>
      </c>
      <c r="K421" s="41" t="s">
        <v>1549</v>
      </c>
      <c r="L421" s="41" t="s">
        <v>1324</v>
      </c>
      <c r="M421" s="41" t="s">
        <v>97</v>
      </c>
      <c r="N421" s="41" t="n">
        <v>176.54</v>
      </c>
      <c r="O421" s="41" t="n">
        <v>4.761904762</v>
      </c>
      <c r="P421" s="41" t="n">
        <v>8.827</v>
      </c>
      <c r="Q421" s="41" t="n">
        <v>8.2</v>
      </c>
    </row>
    <row r="422" customFormat="false" ht="15" hidden="false" customHeight="false" outlineLevel="0" collapsed="false">
      <c r="A422" s="41" t="s">
        <v>600</v>
      </c>
      <c r="B422" s="41" t="s">
        <v>180</v>
      </c>
      <c r="C422" s="41" t="s">
        <v>87</v>
      </c>
      <c r="D422" s="41" t="s">
        <v>104</v>
      </c>
      <c r="E422" s="41" t="s">
        <v>102</v>
      </c>
      <c r="F422" s="41" t="s">
        <v>76</v>
      </c>
      <c r="G422" s="41" t="n">
        <v>38.6</v>
      </c>
      <c r="H422" s="41" t="n">
        <v>3</v>
      </c>
      <c r="I422" s="41" t="n">
        <v>5.79</v>
      </c>
      <c r="J422" s="41" t="n">
        <v>121.59</v>
      </c>
      <c r="K422" s="41" t="s">
        <v>1343</v>
      </c>
      <c r="L422" s="41" t="s">
        <v>1588</v>
      </c>
      <c r="M422" s="41" t="s">
        <v>98</v>
      </c>
      <c r="N422" s="41" t="n">
        <v>115.8</v>
      </c>
      <c r="O422" s="41" t="n">
        <v>4.761904762</v>
      </c>
      <c r="P422" s="41" t="n">
        <v>5.79</v>
      </c>
      <c r="Q422" s="41" t="n">
        <v>7.5</v>
      </c>
    </row>
    <row r="423" customFormat="false" ht="15" hidden="false" customHeight="false" outlineLevel="0" collapsed="false">
      <c r="A423" s="41" t="s">
        <v>601</v>
      </c>
      <c r="B423" s="41" t="s">
        <v>180</v>
      </c>
      <c r="C423" s="41" t="s">
        <v>87</v>
      </c>
      <c r="D423" s="41" t="s">
        <v>105</v>
      </c>
      <c r="E423" s="41" t="s">
        <v>102</v>
      </c>
      <c r="F423" s="41" t="s">
        <v>78</v>
      </c>
      <c r="G423" s="41" t="n">
        <v>84.05</v>
      </c>
      <c r="H423" s="41" t="n">
        <v>3</v>
      </c>
      <c r="I423" s="41" t="n">
        <v>12.6075</v>
      </c>
      <c r="J423" s="41" t="n">
        <v>264.7575</v>
      </c>
      <c r="K423" s="41" t="s">
        <v>1319</v>
      </c>
      <c r="L423" s="41" t="s">
        <v>1505</v>
      </c>
      <c r="M423" s="41" t="s">
        <v>97</v>
      </c>
      <c r="N423" s="41" t="n">
        <v>252.15</v>
      </c>
      <c r="O423" s="41" t="n">
        <v>4.761904762</v>
      </c>
      <c r="P423" s="41" t="n">
        <v>12.6075</v>
      </c>
      <c r="Q423" s="41" t="n">
        <v>9.8</v>
      </c>
    </row>
    <row r="424" customFormat="false" ht="15" hidden="false" customHeight="false" outlineLevel="0" collapsed="false">
      <c r="A424" s="41" t="s">
        <v>602</v>
      </c>
      <c r="B424" s="41" t="s">
        <v>180</v>
      </c>
      <c r="C424" s="41" t="s">
        <v>87</v>
      </c>
      <c r="D424" s="41" t="s">
        <v>104</v>
      </c>
      <c r="E424" s="41" t="s">
        <v>102</v>
      </c>
      <c r="F424" s="41" t="s">
        <v>79</v>
      </c>
      <c r="G424" s="41" t="n">
        <v>97.21</v>
      </c>
      <c r="H424" s="41" t="n">
        <v>10</v>
      </c>
      <c r="I424" s="41" t="n">
        <v>48.605</v>
      </c>
      <c r="J424" s="41" t="n">
        <v>1020.705</v>
      </c>
      <c r="K424" s="41" t="s">
        <v>1196</v>
      </c>
      <c r="L424" s="41" t="s">
        <v>159</v>
      </c>
      <c r="M424" s="41" t="s">
        <v>99</v>
      </c>
      <c r="N424" s="41" t="n">
        <v>972.1</v>
      </c>
      <c r="O424" s="41" t="n">
        <v>4.761904762</v>
      </c>
      <c r="P424" s="41" t="n">
        <v>48.605</v>
      </c>
      <c r="Q424" s="41" t="n">
        <v>8.7</v>
      </c>
    </row>
    <row r="425" customFormat="false" ht="15" hidden="false" customHeight="false" outlineLevel="0" collapsed="false">
      <c r="A425" s="41" t="s">
        <v>603</v>
      </c>
      <c r="B425" s="41" t="s">
        <v>189</v>
      </c>
      <c r="C425" s="41" t="s">
        <v>86</v>
      </c>
      <c r="D425" s="41" t="s">
        <v>104</v>
      </c>
      <c r="E425" s="41" t="s">
        <v>103</v>
      </c>
      <c r="F425" s="41" t="s">
        <v>79</v>
      </c>
      <c r="G425" s="41" t="n">
        <v>25.42</v>
      </c>
      <c r="H425" s="41" t="n">
        <v>8</v>
      </c>
      <c r="I425" s="41" t="n">
        <v>10.168</v>
      </c>
      <c r="J425" s="41" t="n">
        <v>213.528</v>
      </c>
      <c r="K425" s="41" t="s">
        <v>1270</v>
      </c>
      <c r="L425" s="41" t="s">
        <v>1405</v>
      </c>
      <c r="M425" s="41" t="s">
        <v>99</v>
      </c>
      <c r="N425" s="41" t="n">
        <v>203.36</v>
      </c>
      <c r="O425" s="41" t="n">
        <v>4.761904762</v>
      </c>
      <c r="P425" s="41" t="n">
        <v>10.168</v>
      </c>
      <c r="Q425" s="41" t="n">
        <v>6.7</v>
      </c>
    </row>
    <row r="426" customFormat="false" ht="15" hidden="false" customHeight="false" outlineLevel="0" collapsed="false">
      <c r="A426" s="41" t="s">
        <v>604</v>
      </c>
      <c r="B426" s="41" t="s">
        <v>180</v>
      </c>
      <c r="C426" s="41" t="s">
        <v>87</v>
      </c>
      <c r="D426" s="41" t="s">
        <v>105</v>
      </c>
      <c r="E426" s="41" t="s">
        <v>103</v>
      </c>
      <c r="F426" s="41" t="s">
        <v>79</v>
      </c>
      <c r="G426" s="41" t="n">
        <v>16.28</v>
      </c>
      <c r="H426" s="41" t="n">
        <v>1</v>
      </c>
      <c r="I426" s="41" t="n">
        <v>0.814</v>
      </c>
      <c r="J426" s="41" t="n">
        <v>17.094</v>
      </c>
      <c r="K426" s="41" t="s">
        <v>1210</v>
      </c>
      <c r="L426" s="41" t="s">
        <v>1242</v>
      </c>
      <c r="M426" s="41" t="s">
        <v>97</v>
      </c>
      <c r="N426" s="41" t="n">
        <v>16.28</v>
      </c>
      <c r="O426" s="41" t="n">
        <v>4.761904762</v>
      </c>
      <c r="P426" s="41" t="n">
        <v>0.814</v>
      </c>
      <c r="Q426" s="41" t="n">
        <v>5</v>
      </c>
    </row>
    <row r="427" customFormat="false" ht="15" hidden="false" customHeight="false" outlineLevel="0" collapsed="false">
      <c r="A427" s="41" t="s">
        <v>605</v>
      </c>
      <c r="B427" s="41" t="s">
        <v>189</v>
      </c>
      <c r="C427" s="41" t="s">
        <v>86</v>
      </c>
      <c r="D427" s="41" t="s">
        <v>104</v>
      </c>
      <c r="E427" s="41" t="s">
        <v>103</v>
      </c>
      <c r="F427" s="41" t="s">
        <v>79</v>
      </c>
      <c r="G427" s="41" t="n">
        <v>40.61</v>
      </c>
      <c r="H427" s="41" t="n">
        <v>9</v>
      </c>
      <c r="I427" s="41" t="n">
        <v>18.2745</v>
      </c>
      <c r="J427" s="41" t="n">
        <v>383.7645</v>
      </c>
      <c r="K427" s="41" t="s">
        <v>1326</v>
      </c>
      <c r="L427" s="41" t="s">
        <v>1291</v>
      </c>
      <c r="M427" s="41" t="s">
        <v>97</v>
      </c>
      <c r="N427" s="41" t="n">
        <v>365.49</v>
      </c>
      <c r="O427" s="41" t="n">
        <v>4.761904762</v>
      </c>
      <c r="P427" s="41" t="n">
        <v>18.2745</v>
      </c>
      <c r="Q427" s="41" t="n">
        <v>7</v>
      </c>
    </row>
    <row r="428" customFormat="false" ht="15" hidden="false" customHeight="false" outlineLevel="0" collapsed="false">
      <c r="A428" s="41" t="s">
        <v>606</v>
      </c>
      <c r="B428" s="41" t="s">
        <v>178</v>
      </c>
      <c r="C428" s="41" t="s">
        <v>85</v>
      </c>
      <c r="D428" s="41" t="s">
        <v>104</v>
      </c>
      <c r="E428" s="41" t="s">
        <v>103</v>
      </c>
      <c r="F428" s="41" t="s">
        <v>81</v>
      </c>
      <c r="G428" s="41" t="n">
        <v>53.17</v>
      </c>
      <c r="H428" s="41" t="n">
        <v>7</v>
      </c>
      <c r="I428" s="41" t="n">
        <v>18.6095</v>
      </c>
      <c r="J428" s="41" t="n">
        <v>390.7995</v>
      </c>
      <c r="K428" s="41" t="s">
        <v>1224</v>
      </c>
      <c r="L428" s="41" t="s">
        <v>1509</v>
      </c>
      <c r="M428" s="41" t="s">
        <v>97</v>
      </c>
      <c r="N428" s="41" t="n">
        <v>372.19</v>
      </c>
      <c r="O428" s="41" t="n">
        <v>4.761904762</v>
      </c>
      <c r="P428" s="41" t="n">
        <v>18.6095</v>
      </c>
      <c r="Q428" s="41" t="n">
        <v>8.9</v>
      </c>
    </row>
    <row r="429" customFormat="false" ht="15" hidden="false" customHeight="false" outlineLevel="0" collapsed="false">
      <c r="A429" s="41" t="s">
        <v>607</v>
      </c>
      <c r="B429" s="41" t="s">
        <v>189</v>
      </c>
      <c r="C429" s="41" t="s">
        <v>86</v>
      </c>
      <c r="D429" s="41" t="s">
        <v>104</v>
      </c>
      <c r="E429" s="41" t="s">
        <v>102</v>
      </c>
      <c r="F429" s="41" t="s">
        <v>76</v>
      </c>
      <c r="G429" s="41" t="n">
        <v>20.87</v>
      </c>
      <c r="H429" s="41" t="n">
        <v>3</v>
      </c>
      <c r="I429" s="41" t="n">
        <v>3.1305</v>
      </c>
      <c r="J429" s="41" t="n">
        <v>65.7405</v>
      </c>
      <c r="K429" s="41" t="s">
        <v>1446</v>
      </c>
      <c r="L429" s="41" t="s">
        <v>1589</v>
      </c>
      <c r="M429" s="41" t="s">
        <v>99</v>
      </c>
      <c r="N429" s="41" t="n">
        <v>62.61</v>
      </c>
      <c r="O429" s="41" t="n">
        <v>4.761904762</v>
      </c>
      <c r="P429" s="41" t="n">
        <v>3.1305</v>
      </c>
      <c r="Q429" s="41" t="n">
        <v>8</v>
      </c>
    </row>
    <row r="430" customFormat="false" ht="15" hidden="false" customHeight="false" outlineLevel="0" collapsed="false">
      <c r="A430" s="41" t="s">
        <v>608</v>
      </c>
      <c r="B430" s="41" t="s">
        <v>189</v>
      </c>
      <c r="C430" s="41" t="s">
        <v>86</v>
      </c>
      <c r="D430" s="41" t="s">
        <v>105</v>
      </c>
      <c r="E430" s="41" t="s">
        <v>103</v>
      </c>
      <c r="F430" s="41" t="s">
        <v>77</v>
      </c>
      <c r="G430" s="41" t="n">
        <v>67.27</v>
      </c>
      <c r="H430" s="41" t="n">
        <v>5</v>
      </c>
      <c r="I430" s="41" t="n">
        <v>16.8175</v>
      </c>
      <c r="J430" s="41" t="n">
        <v>353.1675</v>
      </c>
      <c r="K430" s="41" t="s">
        <v>1265</v>
      </c>
      <c r="L430" s="41" t="s">
        <v>1541</v>
      </c>
      <c r="M430" s="41" t="s">
        <v>97</v>
      </c>
      <c r="N430" s="41" t="n">
        <v>336.35</v>
      </c>
      <c r="O430" s="41" t="n">
        <v>4.761904762</v>
      </c>
      <c r="P430" s="41" t="n">
        <v>16.8175</v>
      </c>
      <c r="Q430" s="41" t="n">
        <v>6.9</v>
      </c>
    </row>
    <row r="431" customFormat="false" ht="15" hidden="false" customHeight="false" outlineLevel="0" collapsed="false">
      <c r="A431" s="41" t="s">
        <v>609</v>
      </c>
      <c r="B431" s="41" t="s">
        <v>178</v>
      </c>
      <c r="C431" s="41" t="s">
        <v>85</v>
      </c>
      <c r="D431" s="41" t="s">
        <v>104</v>
      </c>
      <c r="E431" s="41" t="s">
        <v>102</v>
      </c>
      <c r="F431" s="41" t="s">
        <v>80</v>
      </c>
      <c r="G431" s="41" t="n">
        <v>90.65</v>
      </c>
      <c r="H431" s="41" t="n">
        <v>10</v>
      </c>
      <c r="I431" s="41" t="n">
        <v>45.325</v>
      </c>
      <c r="J431" s="41" t="n">
        <v>951.825</v>
      </c>
      <c r="K431" s="41" t="s">
        <v>1190</v>
      </c>
      <c r="L431" s="41" t="s">
        <v>1425</v>
      </c>
      <c r="M431" s="41" t="s">
        <v>98</v>
      </c>
      <c r="N431" s="41" t="n">
        <v>906.5</v>
      </c>
      <c r="O431" s="41" t="n">
        <v>4.761904762</v>
      </c>
      <c r="P431" s="41" t="n">
        <v>45.325</v>
      </c>
      <c r="Q431" s="41" t="n">
        <v>7.3</v>
      </c>
    </row>
    <row r="432" customFormat="false" ht="15" hidden="false" customHeight="false" outlineLevel="0" collapsed="false">
      <c r="A432" s="41" t="s">
        <v>610</v>
      </c>
      <c r="B432" s="41" t="s">
        <v>189</v>
      </c>
      <c r="C432" s="41" t="s">
        <v>86</v>
      </c>
      <c r="D432" s="41" t="s">
        <v>105</v>
      </c>
      <c r="E432" s="41" t="s">
        <v>103</v>
      </c>
      <c r="F432" s="41" t="s">
        <v>79</v>
      </c>
      <c r="G432" s="41" t="n">
        <v>69.08</v>
      </c>
      <c r="H432" s="41" t="n">
        <v>2</v>
      </c>
      <c r="I432" s="41" t="n">
        <v>6.908</v>
      </c>
      <c r="J432" s="41" t="n">
        <v>145.068</v>
      </c>
      <c r="K432" s="41" t="s">
        <v>1454</v>
      </c>
      <c r="L432" s="41" t="s">
        <v>1241</v>
      </c>
      <c r="M432" s="41" t="s">
        <v>99</v>
      </c>
      <c r="N432" s="41" t="n">
        <v>138.16</v>
      </c>
      <c r="O432" s="41" t="n">
        <v>4.761904762</v>
      </c>
      <c r="P432" s="41" t="n">
        <v>6.908</v>
      </c>
      <c r="Q432" s="41" t="n">
        <v>6.9</v>
      </c>
    </row>
    <row r="433" customFormat="false" ht="15" hidden="false" customHeight="false" outlineLevel="0" collapsed="false">
      <c r="A433" s="41" t="s">
        <v>611</v>
      </c>
      <c r="B433" s="41" t="s">
        <v>180</v>
      </c>
      <c r="C433" s="41" t="s">
        <v>87</v>
      </c>
      <c r="D433" s="41" t="s">
        <v>105</v>
      </c>
      <c r="E433" s="41" t="s">
        <v>103</v>
      </c>
      <c r="F433" s="41" t="s">
        <v>76</v>
      </c>
      <c r="G433" s="41" t="n">
        <v>43.27</v>
      </c>
      <c r="H433" s="41" t="n">
        <v>2</v>
      </c>
      <c r="I433" s="41" t="n">
        <v>4.327</v>
      </c>
      <c r="J433" s="41" t="n">
        <v>90.867</v>
      </c>
      <c r="K433" s="41" t="s">
        <v>1190</v>
      </c>
      <c r="L433" s="41" t="s">
        <v>1590</v>
      </c>
      <c r="M433" s="41" t="s">
        <v>98</v>
      </c>
      <c r="N433" s="41" t="n">
        <v>86.54</v>
      </c>
      <c r="O433" s="41" t="n">
        <v>4.761904762</v>
      </c>
      <c r="P433" s="41" t="n">
        <v>4.327</v>
      </c>
      <c r="Q433" s="41" t="n">
        <v>5.7</v>
      </c>
    </row>
    <row r="434" customFormat="false" ht="15" hidden="false" customHeight="false" outlineLevel="0" collapsed="false">
      <c r="A434" s="41" t="s">
        <v>612</v>
      </c>
      <c r="B434" s="41" t="s">
        <v>178</v>
      </c>
      <c r="C434" s="41" t="s">
        <v>85</v>
      </c>
      <c r="D434" s="41" t="s">
        <v>105</v>
      </c>
      <c r="E434" s="41" t="s">
        <v>102</v>
      </c>
      <c r="F434" s="41" t="s">
        <v>78</v>
      </c>
      <c r="G434" s="41" t="n">
        <v>23.46</v>
      </c>
      <c r="H434" s="41" t="n">
        <v>6</v>
      </c>
      <c r="I434" s="41" t="n">
        <v>7.038</v>
      </c>
      <c r="J434" s="41" t="n">
        <v>147.798</v>
      </c>
      <c r="K434" s="41" t="s">
        <v>1309</v>
      </c>
      <c r="L434" s="41" t="s">
        <v>1462</v>
      </c>
      <c r="M434" s="41" t="s">
        <v>98</v>
      </c>
      <c r="N434" s="41" t="n">
        <v>140.76</v>
      </c>
      <c r="O434" s="41" t="n">
        <v>4.761904762</v>
      </c>
      <c r="P434" s="41" t="n">
        <v>7.038</v>
      </c>
      <c r="Q434" s="41" t="n">
        <v>6.4</v>
      </c>
    </row>
    <row r="435" customFormat="false" ht="15" hidden="false" customHeight="false" outlineLevel="0" collapsed="false">
      <c r="A435" s="41" t="s">
        <v>613</v>
      </c>
      <c r="B435" s="41" t="s">
        <v>189</v>
      </c>
      <c r="C435" s="41" t="s">
        <v>86</v>
      </c>
      <c r="D435" s="41" t="s">
        <v>105</v>
      </c>
      <c r="E435" s="41" t="s">
        <v>103</v>
      </c>
      <c r="F435" s="41" t="s">
        <v>79</v>
      </c>
      <c r="G435" s="41" t="n">
        <v>95.54</v>
      </c>
      <c r="H435" s="41" t="n">
        <v>7</v>
      </c>
      <c r="I435" s="41" t="n">
        <v>33.439</v>
      </c>
      <c r="J435" s="41" t="n">
        <v>702.219</v>
      </c>
      <c r="K435" s="41" t="s">
        <v>1210</v>
      </c>
      <c r="L435" s="41" t="s">
        <v>1201</v>
      </c>
      <c r="M435" s="41" t="s">
        <v>99</v>
      </c>
      <c r="N435" s="41" t="n">
        <v>668.78</v>
      </c>
      <c r="O435" s="41" t="n">
        <v>4.761904762</v>
      </c>
      <c r="P435" s="41" t="n">
        <v>33.439</v>
      </c>
      <c r="Q435" s="41" t="n">
        <v>9.6</v>
      </c>
    </row>
    <row r="436" customFormat="false" ht="15" hidden="false" customHeight="false" outlineLevel="0" collapsed="false">
      <c r="A436" s="41" t="s">
        <v>614</v>
      </c>
      <c r="B436" s="41" t="s">
        <v>189</v>
      </c>
      <c r="C436" s="41" t="s">
        <v>86</v>
      </c>
      <c r="D436" s="41" t="s">
        <v>105</v>
      </c>
      <c r="E436" s="41" t="s">
        <v>102</v>
      </c>
      <c r="F436" s="41" t="s">
        <v>79</v>
      </c>
      <c r="G436" s="41" t="n">
        <v>47.44</v>
      </c>
      <c r="H436" s="41" t="n">
        <v>1</v>
      </c>
      <c r="I436" s="41" t="n">
        <v>2.372</v>
      </c>
      <c r="J436" s="41" t="n">
        <v>49.812</v>
      </c>
      <c r="K436" s="41" t="s">
        <v>1386</v>
      </c>
      <c r="L436" s="41" t="s">
        <v>1345</v>
      </c>
      <c r="M436" s="41" t="s">
        <v>99</v>
      </c>
      <c r="N436" s="41" t="n">
        <v>47.44</v>
      </c>
      <c r="O436" s="41" t="n">
        <v>4.761904762</v>
      </c>
      <c r="P436" s="41" t="n">
        <v>2.372</v>
      </c>
      <c r="Q436" s="41" t="n">
        <v>6.8</v>
      </c>
    </row>
    <row r="437" customFormat="false" ht="15" hidden="false" customHeight="false" outlineLevel="0" collapsed="false">
      <c r="A437" s="41" t="s">
        <v>615</v>
      </c>
      <c r="B437" s="41" t="s">
        <v>180</v>
      </c>
      <c r="C437" s="41" t="s">
        <v>87</v>
      </c>
      <c r="D437" s="41" t="s">
        <v>105</v>
      </c>
      <c r="E437" s="41" t="s">
        <v>103</v>
      </c>
      <c r="F437" s="41" t="s">
        <v>77</v>
      </c>
      <c r="G437" s="41" t="n">
        <v>99.24</v>
      </c>
      <c r="H437" s="41" t="n">
        <v>9</v>
      </c>
      <c r="I437" s="41" t="n">
        <v>44.658</v>
      </c>
      <c r="J437" s="41" t="n">
        <v>937.818</v>
      </c>
      <c r="K437" s="41" t="s">
        <v>1270</v>
      </c>
      <c r="L437" s="41" t="s">
        <v>1537</v>
      </c>
      <c r="M437" s="41" t="s">
        <v>98</v>
      </c>
      <c r="N437" s="41" t="n">
        <v>893.16</v>
      </c>
      <c r="O437" s="41" t="n">
        <v>4.761904762</v>
      </c>
      <c r="P437" s="41" t="n">
        <v>44.658</v>
      </c>
      <c r="Q437" s="41" t="n">
        <v>9</v>
      </c>
    </row>
    <row r="438" customFormat="false" ht="15" hidden="false" customHeight="false" outlineLevel="0" collapsed="false">
      <c r="A438" s="41" t="s">
        <v>616</v>
      </c>
      <c r="B438" s="41" t="s">
        <v>180</v>
      </c>
      <c r="C438" s="41" t="s">
        <v>87</v>
      </c>
      <c r="D438" s="41" t="s">
        <v>104</v>
      </c>
      <c r="E438" s="41" t="s">
        <v>103</v>
      </c>
      <c r="F438" s="41" t="s">
        <v>77</v>
      </c>
      <c r="G438" s="41" t="n">
        <v>82.93</v>
      </c>
      <c r="H438" s="41" t="n">
        <v>4</v>
      </c>
      <c r="I438" s="41" t="n">
        <v>16.586</v>
      </c>
      <c r="J438" s="41" t="n">
        <v>348.306</v>
      </c>
      <c r="K438" s="41" t="s">
        <v>1284</v>
      </c>
      <c r="L438" s="41" t="s">
        <v>1591</v>
      </c>
      <c r="M438" s="41" t="s">
        <v>98</v>
      </c>
      <c r="N438" s="41" t="n">
        <v>331.72</v>
      </c>
      <c r="O438" s="41" t="n">
        <v>4.761904762</v>
      </c>
      <c r="P438" s="41" t="n">
        <v>16.586</v>
      </c>
      <c r="Q438" s="41" t="n">
        <v>9.6</v>
      </c>
    </row>
    <row r="439" customFormat="false" ht="15" hidden="false" customHeight="false" outlineLevel="0" collapsed="false">
      <c r="A439" s="41" t="s">
        <v>617</v>
      </c>
      <c r="B439" s="41" t="s">
        <v>178</v>
      </c>
      <c r="C439" s="41" t="s">
        <v>85</v>
      </c>
      <c r="D439" s="41" t="s">
        <v>105</v>
      </c>
      <c r="E439" s="41" t="s">
        <v>103</v>
      </c>
      <c r="F439" s="41" t="s">
        <v>80</v>
      </c>
      <c r="G439" s="41" t="n">
        <v>33.99</v>
      </c>
      <c r="H439" s="41" t="n">
        <v>6</v>
      </c>
      <c r="I439" s="41" t="n">
        <v>10.197</v>
      </c>
      <c r="J439" s="41" t="n">
        <v>214.137</v>
      </c>
      <c r="K439" s="41" t="s">
        <v>1190</v>
      </c>
      <c r="L439" s="41" t="s">
        <v>1592</v>
      </c>
      <c r="M439" s="41" t="s">
        <v>99</v>
      </c>
      <c r="N439" s="41" t="n">
        <v>203.94</v>
      </c>
      <c r="O439" s="41" t="n">
        <v>4.761904762</v>
      </c>
      <c r="P439" s="41" t="n">
        <v>10.197</v>
      </c>
      <c r="Q439" s="41" t="n">
        <v>7.7</v>
      </c>
    </row>
    <row r="440" customFormat="false" ht="15" hidden="false" customHeight="false" outlineLevel="0" collapsed="false">
      <c r="A440" s="41" t="s">
        <v>618</v>
      </c>
      <c r="B440" s="41" t="s">
        <v>180</v>
      </c>
      <c r="C440" s="41" t="s">
        <v>87</v>
      </c>
      <c r="D440" s="41" t="s">
        <v>104</v>
      </c>
      <c r="E440" s="41" t="s">
        <v>103</v>
      </c>
      <c r="F440" s="41" t="s">
        <v>76</v>
      </c>
      <c r="G440" s="41" t="n">
        <v>17.04</v>
      </c>
      <c r="H440" s="41" t="n">
        <v>4</v>
      </c>
      <c r="I440" s="41" t="n">
        <v>3.408</v>
      </c>
      <c r="J440" s="41" t="n">
        <v>71.568</v>
      </c>
      <c r="K440" s="41" t="s">
        <v>1190</v>
      </c>
      <c r="L440" s="41" t="s">
        <v>1593</v>
      </c>
      <c r="M440" s="41" t="s">
        <v>98</v>
      </c>
      <c r="N440" s="41" t="n">
        <v>68.16</v>
      </c>
      <c r="O440" s="41" t="n">
        <v>4.761904762</v>
      </c>
      <c r="P440" s="41" t="n">
        <v>3.408</v>
      </c>
      <c r="Q440" s="41" t="n">
        <v>7</v>
      </c>
    </row>
    <row r="441" customFormat="false" ht="15" hidden="false" customHeight="false" outlineLevel="0" collapsed="false">
      <c r="A441" s="41" t="s">
        <v>619</v>
      </c>
      <c r="B441" s="41" t="s">
        <v>180</v>
      </c>
      <c r="C441" s="41" t="s">
        <v>87</v>
      </c>
      <c r="D441" s="41" t="s">
        <v>105</v>
      </c>
      <c r="E441" s="41" t="s">
        <v>102</v>
      </c>
      <c r="F441" s="41" t="s">
        <v>78</v>
      </c>
      <c r="G441" s="41" t="n">
        <v>40.86</v>
      </c>
      <c r="H441" s="41" t="n">
        <v>8</v>
      </c>
      <c r="I441" s="41" t="n">
        <v>16.344</v>
      </c>
      <c r="J441" s="41" t="n">
        <v>343.224</v>
      </c>
      <c r="K441" s="41" t="s">
        <v>1214</v>
      </c>
      <c r="L441" s="41" t="s">
        <v>1511</v>
      </c>
      <c r="M441" s="41" t="s">
        <v>99</v>
      </c>
      <c r="N441" s="41" t="n">
        <v>326.88</v>
      </c>
      <c r="O441" s="41" t="n">
        <v>4.761904762</v>
      </c>
      <c r="P441" s="41" t="n">
        <v>16.344</v>
      </c>
      <c r="Q441" s="41" t="n">
        <v>6.5</v>
      </c>
    </row>
    <row r="442" customFormat="false" ht="15" hidden="false" customHeight="false" outlineLevel="0" collapsed="false">
      <c r="A442" s="41" t="s">
        <v>620</v>
      </c>
      <c r="B442" s="41" t="s">
        <v>180</v>
      </c>
      <c r="C442" s="41" t="s">
        <v>87</v>
      </c>
      <c r="D442" s="41" t="s">
        <v>104</v>
      </c>
      <c r="E442" s="41" t="s">
        <v>103</v>
      </c>
      <c r="F442" s="41" t="s">
        <v>76</v>
      </c>
      <c r="G442" s="41" t="n">
        <v>17.44</v>
      </c>
      <c r="H442" s="41" t="n">
        <v>5</v>
      </c>
      <c r="I442" s="41" t="n">
        <v>4.36</v>
      </c>
      <c r="J442" s="41" t="n">
        <v>91.56</v>
      </c>
      <c r="K442" s="41" t="s">
        <v>1218</v>
      </c>
      <c r="L442" s="41" t="s">
        <v>1383</v>
      </c>
      <c r="M442" s="41" t="s">
        <v>97</v>
      </c>
      <c r="N442" s="41" t="n">
        <v>87.2</v>
      </c>
      <c r="O442" s="41" t="n">
        <v>4.761904762</v>
      </c>
      <c r="P442" s="41" t="n">
        <v>4.36</v>
      </c>
      <c r="Q442" s="41" t="n">
        <v>8.1</v>
      </c>
    </row>
    <row r="443" customFormat="false" ht="15" hidden="false" customHeight="false" outlineLevel="0" collapsed="false">
      <c r="A443" s="41" t="s">
        <v>621</v>
      </c>
      <c r="B443" s="41" t="s">
        <v>189</v>
      </c>
      <c r="C443" s="41" t="s">
        <v>86</v>
      </c>
      <c r="D443" s="41" t="s">
        <v>104</v>
      </c>
      <c r="E443" s="41" t="s">
        <v>102</v>
      </c>
      <c r="F443" s="41" t="s">
        <v>77</v>
      </c>
      <c r="G443" s="41" t="n">
        <v>88.43</v>
      </c>
      <c r="H443" s="41" t="n">
        <v>8</v>
      </c>
      <c r="I443" s="41" t="n">
        <v>35.372</v>
      </c>
      <c r="J443" s="41" t="n">
        <v>742.812</v>
      </c>
      <c r="K443" s="41" t="s">
        <v>1235</v>
      </c>
      <c r="L443" s="41" t="s">
        <v>1594</v>
      </c>
      <c r="M443" s="41" t="s">
        <v>99</v>
      </c>
      <c r="N443" s="41" t="n">
        <v>707.44</v>
      </c>
      <c r="O443" s="41" t="n">
        <v>4.761904762</v>
      </c>
      <c r="P443" s="41" t="n">
        <v>35.372</v>
      </c>
      <c r="Q443" s="41" t="n">
        <v>4.3</v>
      </c>
    </row>
    <row r="444" customFormat="false" ht="15" hidden="false" customHeight="false" outlineLevel="0" collapsed="false">
      <c r="A444" s="41" t="s">
        <v>622</v>
      </c>
      <c r="B444" s="41" t="s">
        <v>178</v>
      </c>
      <c r="C444" s="41" t="s">
        <v>85</v>
      </c>
      <c r="D444" s="41" t="s">
        <v>104</v>
      </c>
      <c r="E444" s="41" t="s">
        <v>102</v>
      </c>
      <c r="F444" s="41" t="s">
        <v>80</v>
      </c>
      <c r="G444" s="41" t="n">
        <v>89.21</v>
      </c>
      <c r="H444" s="41" t="n">
        <v>9</v>
      </c>
      <c r="I444" s="41" t="n">
        <v>40.1445</v>
      </c>
      <c r="J444" s="41" t="n">
        <v>843.0345</v>
      </c>
      <c r="K444" s="41" t="s">
        <v>1218</v>
      </c>
      <c r="L444" s="41" t="s">
        <v>1595</v>
      </c>
      <c r="M444" s="41" t="s">
        <v>99</v>
      </c>
      <c r="N444" s="41" t="n">
        <v>802.89</v>
      </c>
      <c r="O444" s="41" t="n">
        <v>4.761904762</v>
      </c>
      <c r="P444" s="41" t="n">
        <v>40.1445</v>
      </c>
      <c r="Q444" s="41" t="n">
        <v>6.5</v>
      </c>
    </row>
    <row r="445" customFormat="false" ht="15" hidden="false" customHeight="false" outlineLevel="0" collapsed="false">
      <c r="A445" s="41" t="s">
        <v>623</v>
      </c>
      <c r="B445" s="41" t="s">
        <v>180</v>
      </c>
      <c r="C445" s="41" t="s">
        <v>87</v>
      </c>
      <c r="D445" s="41" t="s">
        <v>105</v>
      </c>
      <c r="E445" s="41" t="s">
        <v>103</v>
      </c>
      <c r="F445" s="41" t="s">
        <v>79</v>
      </c>
      <c r="G445" s="41" t="n">
        <v>12.78</v>
      </c>
      <c r="H445" s="41" t="n">
        <v>1</v>
      </c>
      <c r="I445" s="41" t="n">
        <v>0.639</v>
      </c>
      <c r="J445" s="41" t="n">
        <v>13.419</v>
      </c>
      <c r="K445" s="41" t="s">
        <v>1369</v>
      </c>
      <c r="L445" s="41" t="s">
        <v>1596</v>
      </c>
      <c r="M445" s="41" t="s">
        <v>98</v>
      </c>
      <c r="N445" s="41" t="n">
        <v>12.78</v>
      </c>
      <c r="O445" s="41" t="n">
        <v>4.761904762</v>
      </c>
      <c r="P445" s="41" t="n">
        <v>0.639</v>
      </c>
      <c r="Q445" s="41" t="n">
        <v>9.5</v>
      </c>
    </row>
    <row r="446" customFormat="false" ht="15" hidden="false" customHeight="false" outlineLevel="0" collapsed="false">
      <c r="A446" s="41" t="s">
        <v>624</v>
      </c>
      <c r="B446" s="41" t="s">
        <v>178</v>
      </c>
      <c r="C446" s="41" t="s">
        <v>85</v>
      </c>
      <c r="D446" s="41" t="s">
        <v>105</v>
      </c>
      <c r="E446" s="41" t="s">
        <v>102</v>
      </c>
      <c r="F446" s="41" t="s">
        <v>77</v>
      </c>
      <c r="G446" s="41" t="n">
        <v>19.1</v>
      </c>
      <c r="H446" s="41" t="n">
        <v>7</v>
      </c>
      <c r="I446" s="41" t="n">
        <v>6.685</v>
      </c>
      <c r="J446" s="41" t="n">
        <v>140.385</v>
      </c>
      <c r="K446" s="41" t="s">
        <v>1218</v>
      </c>
      <c r="L446" s="41" t="s">
        <v>1350</v>
      </c>
      <c r="M446" s="41" t="s">
        <v>97</v>
      </c>
      <c r="N446" s="41" t="n">
        <v>133.7</v>
      </c>
      <c r="O446" s="41" t="n">
        <v>4.761904762</v>
      </c>
      <c r="P446" s="41" t="n">
        <v>6.685</v>
      </c>
      <c r="Q446" s="41" t="n">
        <v>9.7</v>
      </c>
    </row>
    <row r="447" customFormat="false" ht="15" hidden="false" customHeight="false" outlineLevel="0" collapsed="false">
      <c r="A447" s="41" t="s">
        <v>625</v>
      </c>
      <c r="B447" s="41" t="s">
        <v>189</v>
      </c>
      <c r="C447" s="41" t="s">
        <v>86</v>
      </c>
      <c r="D447" s="41" t="s">
        <v>104</v>
      </c>
      <c r="E447" s="41" t="s">
        <v>102</v>
      </c>
      <c r="F447" s="41" t="s">
        <v>81</v>
      </c>
      <c r="G447" s="41" t="n">
        <v>19.15</v>
      </c>
      <c r="H447" s="41" t="n">
        <v>1</v>
      </c>
      <c r="I447" s="41" t="n">
        <v>0.9575</v>
      </c>
      <c r="J447" s="41" t="n">
        <v>20.1075</v>
      </c>
      <c r="K447" s="41" t="s">
        <v>1244</v>
      </c>
      <c r="L447" s="41" t="s">
        <v>1597</v>
      </c>
      <c r="M447" s="41" t="s">
        <v>99</v>
      </c>
      <c r="N447" s="41" t="n">
        <v>19.15</v>
      </c>
      <c r="O447" s="41" t="n">
        <v>4.761904762</v>
      </c>
      <c r="P447" s="41" t="n">
        <v>0.9575</v>
      </c>
      <c r="Q447" s="41" t="n">
        <v>9.5</v>
      </c>
    </row>
    <row r="448" customFormat="false" ht="15" hidden="false" customHeight="false" outlineLevel="0" collapsed="false">
      <c r="A448" s="41" t="s">
        <v>626</v>
      </c>
      <c r="B448" s="41" t="s">
        <v>180</v>
      </c>
      <c r="C448" s="41" t="s">
        <v>87</v>
      </c>
      <c r="D448" s="41" t="s">
        <v>104</v>
      </c>
      <c r="E448" s="41" t="s">
        <v>103</v>
      </c>
      <c r="F448" s="41" t="s">
        <v>76</v>
      </c>
      <c r="G448" s="41" t="n">
        <v>27.66</v>
      </c>
      <c r="H448" s="41" t="n">
        <v>10</v>
      </c>
      <c r="I448" s="41" t="n">
        <v>13.83</v>
      </c>
      <c r="J448" s="41" t="n">
        <v>290.43</v>
      </c>
      <c r="K448" s="41" t="s">
        <v>1294</v>
      </c>
      <c r="L448" s="41" t="s">
        <v>1282</v>
      </c>
      <c r="M448" s="41" t="s">
        <v>99</v>
      </c>
      <c r="N448" s="41" t="n">
        <v>276.6</v>
      </c>
      <c r="O448" s="41" t="n">
        <v>4.761904762</v>
      </c>
      <c r="P448" s="41" t="n">
        <v>13.83</v>
      </c>
      <c r="Q448" s="41" t="n">
        <v>8.9</v>
      </c>
    </row>
    <row r="449" customFormat="false" ht="15" hidden="false" customHeight="false" outlineLevel="0" collapsed="false">
      <c r="A449" s="41" t="s">
        <v>627</v>
      </c>
      <c r="B449" s="41" t="s">
        <v>180</v>
      </c>
      <c r="C449" s="41" t="s">
        <v>87</v>
      </c>
      <c r="D449" s="41" t="s">
        <v>105</v>
      </c>
      <c r="E449" s="41" t="s">
        <v>103</v>
      </c>
      <c r="F449" s="41" t="s">
        <v>79</v>
      </c>
      <c r="G449" s="41" t="n">
        <v>45.74</v>
      </c>
      <c r="H449" s="41" t="n">
        <v>3</v>
      </c>
      <c r="I449" s="41" t="n">
        <v>6.861</v>
      </c>
      <c r="J449" s="41" t="n">
        <v>144.081</v>
      </c>
      <c r="K449" s="41" t="s">
        <v>1238</v>
      </c>
      <c r="L449" s="41" t="s">
        <v>1443</v>
      </c>
      <c r="M449" s="41" t="s">
        <v>99</v>
      </c>
      <c r="N449" s="41" t="n">
        <v>137.22</v>
      </c>
      <c r="O449" s="41" t="n">
        <v>4.761904762</v>
      </c>
      <c r="P449" s="41" t="n">
        <v>6.861</v>
      </c>
      <c r="Q449" s="41" t="n">
        <v>6.5</v>
      </c>
    </row>
    <row r="450" customFormat="false" ht="15" hidden="false" customHeight="false" outlineLevel="0" collapsed="false">
      <c r="A450" s="41" t="s">
        <v>628</v>
      </c>
      <c r="B450" s="41" t="s">
        <v>189</v>
      </c>
      <c r="C450" s="41" t="s">
        <v>86</v>
      </c>
      <c r="D450" s="41" t="s">
        <v>104</v>
      </c>
      <c r="E450" s="41" t="s">
        <v>102</v>
      </c>
      <c r="F450" s="41" t="s">
        <v>81</v>
      </c>
      <c r="G450" s="41" t="n">
        <v>27.07</v>
      </c>
      <c r="H450" s="41" t="n">
        <v>1</v>
      </c>
      <c r="I450" s="41" t="n">
        <v>1.3535</v>
      </c>
      <c r="J450" s="41" t="n">
        <v>28.4235</v>
      </c>
      <c r="K450" s="41" t="s">
        <v>1313</v>
      </c>
      <c r="L450" s="41" t="s">
        <v>1357</v>
      </c>
      <c r="M450" s="41" t="s">
        <v>99</v>
      </c>
      <c r="N450" s="41" t="n">
        <v>27.07</v>
      </c>
      <c r="O450" s="41" t="n">
        <v>4.761904762</v>
      </c>
      <c r="P450" s="41" t="n">
        <v>1.3535</v>
      </c>
      <c r="Q450" s="41" t="n">
        <v>5.3</v>
      </c>
    </row>
    <row r="451" customFormat="false" ht="15" hidden="false" customHeight="false" outlineLevel="0" collapsed="false">
      <c r="A451" s="41" t="s">
        <v>629</v>
      </c>
      <c r="B451" s="41" t="s">
        <v>189</v>
      </c>
      <c r="C451" s="41" t="s">
        <v>86</v>
      </c>
      <c r="D451" s="41" t="s">
        <v>104</v>
      </c>
      <c r="E451" s="41" t="s">
        <v>102</v>
      </c>
      <c r="F451" s="41" t="s">
        <v>77</v>
      </c>
      <c r="G451" s="41" t="n">
        <v>39.12</v>
      </c>
      <c r="H451" s="41" t="n">
        <v>1</v>
      </c>
      <c r="I451" s="41" t="n">
        <v>1.956</v>
      </c>
      <c r="J451" s="41" t="n">
        <v>41.076</v>
      </c>
      <c r="K451" s="41" t="s">
        <v>1338</v>
      </c>
      <c r="L451" s="41" t="s">
        <v>1598</v>
      </c>
      <c r="M451" s="41" t="s">
        <v>99</v>
      </c>
      <c r="N451" s="41" t="n">
        <v>39.12</v>
      </c>
      <c r="O451" s="41" t="n">
        <v>4.761904762</v>
      </c>
      <c r="P451" s="41" t="n">
        <v>1.956</v>
      </c>
      <c r="Q451" s="41" t="n">
        <v>9.6</v>
      </c>
    </row>
    <row r="452" customFormat="false" ht="15" hidden="false" customHeight="false" outlineLevel="0" collapsed="false">
      <c r="A452" s="41" t="s">
        <v>630</v>
      </c>
      <c r="B452" s="41" t="s">
        <v>189</v>
      </c>
      <c r="C452" s="41" t="s">
        <v>86</v>
      </c>
      <c r="D452" s="41" t="s">
        <v>105</v>
      </c>
      <c r="E452" s="41" t="s">
        <v>102</v>
      </c>
      <c r="F452" s="41" t="s">
        <v>78</v>
      </c>
      <c r="G452" s="41" t="n">
        <v>74.71</v>
      </c>
      <c r="H452" s="41" t="n">
        <v>6</v>
      </c>
      <c r="I452" s="41" t="n">
        <v>22.413</v>
      </c>
      <c r="J452" s="41" t="n">
        <v>470.673</v>
      </c>
      <c r="K452" s="41" t="s">
        <v>1222</v>
      </c>
      <c r="L452" s="41" t="s">
        <v>1583</v>
      </c>
      <c r="M452" s="41" t="s">
        <v>97</v>
      </c>
      <c r="N452" s="41" t="n">
        <v>448.26</v>
      </c>
      <c r="O452" s="41" t="n">
        <v>4.761904762</v>
      </c>
      <c r="P452" s="41" t="n">
        <v>22.413</v>
      </c>
      <c r="Q452" s="41" t="n">
        <v>6.7</v>
      </c>
    </row>
    <row r="453" customFormat="false" ht="15" hidden="false" customHeight="false" outlineLevel="0" collapsed="false">
      <c r="A453" s="41" t="s">
        <v>631</v>
      </c>
      <c r="B453" s="41" t="s">
        <v>189</v>
      </c>
      <c r="C453" s="41" t="s">
        <v>86</v>
      </c>
      <c r="D453" s="41" t="s">
        <v>105</v>
      </c>
      <c r="E453" s="41" t="s">
        <v>103</v>
      </c>
      <c r="F453" s="41" t="s">
        <v>78</v>
      </c>
      <c r="G453" s="41" t="n">
        <v>22.01</v>
      </c>
      <c r="H453" s="41" t="n">
        <v>6</v>
      </c>
      <c r="I453" s="41" t="n">
        <v>6.603</v>
      </c>
      <c r="J453" s="41" t="n">
        <v>138.663</v>
      </c>
      <c r="K453" s="41" t="s">
        <v>1326</v>
      </c>
      <c r="L453" s="41" t="s">
        <v>1302</v>
      </c>
      <c r="M453" s="41" t="s">
        <v>97</v>
      </c>
      <c r="N453" s="41" t="n">
        <v>132.06</v>
      </c>
      <c r="O453" s="41" t="n">
        <v>4.761904762</v>
      </c>
      <c r="P453" s="41" t="n">
        <v>6.603</v>
      </c>
      <c r="Q453" s="41" t="n">
        <v>7.6</v>
      </c>
    </row>
    <row r="454" customFormat="false" ht="15" hidden="false" customHeight="false" outlineLevel="0" collapsed="false">
      <c r="A454" s="41" t="s">
        <v>632</v>
      </c>
      <c r="B454" s="41" t="s">
        <v>178</v>
      </c>
      <c r="C454" s="41" t="s">
        <v>85</v>
      </c>
      <c r="D454" s="41" t="s">
        <v>105</v>
      </c>
      <c r="E454" s="41" t="s">
        <v>102</v>
      </c>
      <c r="F454" s="41" t="s">
        <v>76</v>
      </c>
      <c r="G454" s="41" t="n">
        <v>63.61</v>
      </c>
      <c r="H454" s="41" t="n">
        <v>5</v>
      </c>
      <c r="I454" s="41" t="n">
        <v>15.9025</v>
      </c>
      <c r="J454" s="41" t="n">
        <v>333.9525</v>
      </c>
      <c r="K454" s="41" t="s">
        <v>1263</v>
      </c>
      <c r="L454" s="41" t="s">
        <v>1245</v>
      </c>
      <c r="M454" s="41" t="s">
        <v>98</v>
      </c>
      <c r="N454" s="41" t="n">
        <v>318.05</v>
      </c>
      <c r="O454" s="41" t="n">
        <v>4.761904762</v>
      </c>
      <c r="P454" s="41" t="n">
        <v>15.9025</v>
      </c>
      <c r="Q454" s="41" t="n">
        <v>4.8</v>
      </c>
    </row>
    <row r="455" customFormat="false" ht="15" hidden="false" customHeight="false" outlineLevel="0" collapsed="false">
      <c r="A455" s="41" t="s">
        <v>633</v>
      </c>
      <c r="B455" s="41" t="s">
        <v>178</v>
      </c>
      <c r="C455" s="41" t="s">
        <v>85</v>
      </c>
      <c r="D455" s="41" t="s">
        <v>105</v>
      </c>
      <c r="E455" s="41" t="s">
        <v>103</v>
      </c>
      <c r="F455" s="41" t="s">
        <v>81</v>
      </c>
      <c r="G455" s="41" t="n">
        <v>25</v>
      </c>
      <c r="H455" s="41" t="n">
        <v>1</v>
      </c>
      <c r="I455" s="41" t="n">
        <v>1.25</v>
      </c>
      <c r="J455" s="41" t="n">
        <v>26.25</v>
      </c>
      <c r="K455" s="41" t="s">
        <v>1192</v>
      </c>
      <c r="L455" s="41" t="s">
        <v>1599</v>
      </c>
      <c r="M455" s="41" t="s">
        <v>98</v>
      </c>
      <c r="N455" s="41" t="n">
        <v>25</v>
      </c>
      <c r="O455" s="41" t="n">
        <v>4.761904762</v>
      </c>
      <c r="P455" s="41" t="n">
        <v>1.25</v>
      </c>
      <c r="Q455" s="41" t="n">
        <v>5.5</v>
      </c>
    </row>
    <row r="456" customFormat="false" ht="15" hidden="false" customHeight="false" outlineLevel="0" collapsed="false">
      <c r="A456" s="41" t="s">
        <v>634</v>
      </c>
      <c r="B456" s="41" t="s">
        <v>178</v>
      </c>
      <c r="C456" s="41" t="s">
        <v>85</v>
      </c>
      <c r="D456" s="41" t="s">
        <v>104</v>
      </c>
      <c r="E456" s="41" t="s">
        <v>103</v>
      </c>
      <c r="F456" s="41" t="s">
        <v>78</v>
      </c>
      <c r="G456" s="41" t="n">
        <v>20.77</v>
      </c>
      <c r="H456" s="41" t="n">
        <v>4</v>
      </c>
      <c r="I456" s="41" t="n">
        <v>4.154</v>
      </c>
      <c r="J456" s="41" t="n">
        <v>87.234</v>
      </c>
      <c r="K456" s="41" t="s">
        <v>1454</v>
      </c>
      <c r="L456" s="41" t="s">
        <v>1600</v>
      </c>
      <c r="M456" s="41" t="s">
        <v>97</v>
      </c>
      <c r="N456" s="41" t="n">
        <v>83.08</v>
      </c>
      <c r="O456" s="41" t="n">
        <v>4.761904762</v>
      </c>
      <c r="P456" s="41" t="n">
        <v>4.154</v>
      </c>
      <c r="Q456" s="41" t="n">
        <v>4.7</v>
      </c>
    </row>
    <row r="457" customFormat="false" ht="15" hidden="false" customHeight="false" outlineLevel="0" collapsed="false">
      <c r="A457" s="41" t="s">
        <v>635</v>
      </c>
      <c r="B457" s="41" t="s">
        <v>189</v>
      </c>
      <c r="C457" s="41" t="s">
        <v>86</v>
      </c>
      <c r="D457" s="41" t="s">
        <v>104</v>
      </c>
      <c r="E457" s="41" t="s">
        <v>102</v>
      </c>
      <c r="F457" s="41" t="s">
        <v>79</v>
      </c>
      <c r="G457" s="41" t="n">
        <v>29.56</v>
      </c>
      <c r="H457" s="41" t="n">
        <v>5</v>
      </c>
      <c r="I457" s="41" t="n">
        <v>7.39</v>
      </c>
      <c r="J457" s="41" t="n">
        <v>155.19</v>
      </c>
      <c r="K457" s="41" t="s">
        <v>1418</v>
      </c>
      <c r="L457" s="41" t="s">
        <v>1601</v>
      </c>
      <c r="M457" s="41" t="s">
        <v>97</v>
      </c>
      <c r="N457" s="41" t="n">
        <v>147.8</v>
      </c>
      <c r="O457" s="41" t="n">
        <v>4.761904762</v>
      </c>
      <c r="P457" s="41" t="n">
        <v>7.39</v>
      </c>
      <c r="Q457" s="41" t="n">
        <v>6.9</v>
      </c>
    </row>
    <row r="458" customFormat="false" ht="15" hidden="false" customHeight="false" outlineLevel="0" collapsed="false">
      <c r="A458" s="41" t="s">
        <v>636</v>
      </c>
      <c r="B458" s="41" t="s">
        <v>189</v>
      </c>
      <c r="C458" s="41" t="s">
        <v>86</v>
      </c>
      <c r="D458" s="41" t="s">
        <v>104</v>
      </c>
      <c r="E458" s="41" t="s">
        <v>102</v>
      </c>
      <c r="F458" s="41" t="s">
        <v>76</v>
      </c>
      <c r="G458" s="41" t="n">
        <v>77.4</v>
      </c>
      <c r="H458" s="41" t="n">
        <v>9</v>
      </c>
      <c r="I458" s="41" t="n">
        <v>34.83</v>
      </c>
      <c r="J458" s="41" t="n">
        <v>731.43</v>
      </c>
      <c r="K458" s="41" t="s">
        <v>1288</v>
      </c>
      <c r="L458" s="41" t="s">
        <v>1602</v>
      </c>
      <c r="M458" s="41" t="s">
        <v>99</v>
      </c>
      <c r="N458" s="41" t="n">
        <v>696.6</v>
      </c>
      <c r="O458" s="41" t="n">
        <v>4.761904762</v>
      </c>
      <c r="P458" s="41" t="n">
        <v>34.83</v>
      </c>
      <c r="Q458" s="41" t="n">
        <v>4.5</v>
      </c>
    </row>
    <row r="459" customFormat="false" ht="15" hidden="false" customHeight="false" outlineLevel="0" collapsed="false">
      <c r="A459" s="41" t="s">
        <v>637</v>
      </c>
      <c r="B459" s="41" t="s">
        <v>189</v>
      </c>
      <c r="C459" s="41" t="s">
        <v>86</v>
      </c>
      <c r="D459" s="41" t="s">
        <v>105</v>
      </c>
      <c r="E459" s="41" t="s">
        <v>103</v>
      </c>
      <c r="F459" s="41" t="s">
        <v>78</v>
      </c>
      <c r="G459" s="41" t="n">
        <v>79.39</v>
      </c>
      <c r="H459" s="41" t="n">
        <v>10</v>
      </c>
      <c r="I459" s="41" t="n">
        <v>39.695</v>
      </c>
      <c r="J459" s="41" t="n">
        <v>833.595</v>
      </c>
      <c r="K459" s="41" t="s">
        <v>1214</v>
      </c>
      <c r="L459" s="41" t="s">
        <v>1444</v>
      </c>
      <c r="M459" s="41" t="s">
        <v>97</v>
      </c>
      <c r="N459" s="41" t="n">
        <v>793.9</v>
      </c>
      <c r="O459" s="41" t="n">
        <v>4.761904762</v>
      </c>
      <c r="P459" s="41" t="n">
        <v>39.695</v>
      </c>
      <c r="Q459" s="41" t="n">
        <v>6.2</v>
      </c>
    </row>
    <row r="460" customFormat="false" ht="15" hidden="false" customHeight="false" outlineLevel="0" collapsed="false">
      <c r="A460" s="41" t="s">
        <v>638</v>
      </c>
      <c r="B460" s="41" t="s">
        <v>180</v>
      </c>
      <c r="C460" s="41" t="s">
        <v>87</v>
      </c>
      <c r="D460" s="41" t="s">
        <v>104</v>
      </c>
      <c r="E460" s="41" t="s">
        <v>102</v>
      </c>
      <c r="F460" s="41" t="s">
        <v>78</v>
      </c>
      <c r="G460" s="41" t="n">
        <v>46.57</v>
      </c>
      <c r="H460" s="41" t="n">
        <v>10</v>
      </c>
      <c r="I460" s="41" t="n">
        <v>23.285</v>
      </c>
      <c r="J460" s="41" t="n">
        <v>488.985</v>
      </c>
      <c r="K460" s="41" t="s">
        <v>1194</v>
      </c>
      <c r="L460" s="41" t="s">
        <v>1398</v>
      </c>
      <c r="M460" s="41" t="s">
        <v>97</v>
      </c>
      <c r="N460" s="41" t="n">
        <v>465.7</v>
      </c>
      <c r="O460" s="41" t="n">
        <v>4.761904762</v>
      </c>
      <c r="P460" s="41" t="n">
        <v>23.285</v>
      </c>
      <c r="Q460" s="41" t="n">
        <v>7.6</v>
      </c>
    </row>
    <row r="461" customFormat="false" ht="15" hidden="false" customHeight="false" outlineLevel="0" collapsed="false">
      <c r="A461" s="41" t="s">
        <v>639</v>
      </c>
      <c r="B461" s="41" t="s">
        <v>180</v>
      </c>
      <c r="C461" s="41" t="s">
        <v>87</v>
      </c>
      <c r="D461" s="41" t="s">
        <v>105</v>
      </c>
      <c r="E461" s="41" t="s">
        <v>103</v>
      </c>
      <c r="F461" s="41" t="s">
        <v>76</v>
      </c>
      <c r="G461" s="41" t="n">
        <v>35.89</v>
      </c>
      <c r="H461" s="41" t="n">
        <v>1</v>
      </c>
      <c r="I461" s="41" t="n">
        <v>1.7945</v>
      </c>
      <c r="J461" s="41" t="n">
        <v>37.6845</v>
      </c>
      <c r="K461" s="41" t="s">
        <v>1321</v>
      </c>
      <c r="L461" s="41" t="s">
        <v>1502</v>
      </c>
      <c r="M461" s="41" t="s">
        <v>99</v>
      </c>
      <c r="N461" s="41" t="n">
        <v>35.89</v>
      </c>
      <c r="O461" s="41" t="n">
        <v>4.761904762</v>
      </c>
      <c r="P461" s="41" t="n">
        <v>1.7945</v>
      </c>
      <c r="Q461" s="41" t="n">
        <v>7.9</v>
      </c>
    </row>
    <row r="462" customFormat="false" ht="15" hidden="false" customHeight="false" outlineLevel="0" collapsed="false">
      <c r="A462" s="41" t="s">
        <v>640</v>
      </c>
      <c r="B462" s="41" t="s">
        <v>180</v>
      </c>
      <c r="C462" s="41" t="s">
        <v>87</v>
      </c>
      <c r="D462" s="41" t="s">
        <v>105</v>
      </c>
      <c r="E462" s="41" t="s">
        <v>103</v>
      </c>
      <c r="F462" s="41" t="s">
        <v>76</v>
      </c>
      <c r="G462" s="41" t="n">
        <v>40.52</v>
      </c>
      <c r="H462" s="41" t="n">
        <v>5</v>
      </c>
      <c r="I462" s="41" t="n">
        <v>10.13</v>
      </c>
      <c r="J462" s="41" t="n">
        <v>212.73</v>
      </c>
      <c r="K462" s="41" t="s">
        <v>1272</v>
      </c>
      <c r="L462" s="41" t="s">
        <v>1603</v>
      </c>
      <c r="M462" s="41" t="s">
        <v>97</v>
      </c>
      <c r="N462" s="41" t="n">
        <v>202.6</v>
      </c>
      <c r="O462" s="41" t="n">
        <v>4.761904762</v>
      </c>
      <c r="P462" s="41" t="n">
        <v>10.13</v>
      </c>
      <c r="Q462" s="41" t="n">
        <v>4.5</v>
      </c>
    </row>
    <row r="463" customFormat="false" ht="15" hidden="false" customHeight="false" outlineLevel="0" collapsed="false">
      <c r="A463" s="41" t="s">
        <v>641</v>
      </c>
      <c r="B463" s="41" t="s">
        <v>189</v>
      </c>
      <c r="C463" s="41" t="s">
        <v>86</v>
      </c>
      <c r="D463" s="41" t="s">
        <v>104</v>
      </c>
      <c r="E463" s="41" t="s">
        <v>102</v>
      </c>
      <c r="F463" s="41" t="s">
        <v>76</v>
      </c>
      <c r="G463" s="41" t="n">
        <v>73.05</v>
      </c>
      <c r="H463" s="41" t="n">
        <v>10</v>
      </c>
      <c r="I463" s="41" t="n">
        <v>36.525</v>
      </c>
      <c r="J463" s="41" t="n">
        <v>767.025</v>
      </c>
      <c r="K463" s="41" t="s">
        <v>1192</v>
      </c>
      <c r="L463" s="41" t="s">
        <v>1569</v>
      </c>
      <c r="M463" s="41" t="s">
        <v>99</v>
      </c>
      <c r="N463" s="41" t="n">
        <v>730.5</v>
      </c>
      <c r="O463" s="41" t="n">
        <v>4.761904762</v>
      </c>
      <c r="P463" s="41" t="n">
        <v>36.525</v>
      </c>
      <c r="Q463" s="41" t="n">
        <v>8.7</v>
      </c>
    </row>
    <row r="464" customFormat="false" ht="15" hidden="false" customHeight="false" outlineLevel="0" collapsed="false">
      <c r="A464" s="41" t="s">
        <v>642</v>
      </c>
      <c r="B464" s="41" t="s">
        <v>180</v>
      </c>
      <c r="C464" s="41" t="s">
        <v>87</v>
      </c>
      <c r="D464" s="41" t="s">
        <v>105</v>
      </c>
      <c r="E464" s="41" t="s">
        <v>102</v>
      </c>
      <c r="F464" s="41" t="s">
        <v>77</v>
      </c>
      <c r="G464" s="41" t="n">
        <v>73.95</v>
      </c>
      <c r="H464" s="41" t="n">
        <v>4</v>
      </c>
      <c r="I464" s="41" t="n">
        <v>14.79</v>
      </c>
      <c r="J464" s="41" t="n">
        <v>310.59</v>
      </c>
      <c r="K464" s="41" t="s">
        <v>1272</v>
      </c>
      <c r="L464" s="41" t="s">
        <v>1439</v>
      </c>
      <c r="M464" s="41" t="s">
        <v>97</v>
      </c>
      <c r="N464" s="41" t="n">
        <v>295.8</v>
      </c>
      <c r="O464" s="41" t="n">
        <v>4.761904762</v>
      </c>
      <c r="P464" s="41" t="n">
        <v>14.79</v>
      </c>
      <c r="Q464" s="41" t="n">
        <v>6.1</v>
      </c>
    </row>
    <row r="465" customFormat="false" ht="15" hidden="false" customHeight="false" outlineLevel="0" collapsed="false">
      <c r="A465" s="41" t="s">
        <v>643</v>
      </c>
      <c r="B465" s="41" t="s">
        <v>180</v>
      </c>
      <c r="C465" s="41" t="s">
        <v>87</v>
      </c>
      <c r="D465" s="41" t="s">
        <v>104</v>
      </c>
      <c r="E465" s="41" t="s">
        <v>102</v>
      </c>
      <c r="F465" s="41" t="s">
        <v>76</v>
      </c>
      <c r="G465" s="41" t="n">
        <v>22.62</v>
      </c>
      <c r="H465" s="41" t="n">
        <v>1</v>
      </c>
      <c r="I465" s="41" t="n">
        <v>1.131</v>
      </c>
      <c r="J465" s="41" t="n">
        <v>23.751</v>
      </c>
      <c r="K465" s="41" t="s">
        <v>1486</v>
      </c>
      <c r="L465" s="41" t="s">
        <v>1531</v>
      </c>
      <c r="M465" s="41" t="s">
        <v>97</v>
      </c>
      <c r="N465" s="41" t="n">
        <v>22.62</v>
      </c>
      <c r="O465" s="41" t="n">
        <v>4.761904762</v>
      </c>
      <c r="P465" s="41" t="n">
        <v>1.131</v>
      </c>
      <c r="Q465" s="41" t="n">
        <v>6.4</v>
      </c>
    </row>
    <row r="466" customFormat="false" ht="15" hidden="false" customHeight="false" outlineLevel="0" collapsed="false">
      <c r="A466" s="41" t="s">
        <v>644</v>
      </c>
      <c r="B466" s="41" t="s">
        <v>178</v>
      </c>
      <c r="C466" s="41" t="s">
        <v>85</v>
      </c>
      <c r="D466" s="41" t="s">
        <v>104</v>
      </c>
      <c r="E466" s="41" t="s">
        <v>103</v>
      </c>
      <c r="F466" s="41" t="s">
        <v>76</v>
      </c>
      <c r="G466" s="41" t="n">
        <v>51.34</v>
      </c>
      <c r="H466" s="41" t="n">
        <v>5</v>
      </c>
      <c r="I466" s="41" t="n">
        <v>12.835</v>
      </c>
      <c r="J466" s="41" t="n">
        <v>269.535</v>
      </c>
      <c r="K466" s="41" t="s">
        <v>1343</v>
      </c>
      <c r="L466" s="41" t="s">
        <v>1237</v>
      </c>
      <c r="M466" s="41" t="s">
        <v>99</v>
      </c>
      <c r="N466" s="41" t="n">
        <v>256.7</v>
      </c>
      <c r="O466" s="41" t="n">
        <v>4.761904762</v>
      </c>
      <c r="P466" s="41" t="n">
        <v>12.835</v>
      </c>
      <c r="Q466" s="41" t="n">
        <v>9.1</v>
      </c>
    </row>
    <row r="467" customFormat="false" ht="15" hidden="false" customHeight="false" outlineLevel="0" collapsed="false">
      <c r="A467" s="41" t="s">
        <v>645</v>
      </c>
      <c r="B467" s="41" t="s">
        <v>180</v>
      </c>
      <c r="C467" s="41" t="s">
        <v>87</v>
      </c>
      <c r="D467" s="41" t="s">
        <v>104</v>
      </c>
      <c r="E467" s="41" t="s">
        <v>102</v>
      </c>
      <c r="F467" s="41" t="s">
        <v>77</v>
      </c>
      <c r="G467" s="41" t="n">
        <v>54.55</v>
      </c>
      <c r="H467" s="41" t="n">
        <v>10</v>
      </c>
      <c r="I467" s="41" t="n">
        <v>27.275</v>
      </c>
      <c r="J467" s="41" t="n">
        <v>572.775</v>
      </c>
      <c r="K467" s="41" t="s">
        <v>1233</v>
      </c>
      <c r="L467" s="41" t="s">
        <v>1487</v>
      </c>
      <c r="M467" s="41" t="s">
        <v>99</v>
      </c>
      <c r="N467" s="41" t="n">
        <v>545.5</v>
      </c>
      <c r="O467" s="41" t="n">
        <v>4.761904762</v>
      </c>
      <c r="P467" s="41" t="n">
        <v>27.275</v>
      </c>
      <c r="Q467" s="41" t="n">
        <v>7.1</v>
      </c>
    </row>
    <row r="468" customFormat="false" ht="15" hidden="false" customHeight="false" outlineLevel="0" collapsed="false">
      <c r="A468" s="41" t="s">
        <v>646</v>
      </c>
      <c r="B468" s="41" t="s">
        <v>180</v>
      </c>
      <c r="C468" s="41" t="s">
        <v>87</v>
      </c>
      <c r="D468" s="41" t="s">
        <v>104</v>
      </c>
      <c r="E468" s="41" t="s">
        <v>102</v>
      </c>
      <c r="F468" s="41" t="s">
        <v>81</v>
      </c>
      <c r="G468" s="41" t="n">
        <v>37.15</v>
      </c>
      <c r="H468" s="41" t="n">
        <v>7</v>
      </c>
      <c r="I468" s="41" t="n">
        <v>13.0025</v>
      </c>
      <c r="J468" s="41" t="n">
        <v>273.0525</v>
      </c>
      <c r="K468" s="41" t="s">
        <v>1196</v>
      </c>
      <c r="L468" s="41" t="s">
        <v>1527</v>
      </c>
      <c r="M468" s="41" t="s">
        <v>99</v>
      </c>
      <c r="N468" s="41" t="n">
        <v>260.05</v>
      </c>
      <c r="O468" s="41" t="n">
        <v>4.761904762</v>
      </c>
      <c r="P468" s="41" t="n">
        <v>13.0025</v>
      </c>
      <c r="Q468" s="41" t="n">
        <v>7.7</v>
      </c>
    </row>
    <row r="469" customFormat="false" ht="15" hidden="false" customHeight="false" outlineLevel="0" collapsed="false">
      <c r="A469" s="41" t="s">
        <v>647</v>
      </c>
      <c r="B469" s="41" t="s">
        <v>189</v>
      </c>
      <c r="C469" s="41" t="s">
        <v>86</v>
      </c>
      <c r="D469" s="41" t="s">
        <v>105</v>
      </c>
      <c r="E469" s="41" t="s">
        <v>103</v>
      </c>
      <c r="F469" s="41" t="s">
        <v>77</v>
      </c>
      <c r="G469" s="41" t="n">
        <v>37.02</v>
      </c>
      <c r="H469" s="41" t="n">
        <v>6</v>
      </c>
      <c r="I469" s="41" t="n">
        <v>11.106</v>
      </c>
      <c r="J469" s="41" t="n">
        <v>233.226</v>
      </c>
      <c r="K469" s="41" t="s">
        <v>1235</v>
      </c>
      <c r="L469" s="41" t="s">
        <v>1604</v>
      </c>
      <c r="M469" s="41" t="s">
        <v>97</v>
      </c>
      <c r="N469" s="41" t="n">
        <v>222.12</v>
      </c>
      <c r="O469" s="41" t="n">
        <v>4.761904762</v>
      </c>
      <c r="P469" s="41" t="n">
        <v>11.106</v>
      </c>
      <c r="Q469" s="41" t="n">
        <v>4.5</v>
      </c>
    </row>
    <row r="470" customFormat="false" ht="15" hidden="false" customHeight="false" outlineLevel="0" collapsed="false">
      <c r="A470" s="41" t="s">
        <v>648</v>
      </c>
      <c r="B470" s="41" t="s">
        <v>180</v>
      </c>
      <c r="C470" s="41" t="s">
        <v>87</v>
      </c>
      <c r="D470" s="41" t="s">
        <v>105</v>
      </c>
      <c r="E470" s="41" t="s">
        <v>103</v>
      </c>
      <c r="F470" s="41" t="s">
        <v>76</v>
      </c>
      <c r="G470" s="41" t="n">
        <v>21.58</v>
      </c>
      <c r="H470" s="41" t="n">
        <v>1</v>
      </c>
      <c r="I470" s="41" t="n">
        <v>1.079</v>
      </c>
      <c r="J470" s="41" t="n">
        <v>22.659</v>
      </c>
      <c r="K470" s="41" t="s">
        <v>1334</v>
      </c>
      <c r="L470" s="41" t="s">
        <v>1439</v>
      </c>
      <c r="M470" s="41" t="s">
        <v>98</v>
      </c>
      <c r="N470" s="41" t="n">
        <v>21.58</v>
      </c>
      <c r="O470" s="41" t="n">
        <v>4.761904762</v>
      </c>
      <c r="P470" s="41" t="n">
        <v>1.079</v>
      </c>
      <c r="Q470" s="41" t="n">
        <v>7.2</v>
      </c>
    </row>
    <row r="471" customFormat="false" ht="15" hidden="false" customHeight="false" outlineLevel="0" collapsed="false">
      <c r="A471" s="41" t="s">
        <v>649</v>
      </c>
      <c r="B471" s="41" t="s">
        <v>180</v>
      </c>
      <c r="C471" s="41" t="s">
        <v>87</v>
      </c>
      <c r="D471" s="41" t="s">
        <v>104</v>
      </c>
      <c r="E471" s="41" t="s">
        <v>102</v>
      </c>
      <c r="F471" s="41" t="s">
        <v>78</v>
      </c>
      <c r="G471" s="41" t="n">
        <v>98.84</v>
      </c>
      <c r="H471" s="41" t="n">
        <v>1</v>
      </c>
      <c r="I471" s="41" t="n">
        <v>4.942</v>
      </c>
      <c r="J471" s="41" t="n">
        <v>103.782</v>
      </c>
      <c r="K471" s="41" t="s">
        <v>1288</v>
      </c>
      <c r="L471" s="41" t="s">
        <v>1543</v>
      </c>
      <c r="M471" s="41" t="s">
        <v>97</v>
      </c>
      <c r="N471" s="41" t="n">
        <v>98.84</v>
      </c>
      <c r="O471" s="41" t="n">
        <v>4.761904762</v>
      </c>
      <c r="P471" s="41" t="n">
        <v>4.942</v>
      </c>
      <c r="Q471" s="41" t="n">
        <v>8.4</v>
      </c>
    </row>
    <row r="472" customFormat="false" ht="15" hidden="false" customHeight="false" outlineLevel="0" collapsed="false">
      <c r="A472" s="41" t="s">
        <v>650</v>
      </c>
      <c r="B472" s="41" t="s">
        <v>180</v>
      </c>
      <c r="C472" s="41" t="s">
        <v>87</v>
      </c>
      <c r="D472" s="41" t="s">
        <v>104</v>
      </c>
      <c r="E472" s="41" t="s">
        <v>102</v>
      </c>
      <c r="F472" s="41" t="s">
        <v>80</v>
      </c>
      <c r="G472" s="41" t="n">
        <v>83.77</v>
      </c>
      <c r="H472" s="41" t="n">
        <v>6</v>
      </c>
      <c r="I472" s="41" t="n">
        <v>25.131</v>
      </c>
      <c r="J472" s="41" t="n">
        <v>527.751</v>
      </c>
      <c r="K472" s="41" t="s">
        <v>1319</v>
      </c>
      <c r="L472" s="41" t="s">
        <v>1605</v>
      </c>
      <c r="M472" s="41" t="s">
        <v>98</v>
      </c>
      <c r="N472" s="41" t="n">
        <v>502.62</v>
      </c>
      <c r="O472" s="41" t="n">
        <v>4.761904762</v>
      </c>
      <c r="P472" s="41" t="n">
        <v>25.131</v>
      </c>
      <c r="Q472" s="41" t="n">
        <v>5.4</v>
      </c>
    </row>
    <row r="473" customFormat="false" ht="15" hidden="false" customHeight="false" outlineLevel="0" collapsed="false">
      <c r="A473" s="41" t="s">
        <v>651</v>
      </c>
      <c r="B473" s="41" t="s">
        <v>178</v>
      </c>
      <c r="C473" s="41" t="s">
        <v>85</v>
      </c>
      <c r="D473" s="41" t="s">
        <v>104</v>
      </c>
      <c r="E473" s="41" t="s">
        <v>102</v>
      </c>
      <c r="F473" s="41" t="s">
        <v>77</v>
      </c>
      <c r="G473" s="41" t="n">
        <v>40.05</v>
      </c>
      <c r="H473" s="41" t="n">
        <v>4</v>
      </c>
      <c r="I473" s="41" t="n">
        <v>8.01</v>
      </c>
      <c r="J473" s="41" t="n">
        <v>168.21</v>
      </c>
      <c r="K473" s="41" t="s">
        <v>1240</v>
      </c>
      <c r="L473" s="41" t="s">
        <v>1606</v>
      </c>
      <c r="M473" s="41" t="s">
        <v>97</v>
      </c>
      <c r="N473" s="41" t="n">
        <v>160.2</v>
      </c>
      <c r="O473" s="41" t="n">
        <v>4.761904762</v>
      </c>
      <c r="P473" s="41" t="n">
        <v>8.01</v>
      </c>
      <c r="Q473" s="41" t="n">
        <v>9.7</v>
      </c>
    </row>
    <row r="474" customFormat="false" ht="15" hidden="false" customHeight="false" outlineLevel="0" collapsed="false">
      <c r="A474" s="41" t="s">
        <v>652</v>
      </c>
      <c r="B474" s="41" t="s">
        <v>178</v>
      </c>
      <c r="C474" s="41" t="s">
        <v>85</v>
      </c>
      <c r="D474" s="41" t="s">
        <v>104</v>
      </c>
      <c r="E474" s="41" t="s">
        <v>103</v>
      </c>
      <c r="F474" s="41" t="s">
        <v>79</v>
      </c>
      <c r="G474" s="41" t="n">
        <v>43.13</v>
      </c>
      <c r="H474" s="41" t="n">
        <v>10</v>
      </c>
      <c r="I474" s="41" t="n">
        <v>21.565</v>
      </c>
      <c r="J474" s="41" t="n">
        <v>452.865</v>
      </c>
      <c r="K474" s="41" t="s">
        <v>1258</v>
      </c>
      <c r="L474" s="41" t="s">
        <v>1469</v>
      </c>
      <c r="M474" s="41" t="s">
        <v>99</v>
      </c>
      <c r="N474" s="41" t="n">
        <v>431.3</v>
      </c>
      <c r="O474" s="41" t="n">
        <v>4.761904762</v>
      </c>
      <c r="P474" s="41" t="n">
        <v>21.565</v>
      </c>
      <c r="Q474" s="41" t="n">
        <v>5.5</v>
      </c>
    </row>
    <row r="475" customFormat="false" ht="15" hidden="false" customHeight="false" outlineLevel="0" collapsed="false">
      <c r="A475" s="41" t="s">
        <v>653</v>
      </c>
      <c r="B475" s="41" t="s">
        <v>189</v>
      </c>
      <c r="C475" s="41" t="s">
        <v>86</v>
      </c>
      <c r="D475" s="41" t="s">
        <v>104</v>
      </c>
      <c r="E475" s="41" t="s">
        <v>103</v>
      </c>
      <c r="F475" s="41" t="s">
        <v>81</v>
      </c>
      <c r="G475" s="41" t="n">
        <v>72.57</v>
      </c>
      <c r="H475" s="41" t="n">
        <v>8</v>
      </c>
      <c r="I475" s="41" t="n">
        <v>29.028</v>
      </c>
      <c r="J475" s="41" t="n">
        <v>609.588</v>
      </c>
      <c r="K475" s="41" t="s">
        <v>1399</v>
      </c>
      <c r="L475" s="41" t="s">
        <v>1597</v>
      </c>
      <c r="M475" s="41" t="s">
        <v>97</v>
      </c>
      <c r="N475" s="41" t="n">
        <v>580.56</v>
      </c>
      <c r="O475" s="41" t="n">
        <v>4.761904762</v>
      </c>
      <c r="P475" s="41" t="n">
        <v>29.028</v>
      </c>
      <c r="Q475" s="41" t="n">
        <v>4.6</v>
      </c>
    </row>
    <row r="476" customFormat="false" ht="15" hidden="false" customHeight="false" outlineLevel="0" collapsed="false">
      <c r="A476" s="41" t="s">
        <v>654</v>
      </c>
      <c r="B476" s="41" t="s">
        <v>178</v>
      </c>
      <c r="C476" s="41" t="s">
        <v>85</v>
      </c>
      <c r="D476" s="41" t="s">
        <v>104</v>
      </c>
      <c r="E476" s="41" t="s">
        <v>102</v>
      </c>
      <c r="F476" s="41" t="s">
        <v>78</v>
      </c>
      <c r="G476" s="41" t="n">
        <v>64.44</v>
      </c>
      <c r="H476" s="41" t="n">
        <v>5</v>
      </c>
      <c r="I476" s="41" t="n">
        <v>16.11</v>
      </c>
      <c r="J476" s="41" t="n">
        <v>338.31</v>
      </c>
      <c r="K476" s="41" t="s">
        <v>1399</v>
      </c>
      <c r="L476" s="41" t="s">
        <v>1310</v>
      </c>
      <c r="M476" s="41" t="s">
        <v>97</v>
      </c>
      <c r="N476" s="41" t="n">
        <v>322.2</v>
      </c>
      <c r="O476" s="41" t="n">
        <v>4.761904762</v>
      </c>
      <c r="P476" s="41" t="n">
        <v>16.11</v>
      </c>
      <c r="Q476" s="41" t="n">
        <v>6.6</v>
      </c>
    </row>
    <row r="477" customFormat="false" ht="15" hidden="false" customHeight="false" outlineLevel="0" collapsed="false">
      <c r="A477" s="41" t="s">
        <v>655</v>
      </c>
      <c r="B477" s="41" t="s">
        <v>178</v>
      </c>
      <c r="C477" s="41" t="s">
        <v>85</v>
      </c>
      <c r="D477" s="41" t="s">
        <v>105</v>
      </c>
      <c r="E477" s="41" t="s">
        <v>103</v>
      </c>
      <c r="F477" s="41" t="s">
        <v>81</v>
      </c>
      <c r="G477" s="41" t="n">
        <v>65.18</v>
      </c>
      <c r="H477" s="41" t="n">
        <v>3</v>
      </c>
      <c r="I477" s="41" t="n">
        <v>9.777</v>
      </c>
      <c r="J477" s="41" t="n">
        <v>205.317</v>
      </c>
      <c r="K477" s="41" t="s">
        <v>1200</v>
      </c>
      <c r="L477" s="41" t="s">
        <v>1325</v>
      </c>
      <c r="M477" s="41" t="s">
        <v>99</v>
      </c>
      <c r="N477" s="41" t="n">
        <v>195.54</v>
      </c>
      <c r="O477" s="41" t="n">
        <v>4.761904762</v>
      </c>
      <c r="P477" s="41" t="n">
        <v>9.777</v>
      </c>
      <c r="Q477" s="41" t="n">
        <v>6.3</v>
      </c>
    </row>
    <row r="478" customFormat="false" ht="15" hidden="false" customHeight="false" outlineLevel="0" collapsed="false">
      <c r="A478" s="41" t="s">
        <v>656</v>
      </c>
      <c r="B478" s="41" t="s">
        <v>178</v>
      </c>
      <c r="C478" s="41" t="s">
        <v>85</v>
      </c>
      <c r="D478" s="41" t="s">
        <v>105</v>
      </c>
      <c r="E478" s="41" t="s">
        <v>102</v>
      </c>
      <c r="F478" s="41" t="s">
        <v>77</v>
      </c>
      <c r="G478" s="41" t="n">
        <v>33.26</v>
      </c>
      <c r="H478" s="41" t="n">
        <v>5</v>
      </c>
      <c r="I478" s="41" t="n">
        <v>8.315</v>
      </c>
      <c r="J478" s="41" t="n">
        <v>174.615</v>
      </c>
      <c r="K478" s="41" t="s">
        <v>1442</v>
      </c>
      <c r="L478" s="41" t="s">
        <v>1548</v>
      </c>
      <c r="M478" s="41" t="s">
        <v>99</v>
      </c>
      <c r="N478" s="41" t="n">
        <v>166.3</v>
      </c>
      <c r="O478" s="41" t="n">
        <v>4.761904762</v>
      </c>
      <c r="P478" s="41" t="n">
        <v>8.315</v>
      </c>
      <c r="Q478" s="41" t="n">
        <v>4.2</v>
      </c>
    </row>
    <row r="479" customFormat="false" ht="15" hidden="false" customHeight="false" outlineLevel="0" collapsed="false">
      <c r="A479" s="41" t="s">
        <v>657</v>
      </c>
      <c r="B479" s="41" t="s">
        <v>180</v>
      </c>
      <c r="C479" s="41" t="s">
        <v>87</v>
      </c>
      <c r="D479" s="41" t="s">
        <v>105</v>
      </c>
      <c r="E479" s="41" t="s">
        <v>103</v>
      </c>
      <c r="F479" s="41" t="s">
        <v>78</v>
      </c>
      <c r="G479" s="41" t="n">
        <v>84.07</v>
      </c>
      <c r="H479" s="41" t="n">
        <v>4</v>
      </c>
      <c r="I479" s="41" t="n">
        <v>16.814</v>
      </c>
      <c r="J479" s="41" t="n">
        <v>353.094</v>
      </c>
      <c r="K479" s="41" t="s">
        <v>1277</v>
      </c>
      <c r="L479" s="41" t="s">
        <v>1607</v>
      </c>
      <c r="M479" s="41" t="s">
        <v>98</v>
      </c>
      <c r="N479" s="41" t="n">
        <v>336.28</v>
      </c>
      <c r="O479" s="41" t="n">
        <v>4.761904762</v>
      </c>
      <c r="P479" s="41" t="n">
        <v>16.814</v>
      </c>
      <c r="Q479" s="41" t="n">
        <v>4.4</v>
      </c>
    </row>
    <row r="480" customFormat="false" ht="15" hidden="false" customHeight="false" outlineLevel="0" collapsed="false">
      <c r="A480" s="41" t="s">
        <v>658</v>
      </c>
      <c r="B480" s="41" t="s">
        <v>189</v>
      </c>
      <c r="C480" s="41" t="s">
        <v>86</v>
      </c>
      <c r="D480" s="41" t="s">
        <v>105</v>
      </c>
      <c r="E480" s="41" t="s">
        <v>103</v>
      </c>
      <c r="F480" s="41" t="s">
        <v>77</v>
      </c>
      <c r="G480" s="41" t="n">
        <v>34.37</v>
      </c>
      <c r="H480" s="41" t="n">
        <v>10</v>
      </c>
      <c r="I480" s="41" t="n">
        <v>17.185</v>
      </c>
      <c r="J480" s="41" t="n">
        <v>360.885</v>
      </c>
      <c r="K480" s="41" t="s">
        <v>1263</v>
      </c>
      <c r="L480" s="41" t="s">
        <v>1259</v>
      </c>
      <c r="M480" s="41" t="s">
        <v>98</v>
      </c>
      <c r="N480" s="41" t="n">
        <v>343.7</v>
      </c>
      <c r="O480" s="41" t="n">
        <v>4.761904762</v>
      </c>
      <c r="P480" s="41" t="n">
        <v>17.185</v>
      </c>
      <c r="Q480" s="41" t="n">
        <v>6.7</v>
      </c>
    </row>
    <row r="481" customFormat="false" ht="15" hidden="false" customHeight="false" outlineLevel="0" collapsed="false">
      <c r="A481" s="41" t="s">
        <v>659</v>
      </c>
      <c r="B481" s="41" t="s">
        <v>178</v>
      </c>
      <c r="C481" s="41" t="s">
        <v>85</v>
      </c>
      <c r="D481" s="41" t="s">
        <v>105</v>
      </c>
      <c r="E481" s="41" t="s">
        <v>103</v>
      </c>
      <c r="F481" s="41" t="s">
        <v>78</v>
      </c>
      <c r="G481" s="41" t="n">
        <v>38.6</v>
      </c>
      <c r="H481" s="41" t="n">
        <v>1</v>
      </c>
      <c r="I481" s="41" t="n">
        <v>1.93</v>
      </c>
      <c r="J481" s="41" t="n">
        <v>40.53</v>
      </c>
      <c r="K481" s="41" t="s">
        <v>1392</v>
      </c>
      <c r="L481" s="41" t="s">
        <v>1282</v>
      </c>
      <c r="M481" s="41" t="s">
        <v>98</v>
      </c>
      <c r="N481" s="41" t="n">
        <v>38.6</v>
      </c>
      <c r="O481" s="41" t="n">
        <v>4.761904762</v>
      </c>
      <c r="P481" s="41" t="n">
        <v>1.93</v>
      </c>
      <c r="Q481" s="41" t="n">
        <v>6.7</v>
      </c>
    </row>
    <row r="482" customFormat="false" ht="15" hidden="false" customHeight="false" outlineLevel="0" collapsed="false">
      <c r="A482" s="41" t="s">
        <v>660</v>
      </c>
      <c r="B482" s="41" t="s">
        <v>180</v>
      </c>
      <c r="C482" s="41" t="s">
        <v>87</v>
      </c>
      <c r="D482" s="41" t="s">
        <v>105</v>
      </c>
      <c r="E482" s="41" t="s">
        <v>103</v>
      </c>
      <c r="F482" s="41" t="s">
        <v>76</v>
      </c>
      <c r="G482" s="41" t="n">
        <v>65.97</v>
      </c>
      <c r="H482" s="41" t="n">
        <v>8</v>
      </c>
      <c r="I482" s="41" t="n">
        <v>26.388</v>
      </c>
      <c r="J482" s="41" t="n">
        <v>554.148</v>
      </c>
      <c r="K482" s="41" t="s">
        <v>1258</v>
      </c>
      <c r="L482" s="41" t="s">
        <v>1514</v>
      </c>
      <c r="M482" s="41" t="s">
        <v>97</v>
      </c>
      <c r="N482" s="41" t="n">
        <v>527.76</v>
      </c>
      <c r="O482" s="41" t="n">
        <v>4.761904762</v>
      </c>
      <c r="P482" s="41" t="n">
        <v>26.388</v>
      </c>
      <c r="Q482" s="41" t="n">
        <v>8.4</v>
      </c>
    </row>
    <row r="483" customFormat="false" ht="15" hidden="false" customHeight="false" outlineLevel="0" collapsed="false">
      <c r="A483" s="41" t="s">
        <v>661</v>
      </c>
      <c r="B483" s="41" t="s">
        <v>180</v>
      </c>
      <c r="C483" s="41" t="s">
        <v>87</v>
      </c>
      <c r="D483" s="41" t="s">
        <v>105</v>
      </c>
      <c r="E483" s="41" t="s">
        <v>102</v>
      </c>
      <c r="F483" s="41" t="s">
        <v>78</v>
      </c>
      <c r="G483" s="41" t="n">
        <v>32.8</v>
      </c>
      <c r="H483" s="41" t="n">
        <v>10</v>
      </c>
      <c r="I483" s="41" t="n">
        <v>16.4</v>
      </c>
      <c r="J483" s="41" t="n">
        <v>344.4</v>
      </c>
      <c r="K483" s="41" t="s">
        <v>1288</v>
      </c>
      <c r="L483" s="41" t="s">
        <v>1565</v>
      </c>
      <c r="M483" s="41" t="s">
        <v>97</v>
      </c>
      <c r="N483" s="41" t="n">
        <v>328</v>
      </c>
      <c r="O483" s="41" t="n">
        <v>4.761904762</v>
      </c>
      <c r="P483" s="41" t="n">
        <v>16.4</v>
      </c>
      <c r="Q483" s="41" t="n">
        <v>6.2</v>
      </c>
    </row>
    <row r="484" customFormat="false" ht="15" hidden="false" customHeight="false" outlineLevel="0" collapsed="false">
      <c r="A484" s="41" t="s">
        <v>662</v>
      </c>
      <c r="B484" s="41" t="s">
        <v>178</v>
      </c>
      <c r="C484" s="41" t="s">
        <v>85</v>
      </c>
      <c r="D484" s="41" t="s">
        <v>105</v>
      </c>
      <c r="E484" s="41" t="s">
        <v>103</v>
      </c>
      <c r="F484" s="41" t="s">
        <v>77</v>
      </c>
      <c r="G484" s="41" t="n">
        <v>37.14</v>
      </c>
      <c r="H484" s="41" t="n">
        <v>5</v>
      </c>
      <c r="I484" s="41" t="n">
        <v>9.285</v>
      </c>
      <c r="J484" s="41" t="n">
        <v>194.985</v>
      </c>
      <c r="K484" s="41" t="s">
        <v>1369</v>
      </c>
      <c r="L484" s="41" t="s">
        <v>1395</v>
      </c>
      <c r="M484" s="41" t="s">
        <v>98</v>
      </c>
      <c r="N484" s="41" t="n">
        <v>185.7</v>
      </c>
      <c r="O484" s="41" t="n">
        <v>4.761904762</v>
      </c>
      <c r="P484" s="41" t="n">
        <v>9.285</v>
      </c>
      <c r="Q484" s="41" t="n">
        <v>5</v>
      </c>
    </row>
    <row r="485" customFormat="false" ht="15" hidden="false" customHeight="false" outlineLevel="0" collapsed="false">
      <c r="A485" s="41" t="s">
        <v>663</v>
      </c>
      <c r="B485" s="41" t="s">
        <v>189</v>
      </c>
      <c r="C485" s="41" t="s">
        <v>86</v>
      </c>
      <c r="D485" s="41" t="s">
        <v>104</v>
      </c>
      <c r="E485" s="41" t="s">
        <v>103</v>
      </c>
      <c r="F485" s="41" t="s">
        <v>80</v>
      </c>
      <c r="G485" s="41" t="n">
        <v>60.38</v>
      </c>
      <c r="H485" s="41" t="n">
        <v>10</v>
      </c>
      <c r="I485" s="41" t="n">
        <v>30.19</v>
      </c>
      <c r="J485" s="41" t="n">
        <v>633.99</v>
      </c>
      <c r="K485" s="41" t="s">
        <v>1212</v>
      </c>
      <c r="L485" s="41" t="s">
        <v>1219</v>
      </c>
      <c r="M485" s="41" t="s">
        <v>97</v>
      </c>
      <c r="N485" s="41" t="n">
        <v>603.8</v>
      </c>
      <c r="O485" s="41" t="n">
        <v>4.761904762</v>
      </c>
      <c r="P485" s="41" t="n">
        <v>30.19</v>
      </c>
      <c r="Q485" s="41" t="n">
        <v>6</v>
      </c>
    </row>
    <row r="486" customFormat="false" ht="15" hidden="false" customHeight="false" outlineLevel="0" collapsed="false">
      <c r="A486" s="41" t="s">
        <v>664</v>
      </c>
      <c r="B486" s="41" t="s">
        <v>180</v>
      </c>
      <c r="C486" s="41" t="s">
        <v>87</v>
      </c>
      <c r="D486" s="41" t="s">
        <v>104</v>
      </c>
      <c r="E486" s="41" t="s">
        <v>102</v>
      </c>
      <c r="F486" s="41" t="s">
        <v>77</v>
      </c>
      <c r="G486" s="41" t="n">
        <v>36.98</v>
      </c>
      <c r="H486" s="41" t="n">
        <v>10</v>
      </c>
      <c r="I486" s="41" t="n">
        <v>18.49</v>
      </c>
      <c r="J486" s="41" t="n">
        <v>388.29</v>
      </c>
      <c r="K486" s="41" t="s">
        <v>1222</v>
      </c>
      <c r="L486" s="41" t="s">
        <v>1241</v>
      </c>
      <c r="M486" s="41" t="s">
        <v>99</v>
      </c>
      <c r="N486" s="41" t="n">
        <v>369.8</v>
      </c>
      <c r="O486" s="41" t="n">
        <v>4.761904762</v>
      </c>
      <c r="P486" s="41" t="n">
        <v>18.49</v>
      </c>
      <c r="Q486" s="41" t="n">
        <v>7</v>
      </c>
    </row>
    <row r="487" customFormat="false" ht="15" hidden="false" customHeight="false" outlineLevel="0" collapsed="false">
      <c r="A487" s="41" t="s">
        <v>665</v>
      </c>
      <c r="B487" s="41" t="s">
        <v>189</v>
      </c>
      <c r="C487" s="41" t="s">
        <v>86</v>
      </c>
      <c r="D487" s="41" t="s">
        <v>104</v>
      </c>
      <c r="E487" s="41" t="s">
        <v>102</v>
      </c>
      <c r="F487" s="41" t="s">
        <v>77</v>
      </c>
      <c r="G487" s="41" t="n">
        <v>49.49</v>
      </c>
      <c r="H487" s="41" t="n">
        <v>4</v>
      </c>
      <c r="I487" s="41" t="n">
        <v>9.898</v>
      </c>
      <c r="J487" s="41" t="n">
        <v>207.858</v>
      </c>
      <c r="K487" s="41" t="s">
        <v>1416</v>
      </c>
      <c r="L487" s="41" t="s">
        <v>1608</v>
      </c>
      <c r="M487" s="41" t="s">
        <v>98</v>
      </c>
      <c r="N487" s="41" t="n">
        <v>197.96</v>
      </c>
      <c r="O487" s="41" t="n">
        <v>4.761904762</v>
      </c>
      <c r="P487" s="41" t="n">
        <v>9.898</v>
      </c>
      <c r="Q487" s="41" t="n">
        <v>6.6</v>
      </c>
    </row>
    <row r="488" customFormat="false" ht="15" hidden="false" customHeight="false" outlineLevel="0" collapsed="false">
      <c r="A488" s="41" t="s">
        <v>666</v>
      </c>
      <c r="B488" s="41" t="s">
        <v>189</v>
      </c>
      <c r="C488" s="41" t="s">
        <v>86</v>
      </c>
      <c r="D488" s="41" t="s">
        <v>105</v>
      </c>
      <c r="E488" s="41" t="s">
        <v>102</v>
      </c>
      <c r="F488" s="41" t="s">
        <v>79</v>
      </c>
      <c r="G488" s="41" t="n">
        <v>41.09</v>
      </c>
      <c r="H488" s="41" t="n">
        <v>10</v>
      </c>
      <c r="I488" s="41" t="n">
        <v>20.545</v>
      </c>
      <c r="J488" s="41" t="n">
        <v>431.445</v>
      </c>
      <c r="K488" s="41" t="s">
        <v>1279</v>
      </c>
      <c r="L488" s="41" t="s">
        <v>1275</v>
      </c>
      <c r="M488" s="41" t="s">
        <v>97</v>
      </c>
      <c r="N488" s="41" t="n">
        <v>410.9</v>
      </c>
      <c r="O488" s="41" t="n">
        <v>4.761904762</v>
      </c>
      <c r="P488" s="41" t="n">
        <v>20.545</v>
      </c>
      <c r="Q488" s="41" t="n">
        <v>7.3</v>
      </c>
    </row>
    <row r="489" customFormat="false" ht="15" hidden="false" customHeight="false" outlineLevel="0" collapsed="false">
      <c r="A489" s="41" t="s">
        <v>667</v>
      </c>
      <c r="B489" s="41" t="s">
        <v>178</v>
      </c>
      <c r="C489" s="41" t="s">
        <v>85</v>
      </c>
      <c r="D489" s="41" t="s">
        <v>105</v>
      </c>
      <c r="E489" s="41" t="s">
        <v>103</v>
      </c>
      <c r="F489" s="41" t="s">
        <v>79</v>
      </c>
      <c r="G489" s="41" t="n">
        <v>37.15</v>
      </c>
      <c r="H489" s="41" t="n">
        <v>4</v>
      </c>
      <c r="I489" s="41" t="n">
        <v>7.43</v>
      </c>
      <c r="J489" s="41" t="n">
        <v>156.03</v>
      </c>
      <c r="K489" s="41" t="s">
        <v>1253</v>
      </c>
      <c r="L489" s="41" t="s">
        <v>1453</v>
      </c>
      <c r="M489" s="41" t="s">
        <v>98</v>
      </c>
      <c r="N489" s="41" t="n">
        <v>148.6</v>
      </c>
      <c r="O489" s="41" t="n">
        <v>4.761904762</v>
      </c>
      <c r="P489" s="41" t="n">
        <v>7.43</v>
      </c>
      <c r="Q489" s="41" t="n">
        <v>8.3</v>
      </c>
    </row>
    <row r="490" customFormat="false" ht="15" hidden="false" customHeight="false" outlineLevel="0" collapsed="false">
      <c r="A490" s="41" t="s">
        <v>668</v>
      </c>
      <c r="B490" s="41" t="s">
        <v>180</v>
      </c>
      <c r="C490" s="41" t="s">
        <v>87</v>
      </c>
      <c r="D490" s="41" t="s">
        <v>105</v>
      </c>
      <c r="E490" s="41" t="s">
        <v>103</v>
      </c>
      <c r="F490" s="41" t="s">
        <v>80</v>
      </c>
      <c r="G490" s="41" t="n">
        <v>22.96</v>
      </c>
      <c r="H490" s="41" t="n">
        <v>1</v>
      </c>
      <c r="I490" s="41" t="n">
        <v>1.148</v>
      </c>
      <c r="J490" s="41" t="n">
        <v>24.108</v>
      </c>
      <c r="K490" s="41" t="s">
        <v>1404</v>
      </c>
      <c r="L490" s="41" t="s">
        <v>1609</v>
      </c>
      <c r="M490" s="41" t="s">
        <v>97</v>
      </c>
      <c r="N490" s="41" t="n">
        <v>22.96</v>
      </c>
      <c r="O490" s="41" t="n">
        <v>4.761904762</v>
      </c>
      <c r="P490" s="41" t="n">
        <v>1.148</v>
      </c>
      <c r="Q490" s="41" t="n">
        <v>4.3</v>
      </c>
    </row>
    <row r="491" customFormat="false" ht="15" hidden="false" customHeight="false" outlineLevel="0" collapsed="false">
      <c r="A491" s="41" t="s">
        <v>669</v>
      </c>
      <c r="B491" s="41" t="s">
        <v>189</v>
      </c>
      <c r="C491" s="41" t="s">
        <v>86</v>
      </c>
      <c r="D491" s="41" t="s">
        <v>104</v>
      </c>
      <c r="E491" s="41" t="s">
        <v>102</v>
      </c>
      <c r="F491" s="41" t="s">
        <v>80</v>
      </c>
      <c r="G491" s="41" t="n">
        <v>77.68</v>
      </c>
      <c r="H491" s="41" t="n">
        <v>9</v>
      </c>
      <c r="I491" s="41" t="n">
        <v>34.956</v>
      </c>
      <c r="J491" s="41" t="n">
        <v>734.076</v>
      </c>
      <c r="K491" s="41" t="s">
        <v>1549</v>
      </c>
      <c r="L491" s="41" t="s">
        <v>1534</v>
      </c>
      <c r="M491" s="41" t="s">
        <v>98</v>
      </c>
      <c r="N491" s="41" t="n">
        <v>699.12</v>
      </c>
      <c r="O491" s="41" t="n">
        <v>4.761904762</v>
      </c>
      <c r="P491" s="41" t="n">
        <v>34.956</v>
      </c>
      <c r="Q491" s="41" t="n">
        <v>9.8</v>
      </c>
    </row>
    <row r="492" customFormat="false" ht="15" hidden="false" customHeight="false" outlineLevel="0" collapsed="false">
      <c r="A492" s="41" t="s">
        <v>670</v>
      </c>
      <c r="B492" s="41" t="s">
        <v>189</v>
      </c>
      <c r="C492" s="41" t="s">
        <v>86</v>
      </c>
      <c r="D492" s="41" t="s">
        <v>105</v>
      </c>
      <c r="E492" s="41" t="s">
        <v>102</v>
      </c>
      <c r="F492" s="41" t="s">
        <v>79</v>
      </c>
      <c r="G492" s="41" t="n">
        <v>34.7</v>
      </c>
      <c r="H492" s="41" t="n">
        <v>2</v>
      </c>
      <c r="I492" s="41" t="n">
        <v>3.47</v>
      </c>
      <c r="J492" s="41" t="n">
        <v>72.87</v>
      </c>
      <c r="K492" s="41" t="s">
        <v>1296</v>
      </c>
      <c r="L492" s="41" t="s">
        <v>1241</v>
      </c>
      <c r="M492" s="41" t="s">
        <v>98</v>
      </c>
      <c r="N492" s="41" t="n">
        <v>69.4</v>
      </c>
      <c r="O492" s="41" t="n">
        <v>4.761904762</v>
      </c>
      <c r="P492" s="41" t="n">
        <v>3.47</v>
      </c>
      <c r="Q492" s="41" t="n">
        <v>8.2</v>
      </c>
    </row>
    <row r="493" customFormat="false" ht="15" hidden="false" customHeight="false" outlineLevel="0" collapsed="false">
      <c r="A493" s="41" t="s">
        <v>671</v>
      </c>
      <c r="B493" s="41" t="s">
        <v>178</v>
      </c>
      <c r="C493" s="41" t="s">
        <v>85</v>
      </c>
      <c r="D493" s="41" t="s">
        <v>104</v>
      </c>
      <c r="E493" s="41" t="s">
        <v>102</v>
      </c>
      <c r="F493" s="41" t="s">
        <v>79</v>
      </c>
      <c r="G493" s="41" t="n">
        <v>19.66</v>
      </c>
      <c r="H493" s="41" t="n">
        <v>10</v>
      </c>
      <c r="I493" s="41" t="n">
        <v>9.83</v>
      </c>
      <c r="J493" s="41" t="n">
        <v>206.43</v>
      </c>
      <c r="K493" s="41" t="s">
        <v>1229</v>
      </c>
      <c r="L493" s="41" t="s">
        <v>1610</v>
      </c>
      <c r="M493" s="41" t="s">
        <v>99</v>
      </c>
      <c r="N493" s="41" t="n">
        <v>196.6</v>
      </c>
      <c r="O493" s="41" t="n">
        <v>4.761904762</v>
      </c>
      <c r="P493" s="41" t="n">
        <v>9.83</v>
      </c>
      <c r="Q493" s="41" t="n">
        <v>7.2</v>
      </c>
    </row>
    <row r="494" customFormat="false" ht="15" hidden="false" customHeight="false" outlineLevel="0" collapsed="false">
      <c r="A494" s="41" t="s">
        <v>672</v>
      </c>
      <c r="B494" s="41" t="s">
        <v>189</v>
      </c>
      <c r="C494" s="41" t="s">
        <v>86</v>
      </c>
      <c r="D494" s="41" t="s">
        <v>104</v>
      </c>
      <c r="E494" s="41" t="s">
        <v>102</v>
      </c>
      <c r="F494" s="41" t="s">
        <v>81</v>
      </c>
      <c r="G494" s="41" t="n">
        <v>25.32</v>
      </c>
      <c r="H494" s="41" t="n">
        <v>8</v>
      </c>
      <c r="I494" s="41" t="n">
        <v>10.128</v>
      </c>
      <c r="J494" s="41" t="n">
        <v>212.688</v>
      </c>
      <c r="K494" s="41" t="s">
        <v>1227</v>
      </c>
      <c r="L494" s="41" t="s">
        <v>1444</v>
      </c>
      <c r="M494" s="41" t="s">
        <v>98</v>
      </c>
      <c r="N494" s="41" t="n">
        <v>202.56</v>
      </c>
      <c r="O494" s="41" t="n">
        <v>4.761904762</v>
      </c>
      <c r="P494" s="41" t="n">
        <v>10.128</v>
      </c>
      <c r="Q494" s="41" t="n">
        <v>8.7</v>
      </c>
    </row>
    <row r="495" customFormat="false" ht="15" hidden="false" customHeight="false" outlineLevel="0" collapsed="false">
      <c r="A495" s="41" t="s">
        <v>673</v>
      </c>
      <c r="B495" s="41" t="s">
        <v>180</v>
      </c>
      <c r="C495" s="41" t="s">
        <v>87</v>
      </c>
      <c r="D495" s="41" t="s">
        <v>104</v>
      </c>
      <c r="E495" s="41" t="s">
        <v>102</v>
      </c>
      <c r="F495" s="41" t="s">
        <v>80</v>
      </c>
      <c r="G495" s="41" t="n">
        <v>12.12</v>
      </c>
      <c r="H495" s="41" t="n">
        <v>10</v>
      </c>
      <c r="I495" s="41" t="n">
        <v>6.06</v>
      </c>
      <c r="J495" s="41" t="n">
        <v>127.26</v>
      </c>
      <c r="K495" s="41" t="s">
        <v>1227</v>
      </c>
      <c r="L495" s="41" t="s">
        <v>1455</v>
      </c>
      <c r="M495" s="41" t="s">
        <v>99</v>
      </c>
      <c r="N495" s="41" t="n">
        <v>121.2</v>
      </c>
      <c r="O495" s="41" t="n">
        <v>4.761904762</v>
      </c>
      <c r="P495" s="41" t="n">
        <v>6.06</v>
      </c>
      <c r="Q495" s="41" t="n">
        <v>8.4</v>
      </c>
    </row>
    <row r="496" customFormat="false" ht="15" hidden="false" customHeight="false" outlineLevel="0" collapsed="false">
      <c r="A496" s="41" t="s">
        <v>674</v>
      </c>
      <c r="B496" s="41" t="s">
        <v>189</v>
      </c>
      <c r="C496" s="41" t="s">
        <v>86</v>
      </c>
      <c r="D496" s="41" t="s">
        <v>105</v>
      </c>
      <c r="E496" s="41" t="s">
        <v>103</v>
      </c>
      <c r="F496" s="41" t="s">
        <v>79</v>
      </c>
      <c r="G496" s="41" t="n">
        <v>99.89</v>
      </c>
      <c r="H496" s="41" t="n">
        <v>2</v>
      </c>
      <c r="I496" s="41" t="n">
        <v>9.989</v>
      </c>
      <c r="J496" s="41" t="n">
        <v>209.769</v>
      </c>
      <c r="K496" s="41" t="s">
        <v>1463</v>
      </c>
      <c r="L496" s="41" t="s">
        <v>1611</v>
      </c>
      <c r="M496" s="41" t="s">
        <v>98</v>
      </c>
      <c r="N496" s="41" t="n">
        <v>199.78</v>
      </c>
      <c r="O496" s="41" t="n">
        <v>4.761904762</v>
      </c>
      <c r="P496" s="41" t="n">
        <v>9.989</v>
      </c>
      <c r="Q496" s="41" t="n">
        <v>7.1</v>
      </c>
    </row>
    <row r="497" customFormat="false" ht="15" hidden="false" customHeight="false" outlineLevel="0" collapsed="false">
      <c r="A497" s="41" t="s">
        <v>675</v>
      </c>
      <c r="B497" s="41" t="s">
        <v>189</v>
      </c>
      <c r="C497" s="41" t="s">
        <v>86</v>
      </c>
      <c r="D497" s="41" t="s">
        <v>105</v>
      </c>
      <c r="E497" s="41" t="s">
        <v>103</v>
      </c>
      <c r="F497" s="41" t="s">
        <v>77</v>
      </c>
      <c r="G497" s="41" t="n">
        <v>75.92</v>
      </c>
      <c r="H497" s="41" t="n">
        <v>8</v>
      </c>
      <c r="I497" s="41" t="n">
        <v>30.368</v>
      </c>
      <c r="J497" s="41" t="n">
        <v>637.728</v>
      </c>
      <c r="K497" s="41" t="s">
        <v>1446</v>
      </c>
      <c r="L497" s="41" t="s">
        <v>1612</v>
      </c>
      <c r="M497" s="41" t="s">
        <v>97</v>
      </c>
      <c r="N497" s="41" t="n">
        <v>607.36</v>
      </c>
      <c r="O497" s="41" t="n">
        <v>4.761904762</v>
      </c>
      <c r="P497" s="41" t="n">
        <v>30.368</v>
      </c>
      <c r="Q497" s="41" t="n">
        <v>5.5</v>
      </c>
    </row>
    <row r="498" customFormat="false" ht="15" hidden="false" customHeight="false" outlineLevel="0" collapsed="false">
      <c r="A498" s="41" t="s">
        <v>676</v>
      </c>
      <c r="B498" s="41" t="s">
        <v>180</v>
      </c>
      <c r="C498" s="41" t="s">
        <v>87</v>
      </c>
      <c r="D498" s="41" t="s">
        <v>105</v>
      </c>
      <c r="E498" s="41" t="s">
        <v>102</v>
      </c>
      <c r="F498" s="41" t="s">
        <v>78</v>
      </c>
      <c r="G498" s="41" t="n">
        <v>63.22</v>
      </c>
      <c r="H498" s="41" t="n">
        <v>2</v>
      </c>
      <c r="I498" s="41" t="n">
        <v>6.322</v>
      </c>
      <c r="J498" s="41" t="n">
        <v>132.762</v>
      </c>
      <c r="K498" s="41" t="s">
        <v>1222</v>
      </c>
      <c r="L498" s="41" t="s">
        <v>1501</v>
      </c>
      <c r="M498" s="41" t="s">
        <v>97</v>
      </c>
      <c r="N498" s="41" t="n">
        <v>126.44</v>
      </c>
      <c r="O498" s="41" t="n">
        <v>4.761904762</v>
      </c>
      <c r="P498" s="41" t="n">
        <v>6.322</v>
      </c>
      <c r="Q498" s="41" t="n">
        <v>8.5</v>
      </c>
    </row>
    <row r="499" customFormat="false" ht="15" hidden="false" customHeight="false" outlineLevel="0" collapsed="false">
      <c r="A499" s="41" t="s">
        <v>677</v>
      </c>
      <c r="B499" s="41" t="s">
        <v>180</v>
      </c>
      <c r="C499" s="41" t="s">
        <v>87</v>
      </c>
      <c r="D499" s="41" t="s">
        <v>105</v>
      </c>
      <c r="E499" s="41" t="s">
        <v>102</v>
      </c>
      <c r="F499" s="41" t="s">
        <v>76</v>
      </c>
      <c r="G499" s="41" t="n">
        <v>90.24</v>
      </c>
      <c r="H499" s="41" t="n">
        <v>6</v>
      </c>
      <c r="I499" s="41" t="n">
        <v>27.072</v>
      </c>
      <c r="J499" s="41" t="n">
        <v>568.512</v>
      </c>
      <c r="K499" s="41" t="s">
        <v>1194</v>
      </c>
      <c r="L499" s="41" t="s">
        <v>1613</v>
      </c>
      <c r="M499" s="41" t="s">
        <v>97</v>
      </c>
      <c r="N499" s="41" t="n">
        <v>541.44</v>
      </c>
      <c r="O499" s="41" t="n">
        <v>4.761904762</v>
      </c>
      <c r="P499" s="41" t="n">
        <v>27.072</v>
      </c>
      <c r="Q499" s="41" t="n">
        <v>6.2</v>
      </c>
    </row>
    <row r="500" customFormat="false" ht="15" hidden="false" customHeight="false" outlineLevel="0" collapsed="false">
      <c r="A500" s="41" t="s">
        <v>678</v>
      </c>
      <c r="B500" s="41" t="s">
        <v>189</v>
      </c>
      <c r="C500" s="41" t="s">
        <v>86</v>
      </c>
      <c r="D500" s="41" t="s">
        <v>104</v>
      </c>
      <c r="E500" s="41" t="s">
        <v>102</v>
      </c>
      <c r="F500" s="41" t="s">
        <v>77</v>
      </c>
      <c r="G500" s="41" t="n">
        <v>98.13</v>
      </c>
      <c r="H500" s="41" t="n">
        <v>1</v>
      </c>
      <c r="I500" s="41" t="n">
        <v>4.9065</v>
      </c>
      <c r="J500" s="41" t="n">
        <v>103.0365</v>
      </c>
      <c r="K500" s="41" t="s">
        <v>1224</v>
      </c>
      <c r="L500" s="41" t="s">
        <v>1234</v>
      </c>
      <c r="M500" s="41" t="s">
        <v>97</v>
      </c>
      <c r="N500" s="41" t="n">
        <v>98.13</v>
      </c>
      <c r="O500" s="41" t="n">
        <v>4.761904762</v>
      </c>
      <c r="P500" s="41" t="n">
        <v>4.9065</v>
      </c>
      <c r="Q500" s="41" t="n">
        <v>8.9</v>
      </c>
    </row>
    <row r="501" customFormat="false" ht="15" hidden="false" customHeight="false" outlineLevel="0" collapsed="false">
      <c r="A501" s="41" t="s">
        <v>679</v>
      </c>
      <c r="B501" s="41" t="s">
        <v>178</v>
      </c>
      <c r="C501" s="41" t="s">
        <v>85</v>
      </c>
      <c r="D501" s="41" t="s">
        <v>104</v>
      </c>
      <c r="E501" s="41" t="s">
        <v>102</v>
      </c>
      <c r="F501" s="41" t="s">
        <v>77</v>
      </c>
      <c r="G501" s="41" t="n">
        <v>51.52</v>
      </c>
      <c r="H501" s="41" t="n">
        <v>8</v>
      </c>
      <c r="I501" s="41" t="n">
        <v>20.608</v>
      </c>
      <c r="J501" s="41" t="n">
        <v>432.768</v>
      </c>
      <c r="K501" s="41" t="s">
        <v>1258</v>
      </c>
      <c r="L501" s="41" t="s">
        <v>1267</v>
      </c>
      <c r="M501" s="41" t="s">
        <v>97</v>
      </c>
      <c r="N501" s="41" t="n">
        <v>412.16</v>
      </c>
      <c r="O501" s="41" t="n">
        <v>4.761904762</v>
      </c>
      <c r="P501" s="41" t="n">
        <v>20.608</v>
      </c>
      <c r="Q501" s="41" t="n">
        <v>9.6</v>
      </c>
    </row>
    <row r="502" customFormat="false" ht="15" hidden="false" customHeight="false" outlineLevel="0" collapsed="false">
      <c r="A502" s="41" t="s">
        <v>680</v>
      </c>
      <c r="B502" s="41" t="s">
        <v>189</v>
      </c>
      <c r="C502" s="41" t="s">
        <v>86</v>
      </c>
      <c r="D502" s="41" t="s">
        <v>104</v>
      </c>
      <c r="E502" s="41" t="s">
        <v>103</v>
      </c>
      <c r="F502" s="41" t="s">
        <v>77</v>
      </c>
      <c r="G502" s="41" t="n">
        <v>73.97</v>
      </c>
      <c r="H502" s="41" t="n">
        <v>1</v>
      </c>
      <c r="I502" s="41" t="n">
        <v>3.6985</v>
      </c>
      <c r="J502" s="41" t="n">
        <v>77.6685</v>
      </c>
      <c r="K502" s="41" t="s">
        <v>1272</v>
      </c>
      <c r="L502" s="41" t="s">
        <v>1447</v>
      </c>
      <c r="M502" s="41" t="s">
        <v>99</v>
      </c>
      <c r="N502" s="41" t="n">
        <v>73.97</v>
      </c>
      <c r="O502" s="41" t="n">
        <v>4.761904762</v>
      </c>
      <c r="P502" s="41" t="n">
        <v>3.6985</v>
      </c>
      <c r="Q502" s="41" t="n">
        <v>5.4</v>
      </c>
    </row>
    <row r="503" customFormat="false" ht="15" hidden="false" customHeight="false" outlineLevel="0" collapsed="false">
      <c r="A503" s="41" t="s">
        <v>681</v>
      </c>
      <c r="B503" s="41" t="s">
        <v>180</v>
      </c>
      <c r="C503" s="41" t="s">
        <v>87</v>
      </c>
      <c r="D503" s="41" t="s">
        <v>104</v>
      </c>
      <c r="E503" s="41" t="s">
        <v>102</v>
      </c>
      <c r="F503" s="41" t="s">
        <v>79</v>
      </c>
      <c r="G503" s="41" t="n">
        <v>31.9</v>
      </c>
      <c r="H503" s="41" t="n">
        <v>1</v>
      </c>
      <c r="I503" s="41" t="n">
        <v>1.595</v>
      </c>
      <c r="J503" s="41" t="n">
        <v>33.495</v>
      </c>
      <c r="K503" s="41" t="s">
        <v>1188</v>
      </c>
      <c r="L503" s="41" t="s">
        <v>1614</v>
      </c>
      <c r="M503" s="41" t="s">
        <v>98</v>
      </c>
      <c r="N503" s="41" t="n">
        <v>31.9</v>
      </c>
      <c r="O503" s="41" t="n">
        <v>4.761904762</v>
      </c>
      <c r="P503" s="41" t="n">
        <v>1.595</v>
      </c>
      <c r="Q503" s="41" t="n">
        <v>9.1</v>
      </c>
    </row>
    <row r="504" customFormat="false" ht="15" hidden="false" customHeight="false" outlineLevel="0" collapsed="false">
      <c r="A504" s="41" t="s">
        <v>682</v>
      </c>
      <c r="B504" s="41" t="s">
        <v>180</v>
      </c>
      <c r="C504" s="41" t="s">
        <v>87</v>
      </c>
      <c r="D504" s="41" t="s">
        <v>105</v>
      </c>
      <c r="E504" s="41" t="s">
        <v>103</v>
      </c>
      <c r="F504" s="41" t="s">
        <v>80</v>
      </c>
      <c r="G504" s="41" t="n">
        <v>69.4</v>
      </c>
      <c r="H504" s="41" t="n">
        <v>2</v>
      </c>
      <c r="I504" s="41" t="n">
        <v>6.94</v>
      </c>
      <c r="J504" s="41" t="n">
        <v>145.74</v>
      </c>
      <c r="K504" s="41" t="s">
        <v>1194</v>
      </c>
      <c r="L504" s="41" t="s">
        <v>1241</v>
      </c>
      <c r="M504" s="41" t="s">
        <v>98</v>
      </c>
      <c r="N504" s="41" t="n">
        <v>138.8</v>
      </c>
      <c r="O504" s="41" t="n">
        <v>4.761904762</v>
      </c>
      <c r="P504" s="41" t="n">
        <v>6.94</v>
      </c>
      <c r="Q504" s="41" t="n">
        <v>9</v>
      </c>
    </row>
    <row r="505" customFormat="false" ht="15" hidden="false" customHeight="false" outlineLevel="0" collapsed="false">
      <c r="A505" s="41" t="s">
        <v>683</v>
      </c>
      <c r="B505" s="41" t="s">
        <v>189</v>
      </c>
      <c r="C505" s="41" t="s">
        <v>86</v>
      </c>
      <c r="D505" s="41" t="s">
        <v>105</v>
      </c>
      <c r="E505" s="41" t="s">
        <v>102</v>
      </c>
      <c r="F505" s="41" t="s">
        <v>77</v>
      </c>
      <c r="G505" s="41" t="n">
        <v>93.31</v>
      </c>
      <c r="H505" s="41" t="n">
        <v>2</v>
      </c>
      <c r="I505" s="41" t="n">
        <v>9.331</v>
      </c>
      <c r="J505" s="41" t="n">
        <v>195.951</v>
      </c>
      <c r="K505" s="41" t="s">
        <v>1198</v>
      </c>
      <c r="L505" s="41" t="s">
        <v>1615</v>
      </c>
      <c r="M505" s="41" t="s">
        <v>97</v>
      </c>
      <c r="N505" s="41" t="n">
        <v>186.62</v>
      </c>
      <c r="O505" s="41" t="n">
        <v>4.761904762</v>
      </c>
      <c r="P505" s="41" t="n">
        <v>9.331</v>
      </c>
      <c r="Q505" s="41" t="n">
        <v>6.3</v>
      </c>
    </row>
    <row r="506" customFormat="false" ht="15" hidden="false" customHeight="false" outlineLevel="0" collapsed="false">
      <c r="A506" s="41" t="s">
        <v>684</v>
      </c>
      <c r="B506" s="41" t="s">
        <v>189</v>
      </c>
      <c r="C506" s="41" t="s">
        <v>86</v>
      </c>
      <c r="D506" s="41" t="s">
        <v>105</v>
      </c>
      <c r="E506" s="41" t="s">
        <v>103</v>
      </c>
      <c r="F506" s="41" t="s">
        <v>77</v>
      </c>
      <c r="G506" s="41" t="n">
        <v>88.45</v>
      </c>
      <c r="H506" s="41" t="n">
        <v>1</v>
      </c>
      <c r="I506" s="41" t="n">
        <v>4.4225</v>
      </c>
      <c r="J506" s="41" t="n">
        <v>92.8725</v>
      </c>
      <c r="K506" s="41" t="s">
        <v>1200</v>
      </c>
      <c r="L506" s="41" t="s">
        <v>1616</v>
      </c>
      <c r="M506" s="41" t="s">
        <v>99</v>
      </c>
      <c r="N506" s="41" t="n">
        <v>88.45</v>
      </c>
      <c r="O506" s="41" t="n">
        <v>4.761904762</v>
      </c>
      <c r="P506" s="41" t="n">
        <v>4.4225</v>
      </c>
      <c r="Q506" s="41" t="n">
        <v>9.5</v>
      </c>
    </row>
    <row r="507" customFormat="false" ht="15" hidden="false" customHeight="false" outlineLevel="0" collapsed="false">
      <c r="A507" s="41" t="s">
        <v>685</v>
      </c>
      <c r="B507" s="41" t="s">
        <v>178</v>
      </c>
      <c r="C507" s="41" t="s">
        <v>85</v>
      </c>
      <c r="D507" s="41" t="s">
        <v>104</v>
      </c>
      <c r="E507" s="41" t="s">
        <v>103</v>
      </c>
      <c r="F507" s="41" t="s">
        <v>78</v>
      </c>
      <c r="G507" s="41" t="n">
        <v>24.18</v>
      </c>
      <c r="H507" s="41" t="n">
        <v>8</v>
      </c>
      <c r="I507" s="41" t="n">
        <v>9.672</v>
      </c>
      <c r="J507" s="41" t="n">
        <v>203.112</v>
      </c>
      <c r="K507" s="41" t="s">
        <v>1244</v>
      </c>
      <c r="L507" s="41" t="s">
        <v>1347</v>
      </c>
      <c r="M507" s="41" t="s">
        <v>98</v>
      </c>
      <c r="N507" s="41" t="n">
        <v>193.44</v>
      </c>
      <c r="O507" s="41" t="n">
        <v>4.761904762</v>
      </c>
      <c r="P507" s="41" t="n">
        <v>9.672</v>
      </c>
      <c r="Q507" s="41" t="n">
        <v>9.8</v>
      </c>
    </row>
    <row r="508" customFormat="false" ht="15" hidden="false" customHeight="false" outlineLevel="0" collapsed="false">
      <c r="A508" s="41" t="s">
        <v>686</v>
      </c>
      <c r="B508" s="41" t="s">
        <v>189</v>
      </c>
      <c r="C508" s="41" t="s">
        <v>86</v>
      </c>
      <c r="D508" s="41" t="s">
        <v>104</v>
      </c>
      <c r="E508" s="41" t="s">
        <v>102</v>
      </c>
      <c r="F508" s="41" t="s">
        <v>77</v>
      </c>
      <c r="G508" s="41" t="n">
        <v>48.5</v>
      </c>
      <c r="H508" s="41" t="n">
        <v>3</v>
      </c>
      <c r="I508" s="41" t="n">
        <v>7.275</v>
      </c>
      <c r="J508" s="41" t="n">
        <v>152.775</v>
      </c>
      <c r="K508" s="41" t="s">
        <v>1369</v>
      </c>
      <c r="L508" s="41" t="s">
        <v>1426</v>
      </c>
      <c r="M508" s="41" t="s">
        <v>97</v>
      </c>
      <c r="N508" s="41" t="n">
        <v>145.5</v>
      </c>
      <c r="O508" s="41" t="n">
        <v>4.761904762</v>
      </c>
      <c r="P508" s="41" t="n">
        <v>7.275</v>
      </c>
      <c r="Q508" s="41" t="n">
        <v>6.7</v>
      </c>
    </row>
    <row r="509" customFormat="false" ht="15" hidden="false" customHeight="false" outlineLevel="0" collapsed="false">
      <c r="A509" s="41" t="s">
        <v>687</v>
      </c>
      <c r="B509" s="41" t="s">
        <v>189</v>
      </c>
      <c r="C509" s="41" t="s">
        <v>86</v>
      </c>
      <c r="D509" s="41" t="s">
        <v>105</v>
      </c>
      <c r="E509" s="41" t="s">
        <v>102</v>
      </c>
      <c r="F509" s="41" t="s">
        <v>76</v>
      </c>
      <c r="G509" s="41" t="n">
        <v>84.05</v>
      </c>
      <c r="H509" s="41" t="n">
        <v>6</v>
      </c>
      <c r="I509" s="41" t="n">
        <v>25.215</v>
      </c>
      <c r="J509" s="41" t="n">
        <v>529.515</v>
      </c>
      <c r="K509" s="41" t="s">
        <v>1392</v>
      </c>
      <c r="L509" s="41" t="s">
        <v>1617</v>
      </c>
      <c r="M509" s="41" t="s">
        <v>99</v>
      </c>
      <c r="N509" s="41" t="n">
        <v>504.3</v>
      </c>
      <c r="O509" s="41" t="n">
        <v>4.761904762</v>
      </c>
      <c r="P509" s="41" t="n">
        <v>25.215</v>
      </c>
      <c r="Q509" s="41" t="n">
        <v>7.7</v>
      </c>
    </row>
    <row r="510" customFormat="false" ht="15" hidden="false" customHeight="false" outlineLevel="0" collapsed="false">
      <c r="A510" s="41" t="s">
        <v>688</v>
      </c>
      <c r="B510" s="41" t="s">
        <v>189</v>
      </c>
      <c r="C510" s="41" t="s">
        <v>86</v>
      </c>
      <c r="D510" s="41" t="s">
        <v>104</v>
      </c>
      <c r="E510" s="41" t="s">
        <v>103</v>
      </c>
      <c r="F510" s="41" t="s">
        <v>81</v>
      </c>
      <c r="G510" s="41" t="n">
        <v>61.29</v>
      </c>
      <c r="H510" s="41" t="n">
        <v>5</v>
      </c>
      <c r="I510" s="41" t="n">
        <v>15.3225</v>
      </c>
      <c r="J510" s="41" t="n">
        <v>321.7725</v>
      </c>
      <c r="K510" s="41" t="s">
        <v>1216</v>
      </c>
      <c r="L510" s="41" t="s">
        <v>1567</v>
      </c>
      <c r="M510" s="41" t="s">
        <v>97</v>
      </c>
      <c r="N510" s="41" t="n">
        <v>306.45</v>
      </c>
      <c r="O510" s="41" t="n">
        <v>4.761904762</v>
      </c>
      <c r="P510" s="41" t="n">
        <v>15.3225</v>
      </c>
      <c r="Q510" s="41" t="n">
        <v>7</v>
      </c>
    </row>
    <row r="511" customFormat="false" ht="15" hidden="false" customHeight="false" outlineLevel="0" collapsed="false">
      <c r="A511" s="41" t="s">
        <v>689</v>
      </c>
      <c r="B511" s="41" t="s">
        <v>180</v>
      </c>
      <c r="C511" s="41" t="s">
        <v>87</v>
      </c>
      <c r="D511" s="41" t="s">
        <v>104</v>
      </c>
      <c r="E511" s="41" t="s">
        <v>102</v>
      </c>
      <c r="F511" s="41" t="s">
        <v>80</v>
      </c>
      <c r="G511" s="41" t="n">
        <v>15.95</v>
      </c>
      <c r="H511" s="41" t="n">
        <v>6</v>
      </c>
      <c r="I511" s="41" t="n">
        <v>4.785</v>
      </c>
      <c r="J511" s="41" t="n">
        <v>100.485</v>
      </c>
      <c r="K511" s="41" t="s">
        <v>1334</v>
      </c>
      <c r="L511" s="41" t="s">
        <v>1205</v>
      </c>
      <c r="M511" s="41" t="s">
        <v>99</v>
      </c>
      <c r="N511" s="41" t="n">
        <v>95.7</v>
      </c>
      <c r="O511" s="41" t="n">
        <v>4.761904762</v>
      </c>
      <c r="P511" s="41" t="n">
        <v>4.785</v>
      </c>
      <c r="Q511" s="41" t="n">
        <v>5.1</v>
      </c>
    </row>
    <row r="512" customFormat="false" ht="15" hidden="false" customHeight="false" outlineLevel="0" collapsed="false">
      <c r="A512" s="41" t="s">
        <v>690</v>
      </c>
      <c r="B512" s="41" t="s">
        <v>189</v>
      </c>
      <c r="C512" s="41" t="s">
        <v>86</v>
      </c>
      <c r="D512" s="41" t="s">
        <v>104</v>
      </c>
      <c r="E512" s="41" t="s">
        <v>102</v>
      </c>
      <c r="F512" s="41" t="s">
        <v>77</v>
      </c>
      <c r="G512" s="41" t="n">
        <v>90.74</v>
      </c>
      <c r="H512" s="41" t="n">
        <v>7</v>
      </c>
      <c r="I512" s="41" t="n">
        <v>31.759</v>
      </c>
      <c r="J512" s="41" t="n">
        <v>666.939</v>
      </c>
      <c r="K512" s="41" t="s">
        <v>1360</v>
      </c>
      <c r="L512" s="41" t="s">
        <v>1433</v>
      </c>
      <c r="M512" s="41" t="s">
        <v>99</v>
      </c>
      <c r="N512" s="41" t="n">
        <v>635.18</v>
      </c>
      <c r="O512" s="41" t="n">
        <v>4.761904762</v>
      </c>
      <c r="P512" s="41" t="n">
        <v>31.759</v>
      </c>
      <c r="Q512" s="41" t="n">
        <v>6.2</v>
      </c>
    </row>
    <row r="513" customFormat="false" ht="15" hidden="false" customHeight="false" outlineLevel="0" collapsed="false">
      <c r="A513" s="41" t="s">
        <v>691</v>
      </c>
      <c r="B513" s="41" t="s">
        <v>178</v>
      </c>
      <c r="C513" s="41" t="s">
        <v>85</v>
      </c>
      <c r="D513" s="41" t="s">
        <v>105</v>
      </c>
      <c r="E513" s="41" t="s">
        <v>102</v>
      </c>
      <c r="F513" s="41" t="s">
        <v>80</v>
      </c>
      <c r="G513" s="41" t="n">
        <v>42.91</v>
      </c>
      <c r="H513" s="41" t="n">
        <v>5</v>
      </c>
      <c r="I513" s="41" t="n">
        <v>10.7275</v>
      </c>
      <c r="J513" s="41" t="n">
        <v>225.2775</v>
      </c>
      <c r="K513" s="41" t="s">
        <v>1188</v>
      </c>
      <c r="L513" s="41" t="s">
        <v>1529</v>
      </c>
      <c r="M513" s="41" t="s">
        <v>98</v>
      </c>
      <c r="N513" s="41" t="n">
        <v>214.55</v>
      </c>
      <c r="O513" s="41" t="n">
        <v>4.761904762</v>
      </c>
      <c r="P513" s="41" t="n">
        <v>10.7275</v>
      </c>
      <c r="Q513" s="41" t="n">
        <v>6.1</v>
      </c>
    </row>
    <row r="514" customFormat="false" ht="15" hidden="false" customHeight="false" outlineLevel="0" collapsed="false">
      <c r="A514" s="41" t="s">
        <v>692</v>
      </c>
      <c r="B514" s="41" t="s">
        <v>178</v>
      </c>
      <c r="C514" s="41" t="s">
        <v>85</v>
      </c>
      <c r="D514" s="41" t="s">
        <v>105</v>
      </c>
      <c r="E514" s="41" t="s">
        <v>102</v>
      </c>
      <c r="F514" s="41" t="s">
        <v>79</v>
      </c>
      <c r="G514" s="41" t="n">
        <v>54.28</v>
      </c>
      <c r="H514" s="41" t="n">
        <v>7</v>
      </c>
      <c r="I514" s="41" t="n">
        <v>18.998</v>
      </c>
      <c r="J514" s="41" t="n">
        <v>398.958</v>
      </c>
      <c r="K514" s="41" t="s">
        <v>1194</v>
      </c>
      <c r="L514" s="41" t="s">
        <v>1618</v>
      </c>
      <c r="M514" s="41" t="s">
        <v>98</v>
      </c>
      <c r="N514" s="41" t="n">
        <v>379.96</v>
      </c>
      <c r="O514" s="41" t="n">
        <v>4.761904762</v>
      </c>
      <c r="P514" s="41" t="n">
        <v>18.998</v>
      </c>
      <c r="Q514" s="41" t="n">
        <v>9.3</v>
      </c>
    </row>
    <row r="515" customFormat="false" ht="15" hidden="false" customHeight="false" outlineLevel="0" collapsed="false">
      <c r="A515" s="41" t="s">
        <v>693</v>
      </c>
      <c r="B515" s="41" t="s">
        <v>178</v>
      </c>
      <c r="C515" s="41" t="s">
        <v>85</v>
      </c>
      <c r="D515" s="41" t="s">
        <v>105</v>
      </c>
      <c r="E515" s="41" t="s">
        <v>103</v>
      </c>
      <c r="F515" s="41" t="s">
        <v>78</v>
      </c>
      <c r="G515" s="41" t="n">
        <v>99.55</v>
      </c>
      <c r="H515" s="41" t="n">
        <v>7</v>
      </c>
      <c r="I515" s="41" t="n">
        <v>34.8425</v>
      </c>
      <c r="J515" s="41" t="n">
        <v>731.6925</v>
      </c>
      <c r="K515" s="41" t="s">
        <v>1494</v>
      </c>
      <c r="L515" s="41" t="s">
        <v>1619</v>
      </c>
      <c r="M515" s="41" t="s">
        <v>97</v>
      </c>
      <c r="N515" s="41" t="n">
        <v>696.85</v>
      </c>
      <c r="O515" s="41" t="n">
        <v>4.761904762</v>
      </c>
      <c r="P515" s="41" t="n">
        <v>34.8425</v>
      </c>
      <c r="Q515" s="41" t="n">
        <v>7.6</v>
      </c>
    </row>
    <row r="516" customFormat="false" ht="15" hidden="false" customHeight="false" outlineLevel="0" collapsed="false">
      <c r="A516" s="41" t="s">
        <v>694</v>
      </c>
      <c r="B516" s="41" t="s">
        <v>180</v>
      </c>
      <c r="C516" s="41" t="s">
        <v>87</v>
      </c>
      <c r="D516" s="41" t="s">
        <v>104</v>
      </c>
      <c r="E516" s="41" t="s">
        <v>103</v>
      </c>
      <c r="F516" s="41" t="s">
        <v>77</v>
      </c>
      <c r="G516" s="41" t="n">
        <v>58.39</v>
      </c>
      <c r="H516" s="41" t="n">
        <v>7</v>
      </c>
      <c r="I516" s="41" t="n">
        <v>20.4365</v>
      </c>
      <c r="J516" s="41" t="n">
        <v>429.1665</v>
      </c>
      <c r="K516" s="41" t="s">
        <v>1321</v>
      </c>
      <c r="L516" s="41" t="s">
        <v>1620</v>
      </c>
      <c r="M516" s="41" t="s">
        <v>99</v>
      </c>
      <c r="N516" s="41" t="n">
        <v>408.73</v>
      </c>
      <c r="O516" s="41" t="n">
        <v>4.761904762</v>
      </c>
      <c r="P516" s="41" t="n">
        <v>20.4365</v>
      </c>
      <c r="Q516" s="41" t="n">
        <v>8.2</v>
      </c>
    </row>
    <row r="517" customFormat="false" ht="15" hidden="false" customHeight="false" outlineLevel="0" collapsed="false">
      <c r="A517" s="41" t="s">
        <v>695</v>
      </c>
      <c r="B517" s="41" t="s">
        <v>180</v>
      </c>
      <c r="C517" s="41" t="s">
        <v>87</v>
      </c>
      <c r="D517" s="41" t="s">
        <v>104</v>
      </c>
      <c r="E517" s="41" t="s">
        <v>102</v>
      </c>
      <c r="F517" s="41" t="s">
        <v>79</v>
      </c>
      <c r="G517" s="41" t="n">
        <v>51.47</v>
      </c>
      <c r="H517" s="41" t="n">
        <v>1</v>
      </c>
      <c r="I517" s="41" t="n">
        <v>2.5735</v>
      </c>
      <c r="J517" s="41" t="n">
        <v>54.0435</v>
      </c>
      <c r="K517" s="41" t="s">
        <v>1442</v>
      </c>
      <c r="L517" s="41" t="s">
        <v>1621</v>
      </c>
      <c r="M517" s="41" t="s">
        <v>98</v>
      </c>
      <c r="N517" s="41" t="n">
        <v>51.47</v>
      </c>
      <c r="O517" s="41" t="n">
        <v>4.761904762</v>
      </c>
      <c r="P517" s="41" t="n">
        <v>2.5735</v>
      </c>
      <c r="Q517" s="41" t="n">
        <v>8.5</v>
      </c>
    </row>
    <row r="518" customFormat="false" ht="15" hidden="false" customHeight="false" outlineLevel="0" collapsed="false">
      <c r="A518" s="41" t="s">
        <v>696</v>
      </c>
      <c r="B518" s="41" t="s">
        <v>189</v>
      </c>
      <c r="C518" s="41" t="s">
        <v>86</v>
      </c>
      <c r="D518" s="41" t="s">
        <v>104</v>
      </c>
      <c r="E518" s="41" t="s">
        <v>103</v>
      </c>
      <c r="F518" s="41" t="s">
        <v>81</v>
      </c>
      <c r="G518" s="41" t="n">
        <v>54.86</v>
      </c>
      <c r="H518" s="41" t="n">
        <v>5</v>
      </c>
      <c r="I518" s="41" t="n">
        <v>13.715</v>
      </c>
      <c r="J518" s="41" t="n">
        <v>288.015</v>
      </c>
      <c r="K518" s="41" t="s">
        <v>1216</v>
      </c>
      <c r="L518" s="41" t="s">
        <v>1215</v>
      </c>
      <c r="M518" s="41" t="s">
        <v>98</v>
      </c>
      <c r="N518" s="41" t="n">
        <v>274.3</v>
      </c>
      <c r="O518" s="41" t="n">
        <v>4.761904762</v>
      </c>
      <c r="P518" s="41" t="n">
        <v>13.715</v>
      </c>
      <c r="Q518" s="41" t="n">
        <v>9.8</v>
      </c>
    </row>
    <row r="519" customFormat="false" ht="15" hidden="false" customHeight="false" outlineLevel="0" collapsed="false">
      <c r="A519" s="41" t="s">
        <v>697</v>
      </c>
      <c r="B519" s="41" t="s">
        <v>180</v>
      </c>
      <c r="C519" s="41" t="s">
        <v>87</v>
      </c>
      <c r="D519" s="41" t="s">
        <v>104</v>
      </c>
      <c r="E519" s="41" t="s">
        <v>103</v>
      </c>
      <c r="F519" s="41" t="s">
        <v>80</v>
      </c>
      <c r="G519" s="41" t="n">
        <v>39.39</v>
      </c>
      <c r="H519" s="41" t="n">
        <v>5</v>
      </c>
      <c r="I519" s="41" t="n">
        <v>9.8475</v>
      </c>
      <c r="J519" s="41" t="n">
        <v>206.7975</v>
      </c>
      <c r="K519" s="41" t="s">
        <v>1308</v>
      </c>
      <c r="L519" s="41" t="s">
        <v>1622</v>
      </c>
      <c r="M519" s="41" t="s">
        <v>99</v>
      </c>
      <c r="N519" s="41" t="n">
        <v>196.95</v>
      </c>
      <c r="O519" s="41" t="n">
        <v>4.761904762</v>
      </c>
      <c r="P519" s="41" t="n">
        <v>9.8475</v>
      </c>
      <c r="Q519" s="41" t="n">
        <v>8.7</v>
      </c>
    </row>
    <row r="520" customFormat="false" ht="15" hidden="false" customHeight="false" outlineLevel="0" collapsed="false">
      <c r="A520" s="41" t="s">
        <v>698</v>
      </c>
      <c r="B520" s="41" t="s">
        <v>178</v>
      </c>
      <c r="C520" s="41" t="s">
        <v>85</v>
      </c>
      <c r="D520" s="41" t="s">
        <v>105</v>
      </c>
      <c r="E520" s="41" t="s">
        <v>103</v>
      </c>
      <c r="F520" s="41" t="s">
        <v>80</v>
      </c>
      <c r="G520" s="41" t="n">
        <v>34.73</v>
      </c>
      <c r="H520" s="41" t="n">
        <v>2</v>
      </c>
      <c r="I520" s="41" t="n">
        <v>3.473</v>
      </c>
      <c r="J520" s="41" t="n">
        <v>72.933</v>
      </c>
      <c r="K520" s="41" t="s">
        <v>1339</v>
      </c>
      <c r="L520" s="41" t="s">
        <v>1337</v>
      </c>
      <c r="M520" s="41" t="s">
        <v>98</v>
      </c>
      <c r="N520" s="41" t="n">
        <v>69.46</v>
      </c>
      <c r="O520" s="41" t="n">
        <v>4.761904762</v>
      </c>
      <c r="P520" s="41" t="n">
        <v>3.473</v>
      </c>
      <c r="Q520" s="41" t="n">
        <v>9.7</v>
      </c>
    </row>
    <row r="521" customFormat="false" ht="15" hidden="false" customHeight="false" outlineLevel="0" collapsed="false">
      <c r="A521" s="41" t="s">
        <v>699</v>
      </c>
      <c r="B521" s="41" t="s">
        <v>180</v>
      </c>
      <c r="C521" s="41" t="s">
        <v>87</v>
      </c>
      <c r="D521" s="41" t="s">
        <v>104</v>
      </c>
      <c r="E521" s="41" t="s">
        <v>103</v>
      </c>
      <c r="F521" s="41" t="s">
        <v>77</v>
      </c>
      <c r="G521" s="41" t="n">
        <v>71.92</v>
      </c>
      <c r="H521" s="41" t="n">
        <v>5</v>
      </c>
      <c r="I521" s="41" t="n">
        <v>17.98</v>
      </c>
      <c r="J521" s="41" t="n">
        <v>377.58</v>
      </c>
      <c r="K521" s="41" t="s">
        <v>1256</v>
      </c>
      <c r="L521" s="41" t="s">
        <v>1448</v>
      </c>
      <c r="M521" s="41" t="s">
        <v>99</v>
      </c>
      <c r="N521" s="41" t="n">
        <v>359.6</v>
      </c>
      <c r="O521" s="41" t="n">
        <v>4.761904762</v>
      </c>
      <c r="P521" s="41" t="n">
        <v>17.98</v>
      </c>
      <c r="Q521" s="41" t="n">
        <v>4.3</v>
      </c>
    </row>
    <row r="522" customFormat="false" ht="15" hidden="false" customHeight="false" outlineLevel="0" collapsed="false">
      <c r="A522" s="41" t="s">
        <v>700</v>
      </c>
      <c r="B522" s="41" t="s">
        <v>189</v>
      </c>
      <c r="C522" s="41" t="s">
        <v>86</v>
      </c>
      <c r="D522" s="41" t="s">
        <v>105</v>
      </c>
      <c r="E522" s="41" t="s">
        <v>102</v>
      </c>
      <c r="F522" s="41" t="s">
        <v>78</v>
      </c>
      <c r="G522" s="41" t="n">
        <v>45.71</v>
      </c>
      <c r="H522" s="41" t="n">
        <v>3</v>
      </c>
      <c r="I522" s="41" t="n">
        <v>6.8565</v>
      </c>
      <c r="J522" s="41" t="n">
        <v>143.9865</v>
      </c>
      <c r="K522" s="41" t="s">
        <v>1338</v>
      </c>
      <c r="L522" s="41" t="s">
        <v>1623</v>
      </c>
      <c r="M522" s="41" t="s">
        <v>99</v>
      </c>
      <c r="N522" s="41" t="n">
        <v>137.13</v>
      </c>
      <c r="O522" s="41" t="n">
        <v>4.761904762</v>
      </c>
      <c r="P522" s="41" t="n">
        <v>6.8565</v>
      </c>
      <c r="Q522" s="41" t="n">
        <v>7.7</v>
      </c>
    </row>
    <row r="523" customFormat="false" ht="15" hidden="false" customHeight="false" outlineLevel="0" collapsed="false">
      <c r="A523" s="41" t="s">
        <v>701</v>
      </c>
      <c r="B523" s="41" t="s">
        <v>180</v>
      </c>
      <c r="C523" s="41" t="s">
        <v>87</v>
      </c>
      <c r="D523" s="41" t="s">
        <v>104</v>
      </c>
      <c r="E523" s="41" t="s">
        <v>102</v>
      </c>
      <c r="F523" s="41" t="s">
        <v>80</v>
      </c>
      <c r="G523" s="41" t="n">
        <v>83.17</v>
      </c>
      <c r="H523" s="41" t="n">
        <v>6</v>
      </c>
      <c r="I523" s="41" t="n">
        <v>24.951</v>
      </c>
      <c r="J523" s="41" t="n">
        <v>523.971</v>
      </c>
      <c r="K523" s="41" t="s">
        <v>1446</v>
      </c>
      <c r="L523" s="41" t="s">
        <v>1488</v>
      </c>
      <c r="M523" s="41" t="s">
        <v>97</v>
      </c>
      <c r="N523" s="41" t="n">
        <v>499.02</v>
      </c>
      <c r="O523" s="41" t="n">
        <v>4.761904762</v>
      </c>
      <c r="P523" s="41" t="n">
        <v>24.951</v>
      </c>
      <c r="Q523" s="41" t="n">
        <v>7.3</v>
      </c>
    </row>
    <row r="524" customFormat="false" ht="15" hidden="false" customHeight="false" outlineLevel="0" collapsed="false">
      <c r="A524" s="41" t="s">
        <v>702</v>
      </c>
      <c r="B524" s="41" t="s">
        <v>178</v>
      </c>
      <c r="C524" s="41" t="s">
        <v>85</v>
      </c>
      <c r="D524" s="41" t="s">
        <v>104</v>
      </c>
      <c r="E524" s="41" t="s">
        <v>102</v>
      </c>
      <c r="F524" s="41" t="s">
        <v>80</v>
      </c>
      <c r="G524" s="41" t="n">
        <v>37.44</v>
      </c>
      <c r="H524" s="41" t="n">
        <v>6</v>
      </c>
      <c r="I524" s="41" t="n">
        <v>11.232</v>
      </c>
      <c r="J524" s="41" t="n">
        <v>235.872</v>
      </c>
      <c r="K524" s="41" t="s">
        <v>1208</v>
      </c>
      <c r="L524" s="41" t="s">
        <v>1624</v>
      </c>
      <c r="M524" s="41" t="s">
        <v>99</v>
      </c>
      <c r="N524" s="41" t="n">
        <v>224.64</v>
      </c>
      <c r="O524" s="41" t="n">
        <v>4.761904762</v>
      </c>
      <c r="P524" s="41" t="n">
        <v>11.232</v>
      </c>
      <c r="Q524" s="41" t="n">
        <v>5.9</v>
      </c>
    </row>
    <row r="525" customFormat="false" ht="15" hidden="false" customHeight="false" outlineLevel="0" collapsed="false">
      <c r="A525" s="41" t="s">
        <v>703</v>
      </c>
      <c r="B525" s="41" t="s">
        <v>180</v>
      </c>
      <c r="C525" s="41" t="s">
        <v>87</v>
      </c>
      <c r="D525" s="41" t="s">
        <v>105</v>
      </c>
      <c r="E525" s="41" t="s">
        <v>103</v>
      </c>
      <c r="F525" s="41" t="s">
        <v>81</v>
      </c>
      <c r="G525" s="41" t="n">
        <v>62.87</v>
      </c>
      <c r="H525" s="41" t="n">
        <v>2</v>
      </c>
      <c r="I525" s="41" t="n">
        <v>6.287</v>
      </c>
      <c r="J525" s="41" t="n">
        <v>132.027</v>
      </c>
      <c r="K525" s="41" t="s">
        <v>1222</v>
      </c>
      <c r="L525" s="41" t="s">
        <v>1625</v>
      </c>
      <c r="M525" s="41" t="s">
        <v>97</v>
      </c>
      <c r="N525" s="41" t="n">
        <v>125.74</v>
      </c>
      <c r="O525" s="41" t="n">
        <v>4.761904762</v>
      </c>
      <c r="P525" s="41" t="n">
        <v>6.287</v>
      </c>
      <c r="Q525" s="41" t="n">
        <v>5</v>
      </c>
    </row>
    <row r="526" customFormat="false" ht="15" hidden="false" customHeight="false" outlineLevel="0" collapsed="false">
      <c r="A526" s="41" t="s">
        <v>704</v>
      </c>
      <c r="B526" s="41" t="s">
        <v>178</v>
      </c>
      <c r="C526" s="41" t="s">
        <v>85</v>
      </c>
      <c r="D526" s="41" t="s">
        <v>105</v>
      </c>
      <c r="E526" s="41" t="s">
        <v>103</v>
      </c>
      <c r="F526" s="41" t="s">
        <v>76</v>
      </c>
      <c r="G526" s="41" t="n">
        <v>81.71</v>
      </c>
      <c r="H526" s="41" t="n">
        <v>6</v>
      </c>
      <c r="I526" s="41" t="n">
        <v>24.513</v>
      </c>
      <c r="J526" s="41" t="n">
        <v>514.773</v>
      </c>
      <c r="K526" s="41" t="s">
        <v>1194</v>
      </c>
      <c r="L526" s="41" t="s">
        <v>1201</v>
      </c>
      <c r="M526" s="41" t="s">
        <v>99</v>
      </c>
      <c r="N526" s="41" t="n">
        <v>490.26</v>
      </c>
      <c r="O526" s="41" t="n">
        <v>4.761904762</v>
      </c>
      <c r="P526" s="41" t="n">
        <v>24.513</v>
      </c>
      <c r="Q526" s="41" t="n">
        <v>8</v>
      </c>
    </row>
    <row r="527" customFormat="false" ht="15" hidden="false" customHeight="false" outlineLevel="0" collapsed="false">
      <c r="A527" s="41" t="s">
        <v>705</v>
      </c>
      <c r="B527" s="41" t="s">
        <v>178</v>
      </c>
      <c r="C527" s="41" t="s">
        <v>85</v>
      </c>
      <c r="D527" s="41" t="s">
        <v>104</v>
      </c>
      <c r="E527" s="41" t="s">
        <v>102</v>
      </c>
      <c r="F527" s="41" t="s">
        <v>77</v>
      </c>
      <c r="G527" s="41" t="n">
        <v>91.41</v>
      </c>
      <c r="H527" s="41" t="n">
        <v>5</v>
      </c>
      <c r="I527" s="41" t="n">
        <v>22.8525</v>
      </c>
      <c r="J527" s="41" t="n">
        <v>479.9025</v>
      </c>
      <c r="K527" s="41" t="s">
        <v>1200</v>
      </c>
      <c r="L527" s="41" t="s">
        <v>1626</v>
      </c>
      <c r="M527" s="41" t="s">
        <v>98</v>
      </c>
      <c r="N527" s="41" t="n">
        <v>457.05</v>
      </c>
      <c r="O527" s="41" t="n">
        <v>4.761904762</v>
      </c>
      <c r="P527" s="41" t="n">
        <v>22.8525</v>
      </c>
      <c r="Q527" s="41" t="n">
        <v>7.1</v>
      </c>
    </row>
    <row r="528" customFormat="false" ht="15" hidden="false" customHeight="false" outlineLevel="0" collapsed="false">
      <c r="A528" s="41" t="s">
        <v>706</v>
      </c>
      <c r="B528" s="41" t="s">
        <v>189</v>
      </c>
      <c r="C528" s="41" t="s">
        <v>86</v>
      </c>
      <c r="D528" s="41" t="s">
        <v>105</v>
      </c>
      <c r="E528" s="41" t="s">
        <v>103</v>
      </c>
      <c r="F528" s="41" t="s">
        <v>79</v>
      </c>
      <c r="G528" s="41" t="n">
        <v>39.21</v>
      </c>
      <c r="H528" s="41" t="n">
        <v>4</v>
      </c>
      <c r="I528" s="41" t="n">
        <v>7.842</v>
      </c>
      <c r="J528" s="41" t="n">
        <v>164.682</v>
      </c>
      <c r="K528" s="41" t="s">
        <v>1360</v>
      </c>
      <c r="L528" s="41" t="s">
        <v>1627</v>
      </c>
      <c r="M528" s="41" t="s">
        <v>99</v>
      </c>
      <c r="N528" s="41" t="n">
        <v>156.84</v>
      </c>
      <c r="O528" s="41" t="n">
        <v>4.761904762</v>
      </c>
      <c r="P528" s="41" t="n">
        <v>7.842</v>
      </c>
      <c r="Q528" s="41" t="n">
        <v>9</v>
      </c>
    </row>
    <row r="529" customFormat="false" ht="15" hidden="false" customHeight="false" outlineLevel="0" collapsed="false">
      <c r="A529" s="41" t="s">
        <v>707</v>
      </c>
      <c r="B529" s="41" t="s">
        <v>189</v>
      </c>
      <c r="C529" s="41" t="s">
        <v>86</v>
      </c>
      <c r="D529" s="41" t="s">
        <v>104</v>
      </c>
      <c r="E529" s="41" t="s">
        <v>103</v>
      </c>
      <c r="F529" s="41" t="s">
        <v>79</v>
      </c>
      <c r="G529" s="41" t="n">
        <v>59.86</v>
      </c>
      <c r="H529" s="41" t="n">
        <v>2</v>
      </c>
      <c r="I529" s="41" t="n">
        <v>5.986</v>
      </c>
      <c r="J529" s="41" t="n">
        <v>125.706</v>
      </c>
      <c r="K529" s="41" t="s">
        <v>1309</v>
      </c>
      <c r="L529" s="41" t="s">
        <v>1575</v>
      </c>
      <c r="M529" s="41" t="s">
        <v>98</v>
      </c>
      <c r="N529" s="41" t="n">
        <v>119.72</v>
      </c>
      <c r="O529" s="41" t="n">
        <v>4.761904762</v>
      </c>
      <c r="P529" s="41" t="n">
        <v>5.986</v>
      </c>
      <c r="Q529" s="41" t="n">
        <v>6.7</v>
      </c>
    </row>
    <row r="530" customFormat="false" ht="15" hidden="false" customHeight="false" outlineLevel="0" collapsed="false">
      <c r="A530" s="41" t="s">
        <v>708</v>
      </c>
      <c r="B530" s="41" t="s">
        <v>189</v>
      </c>
      <c r="C530" s="41" t="s">
        <v>86</v>
      </c>
      <c r="D530" s="41" t="s">
        <v>104</v>
      </c>
      <c r="E530" s="41" t="s">
        <v>102</v>
      </c>
      <c r="F530" s="41" t="s">
        <v>76</v>
      </c>
      <c r="G530" s="41" t="n">
        <v>54.36</v>
      </c>
      <c r="H530" s="41" t="n">
        <v>10</v>
      </c>
      <c r="I530" s="41" t="n">
        <v>27.18</v>
      </c>
      <c r="J530" s="41" t="n">
        <v>570.78</v>
      </c>
      <c r="K530" s="41" t="s">
        <v>1214</v>
      </c>
      <c r="L530" s="41" t="s">
        <v>1283</v>
      </c>
      <c r="M530" s="41" t="s">
        <v>99</v>
      </c>
      <c r="N530" s="41" t="n">
        <v>543.6</v>
      </c>
      <c r="O530" s="41" t="n">
        <v>4.761904762</v>
      </c>
      <c r="P530" s="41" t="n">
        <v>27.18</v>
      </c>
      <c r="Q530" s="41" t="n">
        <v>6.1</v>
      </c>
    </row>
    <row r="531" customFormat="false" ht="15" hidden="false" customHeight="false" outlineLevel="0" collapsed="false">
      <c r="A531" s="41" t="s">
        <v>709</v>
      </c>
      <c r="B531" s="41" t="s">
        <v>178</v>
      </c>
      <c r="C531" s="41" t="s">
        <v>85</v>
      </c>
      <c r="D531" s="41" t="s">
        <v>105</v>
      </c>
      <c r="E531" s="41" t="s">
        <v>103</v>
      </c>
      <c r="F531" s="41" t="s">
        <v>77</v>
      </c>
      <c r="G531" s="41" t="n">
        <v>98.09</v>
      </c>
      <c r="H531" s="41" t="n">
        <v>9</v>
      </c>
      <c r="I531" s="41" t="n">
        <v>44.1405</v>
      </c>
      <c r="J531" s="41" t="n">
        <v>926.9505</v>
      </c>
      <c r="K531" s="41" t="s">
        <v>1231</v>
      </c>
      <c r="L531" s="41" t="s">
        <v>1628</v>
      </c>
      <c r="M531" s="41" t="s">
        <v>97</v>
      </c>
      <c r="N531" s="41" t="n">
        <v>882.81</v>
      </c>
      <c r="O531" s="41" t="n">
        <v>4.761904762</v>
      </c>
      <c r="P531" s="41" t="n">
        <v>44.1405</v>
      </c>
      <c r="Q531" s="41" t="n">
        <v>9.3</v>
      </c>
    </row>
    <row r="532" customFormat="false" ht="15" hidden="false" customHeight="false" outlineLevel="0" collapsed="false">
      <c r="A532" s="41" t="s">
        <v>710</v>
      </c>
      <c r="B532" s="41" t="s">
        <v>178</v>
      </c>
      <c r="C532" s="41" t="s">
        <v>85</v>
      </c>
      <c r="D532" s="41" t="s">
        <v>105</v>
      </c>
      <c r="E532" s="41" t="s">
        <v>103</v>
      </c>
      <c r="F532" s="41" t="s">
        <v>81</v>
      </c>
      <c r="G532" s="41" t="n">
        <v>25.43</v>
      </c>
      <c r="H532" s="41" t="n">
        <v>6</v>
      </c>
      <c r="I532" s="41" t="n">
        <v>7.629</v>
      </c>
      <c r="J532" s="41" t="n">
        <v>160.209</v>
      </c>
      <c r="K532" s="41" t="s">
        <v>1212</v>
      </c>
      <c r="L532" s="41" t="s">
        <v>1280</v>
      </c>
      <c r="M532" s="41" t="s">
        <v>98</v>
      </c>
      <c r="N532" s="41" t="n">
        <v>152.58</v>
      </c>
      <c r="O532" s="41" t="n">
        <v>4.761904762</v>
      </c>
      <c r="P532" s="41" t="n">
        <v>7.629</v>
      </c>
      <c r="Q532" s="41" t="n">
        <v>7</v>
      </c>
    </row>
    <row r="533" customFormat="false" ht="15" hidden="false" customHeight="false" outlineLevel="0" collapsed="false">
      <c r="A533" s="41" t="s">
        <v>711</v>
      </c>
      <c r="B533" s="41" t="s">
        <v>178</v>
      </c>
      <c r="C533" s="41" t="s">
        <v>85</v>
      </c>
      <c r="D533" s="41" t="s">
        <v>104</v>
      </c>
      <c r="E533" s="41" t="s">
        <v>103</v>
      </c>
      <c r="F533" s="41" t="s">
        <v>79</v>
      </c>
      <c r="G533" s="41" t="n">
        <v>86.68</v>
      </c>
      <c r="H533" s="41" t="n">
        <v>8</v>
      </c>
      <c r="I533" s="41" t="n">
        <v>34.672</v>
      </c>
      <c r="J533" s="41" t="n">
        <v>728.112</v>
      </c>
      <c r="K533" s="41" t="s">
        <v>1300</v>
      </c>
      <c r="L533" s="41" t="s">
        <v>1629</v>
      </c>
      <c r="M533" s="41" t="s">
        <v>99</v>
      </c>
      <c r="N533" s="41" t="n">
        <v>693.44</v>
      </c>
      <c r="O533" s="41" t="n">
        <v>4.761904762</v>
      </c>
      <c r="P533" s="41" t="n">
        <v>34.672</v>
      </c>
      <c r="Q533" s="41" t="n">
        <v>7.2</v>
      </c>
    </row>
    <row r="534" customFormat="false" ht="15" hidden="false" customHeight="false" outlineLevel="0" collapsed="false">
      <c r="A534" s="41" t="s">
        <v>712</v>
      </c>
      <c r="B534" s="41" t="s">
        <v>189</v>
      </c>
      <c r="C534" s="41" t="s">
        <v>86</v>
      </c>
      <c r="D534" s="41" t="s">
        <v>105</v>
      </c>
      <c r="E534" s="41" t="s">
        <v>103</v>
      </c>
      <c r="F534" s="41" t="s">
        <v>78</v>
      </c>
      <c r="G534" s="41" t="n">
        <v>22.95</v>
      </c>
      <c r="H534" s="41" t="n">
        <v>10</v>
      </c>
      <c r="I534" s="41" t="n">
        <v>11.475</v>
      </c>
      <c r="J534" s="41" t="n">
        <v>240.975</v>
      </c>
      <c r="K534" s="41" t="s">
        <v>1208</v>
      </c>
      <c r="L534" s="41" t="s">
        <v>1236</v>
      </c>
      <c r="M534" s="41" t="s">
        <v>98</v>
      </c>
      <c r="N534" s="41" t="n">
        <v>229.5</v>
      </c>
      <c r="O534" s="41" t="n">
        <v>4.761904762</v>
      </c>
      <c r="P534" s="41" t="n">
        <v>11.475</v>
      </c>
      <c r="Q534" s="41" t="n">
        <v>8.2</v>
      </c>
    </row>
    <row r="535" customFormat="false" ht="15" hidden="false" customHeight="false" outlineLevel="0" collapsed="false">
      <c r="A535" s="41" t="s">
        <v>713</v>
      </c>
      <c r="B535" s="41" t="s">
        <v>180</v>
      </c>
      <c r="C535" s="41" t="s">
        <v>87</v>
      </c>
      <c r="D535" s="41" t="s">
        <v>105</v>
      </c>
      <c r="E535" s="41" t="s">
        <v>102</v>
      </c>
      <c r="F535" s="41" t="s">
        <v>76</v>
      </c>
      <c r="G535" s="41" t="n">
        <v>16.31</v>
      </c>
      <c r="H535" s="41" t="n">
        <v>9</v>
      </c>
      <c r="I535" s="41" t="n">
        <v>7.3395</v>
      </c>
      <c r="J535" s="41" t="n">
        <v>154.1295</v>
      </c>
      <c r="K535" s="41" t="s">
        <v>1338</v>
      </c>
      <c r="L535" s="41" t="s">
        <v>1630</v>
      </c>
      <c r="M535" s="41" t="s">
        <v>98</v>
      </c>
      <c r="N535" s="41" t="n">
        <v>146.79</v>
      </c>
      <c r="O535" s="41" t="n">
        <v>4.761904762</v>
      </c>
      <c r="P535" s="41" t="n">
        <v>7.3395</v>
      </c>
      <c r="Q535" s="41" t="n">
        <v>8.4</v>
      </c>
    </row>
    <row r="536" customFormat="false" ht="15" hidden="false" customHeight="false" outlineLevel="0" collapsed="false">
      <c r="A536" s="41" t="s">
        <v>714</v>
      </c>
      <c r="B536" s="41" t="s">
        <v>178</v>
      </c>
      <c r="C536" s="41" t="s">
        <v>85</v>
      </c>
      <c r="D536" s="41" t="s">
        <v>105</v>
      </c>
      <c r="E536" s="41" t="s">
        <v>102</v>
      </c>
      <c r="F536" s="41" t="s">
        <v>80</v>
      </c>
      <c r="G536" s="41" t="n">
        <v>28.32</v>
      </c>
      <c r="H536" s="41" t="n">
        <v>5</v>
      </c>
      <c r="I536" s="41" t="n">
        <v>7.08</v>
      </c>
      <c r="J536" s="41" t="n">
        <v>148.68</v>
      </c>
      <c r="K536" s="41" t="s">
        <v>1220</v>
      </c>
      <c r="L536" s="41" t="s">
        <v>1631</v>
      </c>
      <c r="M536" s="41" t="s">
        <v>98</v>
      </c>
      <c r="N536" s="41" t="n">
        <v>141.6</v>
      </c>
      <c r="O536" s="41" t="n">
        <v>4.761904762</v>
      </c>
      <c r="P536" s="41" t="n">
        <v>7.08</v>
      </c>
      <c r="Q536" s="41" t="n">
        <v>6.2</v>
      </c>
    </row>
    <row r="537" customFormat="false" ht="15" hidden="false" customHeight="false" outlineLevel="0" collapsed="false">
      <c r="A537" s="41" t="s">
        <v>715</v>
      </c>
      <c r="B537" s="41" t="s">
        <v>180</v>
      </c>
      <c r="C537" s="41" t="s">
        <v>87</v>
      </c>
      <c r="D537" s="41" t="s">
        <v>105</v>
      </c>
      <c r="E537" s="41" t="s">
        <v>103</v>
      </c>
      <c r="F537" s="41" t="s">
        <v>80</v>
      </c>
      <c r="G537" s="41" t="n">
        <v>16.67</v>
      </c>
      <c r="H537" s="41" t="n">
        <v>7</v>
      </c>
      <c r="I537" s="41" t="n">
        <v>5.8345</v>
      </c>
      <c r="J537" s="41" t="n">
        <v>122.5245</v>
      </c>
      <c r="K537" s="41" t="s">
        <v>1214</v>
      </c>
      <c r="L537" s="41" t="s">
        <v>1412</v>
      </c>
      <c r="M537" s="41" t="s">
        <v>98</v>
      </c>
      <c r="N537" s="41" t="n">
        <v>116.69</v>
      </c>
      <c r="O537" s="41" t="n">
        <v>4.761904762</v>
      </c>
      <c r="P537" s="41" t="n">
        <v>5.8345</v>
      </c>
      <c r="Q537" s="41" t="n">
        <v>7.4</v>
      </c>
    </row>
    <row r="538" customFormat="false" ht="15" hidden="false" customHeight="false" outlineLevel="0" collapsed="false">
      <c r="A538" s="41" t="s">
        <v>716</v>
      </c>
      <c r="B538" s="41" t="s">
        <v>189</v>
      </c>
      <c r="C538" s="41" t="s">
        <v>86</v>
      </c>
      <c r="D538" s="41" t="s">
        <v>104</v>
      </c>
      <c r="E538" s="41" t="s">
        <v>102</v>
      </c>
      <c r="F538" s="41" t="s">
        <v>79</v>
      </c>
      <c r="G538" s="41" t="n">
        <v>73.96</v>
      </c>
      <c r="H538" s="41" t="n">
        <v>1</v>
      </c>
      <c r="I538" s="41" t="n">
        <v>3.698</v>
      </c>
      <c r="J538" s="41" t="n">
        <v>77.658</v>
      </c>
      <c r="K538" s="41" t="s">
        <v>1188</v>
      </c>
      <c r="L538" s="41" t="s">
        <v>1353</v>
      </c>
      <c r="M538" s="41" t="s">
        <v>99</v>
      </c>
      <c r="N538" s="41" t="n">
        <v>73.96</v>
      </c>
      <c r="O538" s="41" t="n">
        <v>4.761904762</v>
      </c>
      <c r="P538" s="41" t="n">
        <v>3.698</v>
      </c>
      <c r="Q538" s="41" t="n">
        <v>5</v>
      </c>
    </row>
    <row r="539" customFormat="false" ht="15" hidden="false" customHeight="false" outlineLevel="0" collapsed="false">
      <c r="A539" s="41" t="s">
        <v>717</v>
      </c>
      <c r="B539" s="41" t="s">
        <v>178</v>
      </c>
      <c r="C539" s="41" t="s">
        <v>85</v>
      </c>
      <c r="D539" s="41" t="s">
        <v>105</v>
      </c>
      <c r="E539" s="41" t="s">
        <v>103</v>
      </c>
      <c r="F539" s="41" t="s">
        <v>80</v>
      </c>
      <c r="G539" s="41" t="n">
        <v>97.94</v>
      </c>
      <c r="H539" s="41" t="n">
        <v>1</v>
      </c>
      <c r="I539" s="41" t="n">
        <v>4.897</v>
      </c>
      <c r="J539" s="41" t="n">
        <v>102.837</v>
      </c>
      <c r="K539" s="41" t="s">
        <v>1277</v>
      </c>
      <c r="L539" s="41" t="s">
        <v>1500</v>
      </c>
      <c r="M539" s="41" t="s">
        <v>98</v>
      </c>
      <c r="N539" s="41" t="n">
        <v>97.94</v>
      </c>
      <c r="O539" s="41" t="n">
        <v>4.761904762</v>
      </c>
      <c r="P539" s="41" t="n">
        <v>4.897</v>
      </c>
      <c r="Q539" s="41" t="n">
        <v>6.9</v>
      </c>
    </row>
    <row r="540" customFormat="false" ht="15" hidden="false" customHeight="false" outlineLevel="0" collapsed="false">
      <c r="A540" s="41" t="s">
        <v>718</v>
      </c>
      <c r="B540" s="41" t="s">
        <v>178</v>
      </c>
      <c r="C540" s="41" t="s">
        <v>85</v>
      </c>
      <c r="D540" s="41" t="s">
        <v>105</v>
      </c>
      <c r="E540" s="41" t="s">
        <v>102</v>
      </c>
      <c r="F540" s="41" t="s">
        <v>79</v>
      </c>
      <c r="G540" s="41" t="n">
        <v>73.05</v>
      </c>
      <c r="H540" s="41" t="n">
        <v>4</v>
      </c>
      <c r="I540" s="41" t="n">
        <v>14.61</v>
      </c>
      <c r="J540" s="41" t="n">
        <v>306.81</v>
      </c>
      <c r="K540" s="41" t="s">
        <v>1200</v>
      </c>
      <c r="L540" s="41" t="s">
        <v>1632</v>
      </c>
      <c r="M540" s="41" t="s">
        <v>99</v>
      </c>
      <c r="N540" s="41" t="n">
        <v>292.2</v>
      </c>
      <c r="O540" s="41" t="n">
        <v>4.761904762</v>
      </c>
      <c r="P540" s="41" t="n">
        <v>14.61</v>
      </c>
      <c r="Q540" s="41" t="n">
        <v>4.9</v>
      </c>
    </row>
    <row r="541" customFormat="false" ht="15" hidden="false" customHeight="false" outlineLevel="0" collapsed="false">
      <c r="A541" s="41" t="s">
        <v>719</v>
      </c>
      <c r="B541" s="41" t="s">
        <v>180</v>
      </c>
      <c r="C541" s="41" t="s">
        <v>87</v>
      </c>
      <c r="D541" s="41" t="s">
        <v>104</v>
      </c>
      <c r="E541" s="41" t="s">
        <v>102</v>
      </c>
      <c r="F541" s="41" t="s">
        <v>76</v>
      </c>
      <c r="G541" s="41" t="n">
        <v>87.48</v>
      </c>
      <c r="H541" s="41" t="n">
        <v>6</v>
      </c>
      <c r="I541" s="41" t="n">
        <v>26.244</v>
      </c>
      <c r="J541" s="41" t="n">
        <v>551.124</v>
      </c>
      <c r="K541" s="41" t="s">
        <v>1341</v>
      </c>
      <c r="L541" s="41" t="s">
        <v>1633</v>
      </c>
      <c r="M541" s="41" t="s">
        <v>98</v>
      </c>
      <c r="N541" s="41" t="n">
        <v>524.88</v>
      </c>
      <c r="O541" s="41" t="n">
        <v>4.761904762</v>
      </c>
      <c r="P541" s="41" t="n">
        <v>26.244</v>
      </c>
      <c r="Q541" s="41" t="n">
        <v>5.1</v>
      </c>
    </row>
    <row r="542" customFormat="false" ht="15" hidden="false" customHeight="false" outlineLevel="0" collapsed="false">
      <c r="A542" s="41" t="s">
        <v>720</v>
      </c>
      <c r="B542" s="41" t="s">
        <v>178</v>
      </c>
      <c r="C542" s="41" t="s">
        <v>85</v>
      </c>
      <c r="D542" s="41" t="s">
        <v>105</v>
      </c>
      <c r="E542" s="41" t="s">
        <v>103</v>
      </c>
      <c r="F542" s="41" t="s">
        <v>80</v>
      </c>
      <c r="G542" s="41" t="n">
        <v>30.68</v>
      </c>
      <c r="H542" s="41" t="n">
        <v>3</v>
      </c>
      <c r="I542" s="41" t="n">
        <v>4.602</v>
      </c>
      <c r="J542" s="41" t="n">
        <v>96.642</v>
      </c>
      <c r="K542" s="41" t="s">
        <v>1308</v>
      </c>
      <c r="L542" s="41" t="s">
        <v>157</v>
      </c>
      <c r="M542" s="41" t="s">
        <v>98</v>
      </c>
      <c r="N542" s="41" t="n">
        <v>92.04</v>
      </c>
      <c r="O542" s="41" t="n">
        <v>4.761904762</v>
      </c>
      <c r="P542" s="41" t="n">
        <v>4.602</v>
      </c>
      <c r="Q542" s="41" t="n">
        <v>9.1</v>
      </c>
    </row>
    <row r="543" customFormat="false" ht="15" hidden="false" customHeight="false" outlineLevel="0" collapsed="false">
      <c r="A543" s="41" t="s">
        <v>721</v>
      </c>
      <c r="B543" s="41" t="s">
        <v>180</v>
      </c>
      <c r="C543" s="41" t="s">
        <v>87</v>
      </c>
      <c r="D543" s="41" t="s">
        <v>104</v>
      </c>
      <c r="E543" s="41" t="s">
        <v>103</v>
      </c>
      <c r="F543" s="41" t="s">
        <v>81</v>
      </c>
      <c r="G543" s="41" t="n">
        <v>75.88</v>
      </c>
      <c r="H543" s="41" t="n">
        <v>1</v>
      </c>
      <c r="I543" s="41" t="n">
        <v>3.794</v>
      </c>
      <c r="J543" s="41" t="n">
        <v>79.674</v>
      </c>
      <c r="K543" s="41" t="s">
        <v>1411</v>
      </c>
      <c r="L543" s="41" t="s">
        <v>1634</v>
      </c>
      <c r="M543" s="41" t="s">
        <v>99</v>
      </c>
      <c r="N543" s="41" t="n">
        <v>75.88</v>
      </c>
      <c r="O543" s="41" t="n">
        <v>4.761904762</v>
      </c>
      <c r="P543" s="41" t="n">
        <v>3.794</v>
      </c>
      <c r="Q543" s="41" t="n">
        <v>7.1</v>
      </c>
    </row>
    <row r="544" customFormat="false" ht="15" hidden="false" customHeight="false" outlineLevel="0" collapsed="false">
      <c r="A544" s="41" t="s">
        <v>722</v>
      </c>
      <c r="B544" s="41" t="s">
        <v>189</v>
      </c>
      <c r="C544" s="41" t="s">
        <v>86</v>
      </c>
      <c r="D544" s="41" t="s">
        <v>104</v>
      </c>
      <c r="E544" s="41" t="s">
        <v>102</v>
      </c>
      <c r="F544" s="41" t="s">
        <v>77</v>
      </c>
      <c r="G544" s="41" t="n">
        <v>20.18</v>
      </c>
      <c r="H544" s="41" t="n">
        <v>4</v>
      </c>
      <c r="I544" s="41" t="n">
        <v>4.036</v>
      </c>
      <c r="J544" s="41" t="n">
        <v>84.756</v>
      </c>
      <c r="K544" s="41" t="s">
        <v>1418</v>
      </c>
      <c r="L544" s="41" t="s">
        <v>1550</v>
      </c>
      <c r="M544" s="41" t="s">
        <v>99</v>
      </c>
      <c r="N544" s="41" t="n">
        <v>80.72</v>
      </c>
      <c r="O544" s="41" t="n">
        <v>4.761904762</v>
      </c>
      <c r="P544" s="41" t="n">
        <v>4.036</v>
      </c>
      <c r="Q544" s="41" t="n">
        <v>5</v>
      </c>
    </row>
    <row r="545" customFormat="false" ht="15" hidden="false" customHeight="false" outlineLevel="0" collapsed="false">
      <c r="A545" s="41" t="s">
        <v>723</v>
      </c>
      <c r="B545" s="41" t="s">
        <v>180</v>
      </c>
      <c r="C545" s="41" t="s">
        <v>87</v>
      </c>
      <c r="D545" s="41" t="s">
        <v>104</v>
      </c>
      <c r="E545" s="41" t="s">
        <v>103</v>
      </c>
      <c r="F545" s="41" t="s">
        <v>78</v>
      </c>
      <c r="G545" s="41" t="n">
        <v>18.77</v>
      </c>
      <c r="H545" s="41" t="n">
        <v>6</v>
      </c>
      <c r="I545" s="41" t="n">
        <v>5.631</v>
      </c>
      <c r="J545" s="41" t="n">
        <v>118.251</v>
      </c>
      <c r="K545" s="41" t="s">
        <v>1244</v>
      </c>
      <c r="L545" s="41" t="s">
        <v>1376</v>
      </c>
      <c r="M545" s="41" t="s">
        <v>99</v>
      </c>
      <c r="N545" s="41" t="n">
        <v>112.62</v>
      </c>
      <c r="O545" s="41" t="n">
        <v>4.761904762</v>
      </c>
      <c r="P545" s="41" t="n">
        <v>5.631</v>
      </c>
      <c r="Q545" s="41" t="n">
        <v>5.5</v>
      </c>
    </row>
    <row r="546" customFormat="false" ht="15" hidden="false" customHeight="false" outlineLevel="0" collapsed="false">
      <c r="A546" s="41" t="s">
        <v>724</v>
      </c>
      <c r="B546" s="41" t="s">
        <v>189</v>
      </c>
      <c r="C546" s="41" t="s">
        <v>86</v>
      </c>
      <c r="D546" s="41" t="s">
        <v>105</v>
      </c>
      <c r="E546" s="41" t="s">
        <v>102</v>
      </c>
      <c r="F546" s="41" t="s">
        <v>76</v>
      </c>
      <c r="G546" s="41" t="n">
        <v>71.2</v>
      </c>
      <c r="H546" s="41" t="n">
        <v>1</v>
      </c>
      <c r="I546" s="41" t="n">
        <v>3.56</v>
      </c>
      <c r="J546" s="41" t="n">
        <v>74.76</v>
      </c>
      <c r="K546" s="41" t="s">
        <v>1188</v>
      </c>
      <c r="L546" s="41" t="s">
        <v>1635</v>
      </c>
      <c r="M546" s="41" t="s">
        <v>99</v>
      </c>
      <c r="N546" s="41" t="n">
        <v>71.2</v>
      </c>
      <c r="O546" s="41" t="n">
        <v>4.761904762</v>
      </c>
      <c r="P546" s="41" t="n">
        <v>3.56</v>
      </c>
      <c r="Q546" s="41" t="n">
        <v>9.2</v>
      </c>
    </row>
    <row r="547" customFormat="false" ht="15" hidden="false" customHeight="false" outlineLevel="0" collapsed="false">
      <c r="A547" s="41" t="s">
        <v>725</v>
      </c>
      <c r="B547" s="41" t="s">
        <v>189</v>
      </c>
      <c r="C547" s="41" t="s">
        <v>86</v>
      </c>
      <c r="D547" s="41" t="s">
        <v>104</v>
      </c>
      <c r="E547" s="41" t="s">
        <v>103</v>
      </c>
      <c r="F547" s="41" t="s">
        <v>80</v>
      </c>
      <c r="G547" s="41" t="n">
        <v>38.81</v>
      </c>
      <c r="H547" s="41" t="n">
        <v>4</v>
      </c>
      <c r="I547" s="41" t="n">
        <v>7.762</v>
      </c>
      <c r="J547" s="41" t="n">
        <v>163.002</v>
      </c>
      <c r="K547" s="41" t="s">
        <v>1270</v>
      </c>
      <c r="L547" s="41" t="s">
        <v>1291</v>
      </c>
      <c r="M547" s="41" t="s">
        <v>98</v>
      </c>
      <c r="N547" s="41" t="n">
        <v>155.24</v>
      </c>
      <c r="O547" s="41" t="n">
        <v>4.761904762</v>
      </c>
      <c r="P547" s="41" t="n">
        <v>7.762</v>
      </c>
      <c r="Q547" s="41" t="n">
        <v>4.9</v>
      </c>
    </row>
    <row r="548" customFormat="false" ht="15" hidden="false" customHeight="false" outlineLevel="0" collapsed="false">
      <c r="A548" s="41" t="s">
        <v>726</v>
      </c>
      <c r="B548" s="41" t="s">
        <v>178</v>
      </c>
      <c r="C548" s="41" t="s">
        <v>85</v>
      </c>
      <c r="D548" s="41" t="s">
        <v>105</v>
      </c>
      <c r="E548" s="41" t="s">
        <v>102</v>
      </c>
      <c r="F548" s="41" t="s">
        <v>79</v>
      </c>
      <c r="G548" s="41" t="n">
        <v>29.42</v>
      </c>
      <c r="H548" s="41" t="n">
        <v>10</v>
      </c>
      <c r="I548" s="41" t="n">
        <v>14.71</v>
      </c>
      <c r="J548" s="41" t="n">
        <v>308.91</v>
      </c>
      <c r="K548" s="41" t="s">
        <v>1313</v>
      </c>
      <c r="L548" s="41" t="s">
        <v>1564</v>
      </c>
      <c r="M548" s="41" t="s">
        <v>98</v>
      </c>
      <c r="N548" s="41" t="n">
        <v>294.2</v>
      </c>
      <c r="O548" s="41" t="n">
        <v>4.761904762</v>
      </c>
      <c r="P548" s="41" t="n">
        <v>14.71</v>
      </c>
      <c r="Q548" s="41" t="n">
        <v>8.9</v>
      </c>
    </row>
    <row r="549" customFormat="false" ht="15" hidden="false" customHeight="false" outlineLevel="0" collapsed="false">
      <c r="A549" s="41" t="s">
        <v>727</v>
      </c>
      <c r="B549" s="41" t="s">
        <v>178</v>
      </c>
      <c r="C549" s="41" t="s">
        <v>85</v>
      </c>
      <c r="D549" s="41" t="s">
        <v>105</v>
      </c>
      <c r="E549" s="41" t="s">
        <v>103</v>
      </c>
      <c r="F549" s="41" t="s">
        <v>77</v>
      </c>
      <c r="G549" s="41" t="n">
        <v>60.95</v>
      </c>
      <c r="H549" s="41" t="n">
        <v>9</v>
      </c>
      <c r="I549" s="41" t="n">
        <v>27.4275</v>
      </c>
      <c r="J549" s="41" t="n">
        <v>575.9775</v>
      </c>
      <c r="K549" s="41" t="s">
        <v>1249</v>
      </c>
      <c r="L549" s="41" t="s">
        <v>1636</v>
      </c>
      <c r="M549" s="41" t="s">
        <v>99</v>
      </c>
      <c r="N549" s="41" t="n">
        <v>548.55</v>
      </c>
      <c r="O549" s="41" t="n">
        <v>4.761904762</v>
      </c>
      <c r="P549" s="41" t="n">
        <v>27.4275</v>
      </c>
      <c r="Q549" s="41" t="n">
        <v>6</v>
      </c>
    </row>
    <row r="550" customFormat="false" ht="15" hidden="false" customHeight="false" outlineLevel="0" collapsed="false">
      <c r="A550" s="41" t="s">
        <v>728</v>
      </c>
      <c r="B550" s="41" t="s">
        <v>189</v>
      </c>
      <c r="C550" s="41" t="s">
        <v>86</v>
      </c>
      <c r="D550" s="41" t="s">
        <v>105</v>
      </c>
      <c r="E550" s="41" t="s">
        <v>102</v>
      </c>
      <c r="F550" s="41" t="s">
        <v>77</v>
      </c>
      <c r="G550" s="41" t="n">
        <v>51.54</v>
      </c>
      <c r="H550" s="41" t="n">
        <v>5</v>
      </c>
      <c r="I550" s="41" t="n">
        <v>12.885</v>
      </c>
      <c r="J550" s="41" t="n">
        <v>270.585</v>
      </c>
      <c r="K550" s="41" t="s">
        <v>1317</v>
      </c>
      <c r="L550" s="41" t="s">
        <v>1637</v>
      </c>
      <c r="M550" s="41" t="s">
        <v>97</v>
      </c>
      <c r="N550" s="41" t="n">
        <v>257.7</v>
      </c>
      <c r="O550" s="41" t="n">
        <v>4.761904762</v>
      </c>
      <c r="P550" s="41" t="n">
        <v>12.885</v>
      </c>
      <c r="Q550" s="41" t="n">
        <v>4.2</v>
      </c>
    </row>
    <row r="551" customFormat="false" ht="15" hidden="false" customHeight="false" outlineLevel="0" collapsed="false">
      <c r="A551" s="41" t="s">
        <v>729</v>
      </c>
      <c r="B551" s="41" t="s">
        <v>178</v>
      </c>
      <c r="C551" s="41" t="s">
        <v>85</v>
      </c>
      <c r="D551" s="41" t="s">
        <v>105</v>
      </c>
      <c r="E551" s="41" t="s">
        <v>102</v>
      </c>
      <c r="F551" s="41" t="s">
        <v>78</v>
      </c>
      <c r="G551" s="41" t="n">
        <v>66.06</v>
      </c>
      <c r="H551" s="41" t="n">
        <v>6</v>
      </c>
      <c r="I551" s="41" t="n">
        <v>19.818</v>
      </c>
      <c r="J551" s="41" t="n">
        <v>416.178</v>
      </c>
      <c r="K551" s="41" t="s">
        <v>1319</v>
      </c>
      <c r="L551" s="41" t="s">
        <v>1638</v>
      </c>
      <c r="M551" s="41" t="s">
        <v>97</v>
      </c>
      <c r="N551" s="41" t="n">
        <v>396.36</v>
      </c>
      <c r="O551" s="41" t="n">
        <v>4.761904762</v>
      </c>
      <c r="P551" s="41" t="n">
        <v>19.818</v>
      </c>
      <c r="Q551" s="41" t="n">
        <v>7.3</v>
      </c>
    </row>
    <row r="552" customFormat="false" ht="15" hidden="false" customHeight="false" outlineLevel="0" collapsed="false">
      <c r="A552" s="41" t="s">
        <v>730</v>
      </c>
      <c r="B552" s="41" t="s">
        <v>189</v>
      </c>
      <c r="C552" s="41" t="s">
        <v>86</v>
      </c>
      <c r="D552" s="41" t="s">
        <v>105</v>
      </c>
      <c r="E552" s="41" t="s">
        <v>103</v>
      </c>
      <c r="F552" s="41" t="s">
        <v>79</v>
      </c>
      <c r="G552" s="41" t="n">
        <v>57.27</v>
      </c>
      <c r="H552" s="41" t="n">
        <v>3</v>
      </c>
      <c r="I552" s="41" t="n">
        <v>8.5905</v>
      </c>
      <c r="J552" s="41" t="n">
        <v>180.4005</v>
      </c>
      <c r="K552" s="41" t="s">
        <v>1334</v>
      </c>
      <c r="L552" s="41" t="s">
        <v>1358</v>
      </c>
      <c r="M552" s="41" t="s">
        <v>98</v>
      </c>
      <c r="N552" s="41" t="n">
        <v>171.81</v>
      </c>
      <c r="O552" s="41" t="n">
        <v>4.761904762</v>
      </c>
      <c r="P552" s="41" t="n">
        <v>8.5905</v>
      </c>
      <c r="Q552" s="41" t="n">
        <v>6.5</v>
      </c>
    </row>
    <row r="553" customFormat="false" ht="15" hidden="false" customHeight="false" outlineLevel="0" collapsed="false">
      <c r="A553" s="41" t="s">
        <v>731</v>
      </c>
      <c r="B553" s="41" t="s">
        <v>189</v>
      </c>
      <c r="C553" s="41" t="s">
        <v>86</v>
      </c>
      <c r="D553" s="41" t="s">
        <v>105</v>
      </c>
      <c r="E553" s="41" t="s">
        <v>102</v>
      </c>
      <c r="F553" s="41" t="s">
        <v>79</v>
      </c>
      <c r="G553" s="41" t="n">
        <v>54.31</v>
      </c>
      <c r="H553" s="41" t="n">
        <v>9</v>
      </c>
      <c r="I553" s="41" t="n">
        <v>24.4395</v>
      </c>
      <c r="J553" s="41" t="n">
        <v>513.2295</v>
      </c>
      <c r="K553" s="41" t="s">
        <v>1386</v>
      </c>
      <c r="L553" s="41" t="s">
        <v>1639</v>
      </c>
      <c r="M553" s="41" t="s">
        <v>97</v>
      </c>
      <c r="N553" s="41" t="n">
        <v>488.79</v>
      </c>
      <c r="O553" s="41" t="n">
        <v>4.761904762</v>
      </c>
      <c r="P553" s="41" t="n">
        <v>24.4395</v>
      </c>
      <c r="Q553" s="41" t="n">
        <v>8.9</v>
      </c>
    </row>
    <row r="554" customFormat="false" ht="15" hidden="false" customHeight="false" outlineLevel="0" collapsed="false">
      <c r="A554" s="41" t="s">
        <v>732</v>
      </c>
      <c r="B554" s="41" t="s">
        <v>189</v>
      </c>
      <c r="C554" s="41" t="s">
        <v>86</v>
      </c>
      <c r="D554" s="41" t="s">
        <v>105</v>
      </c>
      <c r="E554" s="41" t="s">
        <v>102</v>
      </c>
      <c r="F554" s="41" t="s">
        <v>81</v>
      </c>
      <c r="G554" s="41" t="n">
        <v>58.24</v>
      </c>
      <c r="H554" s="41" t="n">
        <v>9</v>
      </c>
      <c r="I554" s="41" t="n">
        <v>26.208</v>
      </c>
      <c r="J554" s="41" t="n">
        <v>550.368</v>
      </c>
      <c r="K554" s="41" t="s">
        <v>1352</v>
      </c>
      <c r="L554" s="41" t="s">
        <v>1640</v>
      </c>
      <c r="M554" s="41" t="s">
        <v>97</v>
      </c>
      <c r="N554" s="41" t="n">
        <v>524.16</v>
      </c>
      <c r="O554" s="41" t="n">
        <v>4.761904762</v>
      </c>
      <c r="P554" s="41" t="n">
        <v>26.208</v>
      </c>
      <c r="Q554" s="41" t="n">
        <v>9.7</v>
      </c>
    </row>
    <row r="555" customFormat="false" ht="15" hidden="false" customHeight="false" outlineLevel="0" collapsed="false">
      <c r="A555" s="41" t="s">
        <v>733</v>
      </c>
      <c r="B555" s="41" t="s">
        <v>180</v>
      </c>
      <c r="C555" s="41" t="s">
        <v>87</v>
      </c>
      <c r="D555" s="41" t="s">
        <v>105</v>
      </c>
      <c r="E555" s="41" t="s">
        <v>103</v>
      </c>
      <c r="F555" s="41" t="s">
        <v>78</v>
      </c>
      <c r="G555" s="41" t="n">
        <v>22.21</v>
      </c>
      <c r="H555" s="41" t="n">
        <v>6</v>
      </c>
      <c r="I555" s="41" t="n">
        <v>6.663</v>
      </c>
      <c r="J555" s="41" t="n">
        <v>139.923</v>
      </c>
      <c r="K555" s="41" t="s">
        <v>1277</v>
      </c>
      <c r="L555" s="41" t="s">
        <v>1324</v>
      </c>
      <c r="M555" s="41" t="s">
        <v>99</v>
      </c>
      <c r="N555" s="41" t="n">
        <v>133.26</v>
      </c>
      <c r="O555" s="41" t="n">
        <v>4.761904762</v>
      </c>
      <c r="P555" s="41" t="n">
        <v>6.663</v>
      </c>
      <c r="Q555" s="41" t="n">
        <v>8.6</v>
      </c>
    </row>
    <row r="556" customFormat="false" ht="15" hidden="false" customHeight="false" outlineLevel="0" collapsed="false">
      <c r="A556" s="41" t="s">
        <v>734</v>
      </c>
      <c r="B556" s="41" t="s">
        <v>178</v>
      </c>
      <c r="C556" s="41" t="s">
        <v>85</v>
      </c>
      <c r="D556" s="41" t="s">
        <v>104</v>
      </c>
      <c r="E556" s="41" t="s">
        <v>103</v>
      </c>
      <c r="F556" s="41" t="s">
        <v>78</v>
      </c>
      <c r="G556" s="41" t="n">
        <v>19.32</v>
      </c>
      <c r="H556" s="41" t="n">
        <v>7</v>
      </c>
      <c r="I556" s="41" t="n">
        <v>6.762</v>
      </c>
      <c r="J556" s="41" t="n">
        <v>142.002</v>
      </c>
      <c r="K556" s="41" t="s">
        <v>1198</v>
      </c>
      <c r="L556" s="41" t="s">
        <v>1641</v>
      </c>
      <c r="M556" s="41" t="s">
        <v>97</v>
      </c>
      <c r="N556" s="41" t="n">
        <v>135.24</v>
      </c>
      <c r="O556" s="41" t="n">
        <v>4.761904762</v>
      </c>
      <c r="P556" s="41" t="n">
        <v>6.762</v>
      </c>
      <c r="Q556" s="41" t="n">
        <v>6.9</v>
      </c>
    </row>
    <row r="557" customFormat="false" ht="15" hidden="false" customHeight="false" outlineLevel="0" collapsed="false">
      <c r="A557" s="41" t="s">
        <v>735</v>
      </c>
      <c r="B557" s="41" t="s">
        <v>189</v>
      </c>
      <c r="C557" s="41" t="s">
        <v>86</v>
      </c>
      <c r="D557" s="41" t="s">
        <v>105</v>
      </c>
      <c r="E557" s="41" t="s">
        <v>103</v>
      </c>
      <c r="F557" s="41" t="s">
        <v>80</v>
      </c>
      <c r="G557" s="41" t="n">
        <v>37.48</v>
      </c>
      <c r="H557" s="41" t="n">
        <v>3</v>
      </c>
      <c r="I557" s="41" t="n">
        <v>5.622</v>
      </c>
      <c r="J557" s="41" t="n">
        <v>118.062</v>
      </c>
      <c r="K557" s="41" t="s">
        <v>1284</v>
      </c>
      <c r="L557" s="41" t="s">
        <v>1556</v>
      </c>
      <c r="M557" s="41" t="s">
        <v>99</v>
      </c>
      <c r="N557" s="41" t="n">
        <v>112.44</v>
      </c>
      <c r="O557" s="41" t="n">
        <v>4.761904762</v>
      </c>
      <c r="P557" s="41" t="n">
        <v>5.622</v>
      </c>
      <c r="Q557" s="41" t="n">
        <v>7.7</v>
      </c>
    </row>
    <row r="558" customFormat="false" ht="15" hidden="false" customHeight="false" outlineLevel="0" collapsed="false">
      <c r="A558" s="41" t="s">
        <v>736</v>
      </c>
      <c r="B558" s="41" t="s">
        <v>189</v>
      </c>
      <c r="C558" s="41" t="s">
        <v>86</v>
      </c>
      <c r="D558" s="41" t="s">
        <v>104</v>
      </c>
      <c r="E558" s="41" t="s">
        <v>102</v>
      </c>
      <c r="F558" s="41" t="s">
        <v>79</v>
      </c>
      <c r="G558" s="41" t="n">
        <v>72.04</v>
      </c>
      <c r="H558" s="41" t="n">
        <v>2</v>
      </c>
      <c r="I558" s="41" t="n">
        <v>7.204</v>
      </c>
      <c r="J558" s="41" t="n">
        <v>151.284</v>
      </c>
      <c r="K558" s="41" t="s">
        <v>1549</v>
      </c>
      <c r="L558" s="41" t="s">
        <v>1642</v>
      </c>
      <c r="M558" s="41" t="s">
        <v>97</v>
      </c>
      <c r="N558" s="41" t="n">
        <v>144.08</v>
      </c>
      <c r="O558" s="41" t="n">
        <v>4.761904762</v>
      </c>
      <c r="P558" s="41" t="n">
        <v>7.204</v>
      </c>
      <c r="Q558" s="41" t="n">
        <v>9.5</v>
      </c>
    </row>
    <row r="559" customFormat="false" ht="15" hidden="false" customHeight="false" outlineLevel="0" collapsed="false">
      <c r="A559" s="41" t="s">
        <v>737</v>
      </c>
      <c r="B559" s="41" t="s">
        <v>180</v>
      </c>
      <c r="C559" s="41" t="s">
        <v>87</v>
      </c>
      <c r="D559" s="41" t="s">
        <v>104</v>
      </c>
      <c r="E559" s="41" t="s">
        <v>102</v>
      </c>
      <c r="F559" s="41" t="s">
        <v>76</v>
      </c>
      <c r="G559" s="41" t="n">
        <v>98.52</v>
      </c>
      <c r="H559" s="41" t="n">
        <v>10</v>
      </c>
      <c r="I559" s="41" t="n">
        <v>49.26</v>
      </c>
      <c r="J559" s="41" t="n">
        <v>1034.46</v>
      </c>
      <c r="K559" s="41" t="s">
        <v>1404</v>
      </c>
      <c r="L559" s="41" t="s">
        <v>1430</v>
      </c>
      <c r="M559" s="41" t="s">
        <v>98</v>
      </c>
      <c r="N559" s="41" t="n">
        <v>985.2</v>
      </c>
      <c r="O559" s="41" t="n">
        <v>4.761904762</v>
      </c>
      <c r="P559" s="41" t="n">
        <v>49.26</v>
      </c>
      <c r="Q559" s="41" t="n">
        <v>4.5</v>
      </c>
    </row>
    <row r="560" customFormat="false" ht="15" hidden="false" customHeight="false" outlineLevel="0" collapsed="false">
      <c r="A560" s="41" t="s">
        <v>738</v>
      </c>
      <c r="B560" s="41" t="s">
        <v>178</v>
      </c>
      <c r="C560" s="41" t="s">
        <v>85</v>
      </c>
      <c r="D560" s="41" t="s">
        <v>104</v>
      </c>
      <c r="E560" s="41" t="s">
        <v>103</v>
      </c>
      <c r="F560" s="41" t="s">
        <v>76</v>
      </c>
      <c r="G560" s="41" t="n">
        <v>41.66</v>
      </c>
      <c r="H560" s="41" t="n">
        <v>6</v>
      </c>
      <c r="I560" s="41" t="n">
        <v>12.498</v>
      </c>
      <c r="J560" s="41" t="n">
        <v>262.458</v>
      </c>
      <c r="K560" s="41" t="s">
        <v>1326</v>
      </c>
      <c r="L560" s="41" t="s">
        <v>1406</v>
      </c>
      <c r="M560" s="41" t="s">
        <v>98</v>
      </c>
      <c r="N560" s="41" t="n">
        <v>249.96</v>
      </c>
      <c r="O560" s="41" t="n">
        <v>4.761904762</v>
      </c>
      <c r="P560" s="41" t="n">
        <v>12.498</v>
      </c>
      <c r="Q560" s="41" t="n">
        <v>5.6</v>
      </c>
    </row>
    <row r="561" customFormat="false" ht="15" hidden="false" customHeight="false" outlineLevel="0" collapsed="false">
      <c r="A561" s="41" t="s">
        <v>739</v>
      </c>
      <c r="B561" s="41" t="s">
        <v>178</v>
      </c>
      <c r="C561" s="41" t="s">
        <v>85</v>
      </c>
      <c r="D561" s="41" t="s">
        <v>104</v>
      </c>
      <c r="E561" s="41" t="s">
        <v>102</v>
      </c>
      <c r="F561" s="41" t="s">
        <v>80</v>
      </c>
      <c r="G561" s="41" t="n">
        <v>72.42</v>
      </c>
      <c r="H561" s="41" t="n">
        <v>3</v>
      </c>
      <c r="I561" s="41" t="n">
        <v>10.863</v>
      </c>
      <c r="J561" s="41" t="n">
        <v>228.123</v>
      </c>
      <c r="K561" s="41" t="s">
        <v>1216</v>
      </c>
      <c r="L561" s="41" t="s">
        <v>1607</v>
      </c>
      <c r="M561" s="41" t="s">
        <v>98</v>
      </c>
      <c r="N561" s="41" t="n">
        <v>217.26</v>
      </c>
      <c r="O561" s="41" t="n">
        <v>4.761904762</v>
      </c>
      <c r="P561" s="41" t="n">
        <v>10.863</v>
      </c>
      <c r="Q561" s="41" t="n">
        <v>8.2</v>
      </c>
    </row>
    <row r="562" customFormat="false" ht="15" hidden="false" customHeight="false" outlineLevel="0" collapsed="false">
      <c r="A562" s="41" t="s">
        <v>740</v>
      </c>
      <c r="B562" s="41" t="s">
        <v>189</v>
      </c>
      <c r="C562" s="41" t="s">
        <v>86</v>
      </c>
      <c r="D562" s="41" t="s">
        <v>105</v>
      </c>
      <c r="E562" s="41" t="s">
        <v>103</v>
      </c>
      <c r="F562" s="41" t="s">
        <v>78</v>
      </c>
      <c r="G562" s="41" t="n">
        <v>21.58</v>
      </c>
      <c r="H562" s="41" t="n">
        <v>9</v>
      </c>
      <c r="I562" s="41" t="n">
        <v>9.711</v>
      </c>
      <c r="J562" s="41" t="n">
        <v>203.931</v>
      </c>
      <c r="K562" s="41" t="s">
        <v>1494</v>
      </c>
      <c r="L562" s="41" t="s">
        <v>1643</v>
      </c>
      <c r="M562" s="41" t="s">
        <v>97</v>
      </c>
      <c r="N562" s="41" t="n">
        <v>194.22</v>
      </c>
      <c r="O562" s="41" t="n">
        <v>4.761904762</v>
      </c>
      <c r="P562" s="41" t="n">
        <v>9.711</v>
      </c>
      <c r="Q562" s="41" t="n">
        <v>7.3</v>
      </c>
    </row>
    <row r="563" customFormat="false" ht="15" hidden="false" customHeight="false" outlineLevel="0" collapsed="false">
      <c r="A563" s="41" t="s">
        <v>741</v>
      </c>
      <c r="B563" s="41" t="s">
        <v>180</v>
      </c>
      <c r="C563" s="41" t="s">
        <v>87</v>
      </c>
      <c r="D563" s="41" t="s">
        <v>105</v>
      </c>
      <c r="E563" s="41" t="s">
        <v>103</v>
      </c>
      <c r="F563" s="41" t="s">
        <v>76</v>
      </c>
      <c r="G563" s="41" t="n">
        <v>89.2</v>
      </c>
      <c r="H563" s="41" t="n">
        <v>10</v>
      </c>
      <c r="I563" s="41" t="n">
        <v>44.6</v>
      </c>
      <c r="J563" s="41" t="n">
        <v>936.6</v>
      </c>
      <c r="K563" s="41" t="s">
        <v>1305</v>
      </c>
      <c r="L563" s="41" t="s">
        <v>1595</v>
      </c>
      <c r="M563" s="41" t="s">
        <v>99</v>
      </c>
      <c r="N563" s="41" t="n">
        <v>892</v>
      </c>
      <c r="O563" s="41" t="n">
        <v>4.761904762</v>
      </c>
      <c r="P563" s="41" t="n">
        <v>44.6</v>
      </c>
      <c r="Q563" s="41" t="n">
        <v>4.4</v>
      </c>
    </row>
    <row r="564" customFormat="false" ht="15" hidden="false" customHeight="false" outlineLevel="0" collapsed="false">
      <c r="A564" s="41" t="s">
        <v>742</v>
      </c>
      <c r="B564" s="41" t="s">
        <v>189</v>
      </c>
      <c r="C564" s="41" t="s">
        <v>86</v>
      </c>
      <c r="D564" s="41" t="s">
        <v>105</v>
      </c>
      <c r="E564" s="41" t="s">
        <v>102</v>
      </c>
      <c r="F564" s="41" t="s">
        <v>78</v>
      </c>
      <c r="G564" s="41" t="n">
        <v>42.42</v>
      </c>
      <c r="H564" s="41" t="n">
        <v>8</v>
      </c>
      <c r="I564" s="41" t="n">
        <v>16.968</v>
      </c>
      <c r="J564" s="41" t="n">
        <v>356.328</v>
      </c>
      <c r="K564" s="41" t="s">
        <v>1404</v>
      </c>
      <c r="L564" s="41" t="s">
        <v>1398</v>
      </c>
      <c r="M564" s="41" t="s">
        <v>98</v>
      </c>
      <c r="N564" s="41" t="n">
        <v>339.36</v>
      </c>
      <c r="O564" s="41" t="n">
        <v>4.761904762</v>
      </c>
      <c r="P564" s="41" t="n">
        <v>16.968</v>
      </c>
      <c r="Q564" s="41" t="n">
        <v>5.7</v>
      </c>
    </row>
    <row r="565" customFormat="false" ht="15" hidden="false" customHeight="false" outlineLevel="0" collapsed="false">
      <c r="A565" s="41" t="s">
        <v>743</v>
      </c>
      <c r="B565" s="41" t="s">
        <v>178</v>
      </c>
      <c r="C565" s="41" t="s">
        <v>85</v>
      </c>
      <c r="D565" s="41" t="s">
        <v>104</v>
      </c>
      <c r="E565" s="41" t="s">
        <v>103</v>
      </c>
      <c r="F565" s="41" t="s">
        <v>78</v>
      </c>
      <c r="G565" s="41" t="n">
        <v>74.51</v>
      </c>
      <c r="H565" s="41" t="n">
        <v>6</v>
      </c>
      <c r="I565" s="41" t="n">
        <v>22.353</v>
      </c>
      <c r="J565" s="41" t="n">
        <v>469.413</v>
      </c>
      <c r="K565" s="41" t="s">
        <v>1446</v>
      </c>
      <c r="L565" s="41" t="s">
        <v>1533</v>
      </c>
      <c r="M565" s="41" t="s">
        <v>98</v>
      </c>
      <c r="N565" s="41" t="n">
        <v>447.06</v>
      </c>
      <c r="O565" s="41" t="n">
        <v>4.761904762</v>
      </c>
      <c r="P565" s="41" t="n">
        <v>22.353</v>
      </c>
      <c r="Q565" s="41" t="n">
        <v>5</v>
      </c>
    </row>
    <row r="566" customFormat="false" ht="15" hidden="false" customHeight="false" outlineLevel="0" collapsed="false">
      <c r="A566" s="41" t="s">
        <v>744</v>
      </c>
      <c r="B566" s="41" t="s">
        <v>189</v>
      </c>
      <c r="C566" s="41" t="s">
        <v>86</v>
      </c>
      <c r="D566" s="41" t="s">
        <v>105</v>
      </c>
      <c r="E566" s="41" t="s">
        <v>103</v>
      </c>
      <c r="F566" s="41" t="s">
        <v>79</v>
      </c>
      <c r="G566" s="41" t="n">
        <v>99.25</v>
      </c>
      <c r="H566" s="41" t="n">
        <v>2</v>
      </c>
      <c r="I566" s="41" t="n">
        <v>9.925</v>
      </c>
      <c r="J566" s="41" t="n">
        <v>208.425</v>
      </c>
      <c r="K566" s="41" t="s">
        <v>1446</v>
      </c>
      <c r="L566" s="41" t="s">
        <v>1545</v>
      </c>
      <c r="M566" s="41" t="s">
        <v>97</v>
      </c>
      <c r="N566" s="41" t="n">
        <v>198.5</v>
      </c>
      <c r="O566" s="41" t="n">
        <v>4.761904762</v>
      </c>
      <c r="P566" s="41" t="n">
        <v>9.925</v>
      </c>
      <c r="Q566" s="41" t="n">
        <v>9</v>
      </c>
    </row>
    <row r="567" customFormat="false" ht="15" hidden="false" customHeight="false" outlineLevel="0" collapsed="false">
      <c r="A567" s="41" t="s">
        <v>745</v>
      </c>
      <c r="B567" s="41" t="s">
        <v>178</v>
      </c>
      <c r="C567" s="41" t="s">
        <v>85</v>
      </c>
      <c r="D567" s="41" t="s">
        <v>105</v>
      </c>
      <c r="E567" s="41" t="s">
        <v>102</v>
      </c>
      <c r="F567" s="41" t="s">
        <v>76</v>
      </c>
      <c r="G567" s="41" t="n">
        <v>81.21</v>
      </c>
      <c r="H567" s="41" t="n">
        <v>10</v>
      </c>
      <c r="I567" s="41" t="n">
        <v>40.605</v>
      </c>
      <c r="J567" s="41" t="n">
        <v>852.705</v>
      </c>
      <c r="K567" s="41" t="s">
        <v>1256</v>
      </c>
      <c r="L567" s="41" t="s">
        <v>1255</v>
      </c>
      <c r="M567" s="41" t="s">
        <v>99</v>
      </c>
      <c r="N567" s="41" t="n">
        <v>812.1</v>
      </c>
      <c r="O567" s="41" t="n">
        <v>4.761904762</v>
      </c>
      <c r="P567" s="41" t="n">
        <v>40.605</v>
      </c>
      <c r="Q567" s="41" t="n">
        <v>6.3</v>
      </c>
    </row>
    <row r="568" customFormat="false" ht="15" hidden="false" customHeight="false" outlineLevel="0" collapsed="false">
      <c r="A568" s="41" t="s">
        <v>746</v>
      </c>
      <c r="B568" s="41" t="s">
        <v>180</v>
      </c>
      <c r="C568" s="41" t="s">
        <v>87</v>
      </c>
      <c r="D568" s="41" t="s">
        <v>105</v>
      </c>
      <c r="E568" s="41" t="s">
        <v>102</v>
      </c>
      <c r="F568" s="41" t="s">
        <v>77</v>
      </c>
      <c r="G568" s="41" t="n">
        <v>49.33</v>
      </c>
      <c r="H568" s="41" t="n">
        <v>10</v>
      </c>
      <c r="I568" s="41" t="n">
        <v>24.665</v>
      </c>
      <c r="J568" s="41" t="n">
        <v>517.965</v>
      </c>
      <c r="K568" s="41" t="s">
        <v>1272</v>
      </c>
      <c r="L568" s="41" t="s">
        <v>1297</v>
      </c>
      <c r="M568" s="41" t="s">
        <v>99</v>
      </c>
      <c r="N568" s="41" t="n">
        <v>493.3</v>
      </c>
      <c r="O568" s="41" t="n">
        <v>4.761904762</v>
      </c>
      <c r="P568" s="41" t="n">
        <v>24.665</v>
      </c>
      <c r="Q568" s="41" t="n">
        <v>9.4</v>
      </c>
    </row>
    <row r="569" customFormat="false" ht="15" hidden="false" customHeight="false" outlineLevel="0" collapsed="false">
      <c r="A569" s="41" t="s">
        <v>747</v>
      </c>
      <c r="B569" s="41" t="s">
        <v>178</v>
      </c>
      <c r="C569" s="41" t="s">
        <v>85</v>
      </c>
      <c r="D569" s="41" t="s">
        <v>105</v>
      </c>
      <c r="E569" s="41" t="s">
        <v>102</v>
      </c>
      <c r="F569" s="41" t="s">
        <v>79</v>
      </c>
      <c r="G569" s="41" t="n">
        <v>65.74</v>
      </c>
      <c r="H569" s="41" t="n">
        <v>9</v>
      </c>
      <c r="I569" s="41" t="n">
        <v>29.583</v>
      </c>
      <c r="J569" s="41" t="n">
        <v>621.243</v>
      </c>
      <c r="K569" s="41" t="s">
        <v>1222</v>
      </c>
      <c r="L569" s="41" t="s">
        <v>1624</v>
      </c>
      <c r="M569" s="41" t="s">
        <v>97</v>
      </c>
      <c r="N569" s="41" t="n">
        <v>591.66</v>
      </c>
      <c r="O569" s="41" t="n">
        <v>4.761904762</v>
      </c>
      <c r="P569" s="41" t="n">
        <v>29.583</v>
      </c>
      <c r="Q569" s="41" t="n">
        <v>7.7</v>
      </c>
    </row>
    <row r="570" customFormat="false" ht="15" hidden="false" customHeight="false" outlineLevel="0" collapsed="false">
      <c r="A570" s="41" t="s">
        <v>748</v>
      </c>
      <c r="B570" s="41" t="s">
        <v>189</v>
      </c>
      <c r="C570" s="41" t="s">
        <v>86</v>
      </c>
      <c r="D570" s="41" t="s">
        <v>105</v>
      </c>
      <c r="E570" s="41" t="s">
        <v>102</v>
      </c>
      <c r="F570" s="41" t="s">
        <v>79</v>
      </c>
      <c r="G570" s="41" t="n">
        <v>79.86</v>
      </c>
      <c r="H570" s="41" t="n">
        <v>7</v>
      </c>
      <c r="I570" s="41" t="n">
        <v>27.951</v>
      </c>
      <c r="J570" s="41" t="n">
        <v>586.971</v>
      </c>
      <c r="K570" s="41" t="s">
        <v>1204</v>
      </c>
      <c r="L570" s="41" t="s">
        <v>1644</v>
      </c>
      <c r="M570" s="41" t="s">
        <v>99</v>
      </c>
      <c r="N570" s="41" t="n">
        <v>559.02</v>
      </c>
      <c r="O570" s="41" t="n">
        <v>4.761904762</v>
      </c>
      <c r="P570" s="41" t="n">
        <v>27.951</v>
      </c>
      <c r="Q570" s="41" t="n">
        <v>5.5</v>
      </c>
    </row>
    <row r="571" customFormat="false" ht="15" hidden="false" customHeight="false" outlineLevel="0" collapsed="false">
      <c r="A571" s="41" t="s">
        <v>749</v>
      </c>
      <c r="B571" s="41" t="s">
        <v>180</v>
      </c>
      <c r="C571" s="41" t="s">
        <v>87</v>
      </c>
      <c r="D571" s="41" t="s">
        <v>105</v>
      </c>
      <c r="E571" s="41" t="s">
        <v>102</v>
      </c>
      <c r="F571" s="41" t="s">
        <v>77</v>
      </c>
      <c r="G571" s="41" t="n">
        <v>73.98</v>
      </c>
      <c r="H571" s="41" t="n">
        <v>7</v>
      </c>
      <c r="I571" s="41" t="n">
        <v>25.893</v>
      </c>
      <c r="J571" s="41" t="n">
        <v>543.753</v>
      </c>
      <c r="K571" s="41" t="s">
        <v>1233</v>
      </c>
      <c r="L571" s="41" t="s">
        <v>1330</v>
      </c>
      <c r="M571" s="41" t="s">
        <v>98</v>
      </c>
      <c r="N571" s="41" t="n">
        <v>517.86</v>
      </c>
      <c r="O571" s="41" t="n">
        <v>4.761904762</v>
      </c>
      <c r="P571" s="41" t="n">
        <v>25.893</v>
      </c>
      <c r="Q571" s="41" t="n">
        <v>4.1</v>
      </c>
    </row>
    <row r="572" customFormat="false" ht="15" hidden="false" customHeight="false" outlineLevel="0" collapsed="false">
      <c r="A572" s="41" t="s">
        <v>750</v>
      </c>
      <c r="B572" s="41" t="s">
        <v>189</v>
      </c>
      <c r="C572" s="41" t="s">
        <v>86</v>
      </c>
      <c r="D572" s="41" t="s">
        <v>104</v>
      </c>
      <c r="E572" s="41" t="s">
        <v>102</v>
      </c>
      <c r="F572" s="41" t="s">
        <v>80</v>
      </c>
      <c r="G572" s="41" t="n">
        <v>82.04</v>
      </c>
      <c r="H572" s="41" t="n">
        <v>5</v>
      </c>
      <c r="I572" s="41" t="n">
        <v>20.51</v>
      </c>
      <c r="J572" s="41" t="n">
        <v>430.71</v>
      </c>
      <c r="K572" s="41" t="s">
        <v>1200</v>
      </c>
      <c r="L572" s="41" t="s">
        <v>1632</v>
      </c>
      <c r="M572" s="41" t="s">
        <v>99</v>
      </c>
      <c r="N572" s="41" t="n">
        <v>410.2</v>
      </c>
      <c r="O572" s="41" t="n">
        <v>4.761904762</v>
      </c>
      <c r="P572" s="41" t="n">
        <v>20.51</v>
      </c>
      <c r="Q572" s="41" t="n">
        <v>7.6</v>
      </c>
    </row>
    <row r="573" customFormat="false" ht="15" hidden="false" customHeight="false" outlineLevel="0" collapsed="false">
      <c r="A573" s="41" t="s">
        <v>751</v>
      </c>
      <c r="B573" s="41" t="s">
        <v>189</v>
      </c>
      <c r="C573" s="41" t="s">
        <v>86</v>
      </c>
      <c r="D573" s="41" t="s">
        <v>104</v>
      </c>
      <c r="E573" s="41" t="s">
        <v>103</v>
      </c>
      <c r="F573" s="41" t="s">
        <v>77</v>
      </c>
      <c r="G573" s="41" t="n">
        <v>26.67</v>
      </c>
      <c r="H573" s="41" t="n">
        <v>10</v>
      </c>
      <c r="I573" s="41" t="n">
        <v>13.335</v>
      </c>
      <c r="J573" s="41" t="n">
        <v>280.035</v>
      </c>
      <c r="K573" s="41" t="s">
        <v>1392</v>
      </c>
      <c r="L573" s="41" t="s">
        <v>1611</v>
      </c>
      <c r="M573" s="41" t="s">
        <v>97</v>
      </c>
      <c r="N573" s="41" t="n">
        <v>266.7</v>
      </c>
      <c r="O573" s="41" t="n">
        <v>4.761904762</v>
      </c>
      <c r="P573" s="41" t="n">
        <v>13.335</v>
      </c>
      <c r="Q573" s="41" t="n">
        <v>8.6</v>
      </c>
    </row>
    <row r="574" customFormat="false" ht="15" hidden="false" customHeight="false" outlineLevel="0" collapsed="false">
      <c r="A574" s="41" t="s">
        <v>752</v>
      </c>
      <c r="B574" s="41" t="s">
        <v>178</v>
      </c>
      <c r="C574" s="41" t="s">
        <v>85</v>
      </c>
      <c r="D574" s="41" t="s">
        <v>104</v>
      </c>
      <c r="E574" s="41" t="s">
        <v>103</v>
      </c>
      <c r="F574" s="41" t="s">
        <v>76</v>
      </c>
      <c r="G574" s="41" t="n">
        <v>10.13</v>
      </c>
      <c r="H574" s="41" t="n">
        <v>7</v>
      </c>
      <c r="I574" s="41" t="n">
        <v>3.5455</v>
      </c>
      <c r="J574" s="41" t="n">
        <v>74.4555</v>
      </c>
      <c r="K574" s="41" t="s">
        <v>1238</v>
      </c>
      <c r="L574" s="41" t="s">
        <v>1594</v>
      </c>
      <c r="M574" s="41" t="s">
        <v>98</v>
      </c>
      <c r="N574" s="41" t="n">
        <v>70.91</v>
      </c>
      <c r="O574" s="41" t="n">
        <v>4.761904762</v>
      </c>
      <c r="P574" s="41" t="n">
        <v>3.5455</v>
      </c>
      <c r="Q574" s="41" t="n">
        <v>8.3</v>
      </c>
    </row>
    <row r="575" customFormat="false" ht="15" hidden="false" customHeight="false" outlineLevel="0" collapsed="false">
      <c r="A575" s="41" t="s">
        <v>753</v>
      </c>
      <c r="B575" s="41" t="s">
        <v>189</v>
      </c>
      <c r="C575" s="41" t="s">
        <v>86</v>
      </c>
      <c r="D575" s="41" t="s">
        <v>105</v>
      </c>
      <c r="E575" s="41" t="s">
        <v>103</v>
      </c>
      <c r="F575" s="41" t="s">
        <v>76</v>
      </c>
      <c r="G575" s="41" t="n">
        <v>72.39</v>
      </c>
      <c r="H575" s="41" t="n">
        <v>2</v>
      </c>
      <c r="I575" s="41" t="n">
        <v>7.239</v>
      </c>
      <c r="J575" s="41" t="n">
        <v>152.019</v>
      </c>
      <c r="K575" s="41" t="s">
        <v>1309</v>
      </c>
      <c r="L575" s="41" t="s">
        <v>1645</v>
      </c>
      <c r="M575" s="41" t="s">
        <v>99</v>
      </c>
      <c r="N575" s="41" t="n">
        <v>144.78</v>
      </c>
      <c r="O575" s="41" t="n">
        <v>4.761904762</v>
      </c>
      <c r="P575" s="41" t="n">
        <v>7.239</v>
      </c>
      <c r="Q575" s="41" t="n">
        <v>8.1</v>
      </c>
    </row>
    <row r="576" customFormat="false" ht="15" hidden="false" customHeight="false" outlineLevel="0" collapsed="false">
      <c r="A576" s="41" t="s">
        <v>754</v>
      </c>
      <c r="B576" s="41" t="s">
        <v>178</v>
      </c>
      <c r="C576" s="41" t="s">
        <v>85</v>
      </c>
      <c r="D576" s="41" t="s">
        <v>105</v>
      </c>
      <c r="E576" s="41" t="s">
        <v>103</v>
      </c>
      <c r="F576" s="41" t="s">
        <v>77</v>
      </c>
      <c r="G576" s="41" t="n">
        <v>85.91</v>
      </c>
      <c r="H576" s="41" t="n">
        <v>5</v>
      </c>
      <c r="I576" s="41" t="n">
        <v>21.4775</v>
      </c>
      <c r="J576" s="41" t="n">
        <v>451.0275</v>
      </c>
      <c r="K576" s="41" t="s">
        <v>1235</v>
      </c>
      <c r="L576" s="41" t="s">
        <v>1646</v>
      </c>
      <c r="M576" s="41" t="s">
        <v>99</v>
      </c>
      <c r="N576" s="41" t="n">
        <v>429.55</v>
      </c>
      <c r="O576" s="41" t="n">
        <v>4.761904762</v>
      </c>
      <c r="P576" s="41" t="n">
        <v>21.4775</v>
      </c>
      <c r="Q576" s="41" t="n">
        <v>8.6</v>
      </c>
    </row>
    <row r="577" customFormat="false" ht="15" hidden="false" customHeight="false" outlineLevel="0" collapsed="false">
      <c r="A577" s="41" t="s">
        <v>755</v>
      </c>
      <c r="B577" s="41" t="s">
        <v>189</v>
      </c>
      <c r="C577" s="41" t="s">
        <v>86</v>
      </c>
      <c r="D577" s="41" t="s">
        <v>104</v>
      </c>
      <c r="E577" s="41" t="s">
        <v>103</v>
      </c>
      <c r="F577" s="41" t="s">
        <v>79</v>
      </c>
      <c r="G577" s="41" t="n">
        <v>81.31</v>
      </c>
      <c r="H577" s="41" t="n">
        <v>7</v>
      </c>
      <c r="I577" s="41" t="n">
        <v>28.4585</v>
      </c>
      <c r="J577" s="41" t="n">
        <v>597.6285</v>
      </c>
      <c r="K577" s="41" t="s">
        <v>1339</v>
      </c>
      <c r="L577" s="41" t="s">
        <v>1620</v>
      </c>
      <c r="M577" s="41" t="s">
        <v>98</v>
      </c>
      <c r="N577" s="41" t="n">
        <v>569.17</v>
      </c>
      <c r="O577" s="41" t="n">
        <v>4.761904762</v>
      </c>
      <c r="P577" s="41" t="n">
        <v>28.4585</v>
      </c>
      <c r="Q577" s="41" t="n">
        <v>6.3</v>
      </c>
    </row>
    <row r="578" customFormat="false" ht="15" hidden="false" customHeight="false" outlineLevel="0" collapsed="false">
      <c r="A578" s="41" t="s">
        <v>756</v>
      </c>
      <c r="B578" s="41" t="s">
        <v>189</v>
      </c>
      <c r="C578" s="41" t="s">
        <v>86</v>
      </c>
      <c r="D578" s="41" t="s">
        <v>105</v>
      </c>
      <c r="E578" s="41" t="s">
        <v>103</v>
      </c>
      <c r="F578" s="41" t="s">
        <v>76</v>
      </c>
      <c r="G578" s="41" t="n">
        <v>60.3</v>
      </c>
      <c r="H578" s="41" t="n">
        <v>4</v>
      </c>
      <c r="I578" s="41" t="n">
        <v>12.06</v>
      </c>
      <c r="J578" s="41" t="n">
        <v>253.26</v>
      </c>
      <c r="K578" s="41" t="s">
        <v>1206</v>
      </c>
      <c r="L578" s="41" t="s">
        <v>1633</v>
      </c>
      <c r="M578" s="41" t="s">
        <v>97</v>
      </c>
      <c r="N578" s="41" t="n">
        <v>241.2</v>
      </c>
      <c r="O578" s="41" t="n">
        <v>4.761904762</v>
      </c>
      <c r="P578" s="41" t="n">
        <v>12.06</v>
      </c>
      <c r="Q578" s="41" t="n">
        <v>5.8</v>
      </c>
    </row>
    <row r="579" customFormat="false" ht="15" hidden="false" customHeight="false" outlineLevel="0" collapsed="false">
      <c r="A579" s="41" t="s">
        <v>757</v>
      </c>
      <c r="B579" s="41" t="s">
        <v>180</v>
      </c>
      <c r="C579" s="41" t="s">
        <v>87</v>
      </c>
      <c r="D579" s="41" t="s">
        <v>105</v>
      </c>
      <c r="E579" s="41" t="s">
        <v>103</v>
      </c>
      <c r="F579" s="41" t="s">
        <v>76</v>
      </c>
      <c r="G579" s="41" t="n">
        <v>31.77</v>
      </c>
      <c r="H579" s="41" t="n">
        <v>4</v>
      </c>
      <c r="I579" s="41" t="n">
        <v>6.354</v>
      </c>
      <c r="J579" s="41" t="n">
        <v>133.434</v>
      </c>
      <c r="K579" s="41" t="s">
        <v>1438</v>
      </c>
      <c r="L579" s="41" t="s">
        <v>1400</v>
      </c>
      <c r="M579" s="41" t="s">
        <v>98</v>
      </c>
      <c r="N579" s="41" t="n">
        <v>127.08</v>
      </c>
      <c r="O579" s="41" t="n">
        <v>4.761904762</v>
      </c>
      <c r="P579" s="41" t="n">
        <v>6.354</v>
      </c>
      <c r="Q579" s="41" t="n">
        <v>6.2</v>
      </c>
    </row>
    <row r="580" customFormat="false" ht="15" hidden="false" customHeight="false" outlineLevel="0" collapsed="false">
      <c r="A580" s="41" t="s">
        <v>758</v>
      </c>
      <c r="B580" s="41" t="s">
        <v>178</v>
      </c>
      <c r="C580" s="41" t="s">
        <v>85</v>
      </c>
      <c r="D580" s="41" t="s">
        <v>105</v>
      </c>
      <c r="E580" s="41" t="s">
        <v>102</v>
      </c>
      <c r="F580" s="41" t="s">
        <v>81</v>
      </c>
      <c r="G580" s="41" t="n">
        <v>64.27</v>
      </c>
      <c r="H580" s="41" t="n">
        <v>4</v>
      </c>
      <c r="I580" s="41" t="n">
        <v>12.854</v>
      </c>
      <c r="J580" s="41" t="n">
        <v>269.934</v>
      </c>
      <c r="K580" s="41" t="s">
        <v>1338</v>
      </c>
      <c r="L580" s="41" t="s">
        <v>1647</v>
      </c>
      <c r="M580" s="41" t="s">
        <v>97</v>
      </c>
      <c r="N580" s="41" t="n">
        <v>257.08</v>
      </c>
      <c r="O580" s="41" t="n">
        <v>4.761904762</v>
      </c>
      <c r="P580" s="41" t="n">
        <v>12.854</v>
      </c>
      <c r="Q580" s="41" t="n">
        <v>7.7</v>
      </c>
    </row>
    <row r="581" customFormat="false" ht="15" hidden="false" customHeight="false" outlineLevel="0" collapsed="false">
      <c r="A581" s="41" t="s">
        <v>759</v>
      </c>
      <c r="B581" s="41" t="s">
        <v>189</v>
      </c>
      <c r="C581" s="41" t="s">
        <v>86</v>
      </c>
      <c r="D581" s="41" t="s">
        <v>105</v>
      </c>
      <c r="E581" s="41" t="s">
        <v>103</v>
      </c>
      <c r="F581" s="41" t="s">
        <v>81</v>
      </c>
      <c r="G581" s="41" t="n">
        <v>69.51</v>
      </c>
      <c r="H581" s="41" t="n">
        <v>2</v>
      </c>
      <c r="I581" s="41" t="n">
        <v>6.951</v>
      </c>
      <c r="J581" s="41" t="n">
        <v>145.971</v>
      </c>
      <c r="K581" s="41" t="s">
        <v>1339</v>
      </c>
      <c r="L581" s="41" t="s">
        <v>1648</v>
      </c>
      <c r="M581" s="41" t="s">
        <v>98</v>
      </c>
      <c r="N581" s="41" t="n">
        <v>139.02</v>
      </c>
      <c r="O581" s="41" t="n">
        <v>4.761904762</v>
      </c>
      <c r="P581" s="41" t="n">
        <v>6.951</v>
      </c>
      <c r="Q581" s="41" t="n">
        <v>8.1</v>
      </c>
    </row>
    <row r="582" customFormat="false" ht="15" hidden="false" customHeight="false" outlineLevel="0" collapsed="false">
      <c r="A582" s="41" t="s">
        <v>760</v>
      </c>
      <c r="B582" s="41" t="s">
        <v>180</v>
      </c>
      <c r="C582" s="41" t="s">
        <v>87</v>
      </c>
      <c r="D582" s="41" t="s">
        <v>105</v>
      </c>
      <c r="E582" s="41" t="s">
        <v>103</v>
      </c>
      <c r="F582" s="41" t="s">
        <v>76</v>
      </c>
      <c r="G582" s="41" t="n">
        <v>27.22</v>
      </c>
      <c r="H582" s="41" t="n">
        <v>3</v>
      </c>
      <c r="I582" s="41" t="n">
        <v>4.083</v>
      </c>
      <c r="J582" s="41" t="n">
        <v>85.743</v>
      </c>
      <c r="K582" s="41" t="s">
        <v>1249</v>
      </c>
      <c r="L582" s="41" t="s">
        <v>1649</v>
      </c>
      <c r="M582" s="41" t="s">
        <v>97</v>
      </c>
      <c r="N582" s="41" t="n">
        <v>81.66</v>
      </c>
      <c r="O582" s="41" t="n">
        <v>4.761904762</v>
      </c>
      <c r="P582" s="41" t="n">
        <v>4.083</v>
      </c>
      <c r="Q582" s="41" t="n">
        <v>7.3</v>
      </c>
    </row>
    <row r="583" customFormat="false" ht="15" hidden="false" customHeight="false" outlineLevel="0" collapsed="false">
      <c r="A583" s="41" t="s">
        <v>761</v>
      </c>
      <c r="B583" s="41" t="s">
        <v>178</v>
      </c>
      <c r="C583" s="41" t="s">
        <v>85</v>
      </c>
      <c r="D583" s="41" t="s">
        <v>104</v>
      </c>
      <c r="E583" s="41" t="s">
        <v>102</v>
      </c>
      <c r="F583" s="41" t="s">
        <v>81</v>
      </c>
      <c r="G583" s="41" t="n">
        <v>77.68</v>
      </c>
      <c r="H583" s="41" t="n">
        <v>4</v>
      </c>
      <c r="I583" s="41" t="n">
        <v>15.536</v>
      </c>
      <c r="J583" s="41" t="n">
        <v>326.256</v>
      </c>
      <c r="K583" s="41" t="s">
        <v>1341</v>
      </c>
      <c r="L583" s="41" t="s">
        <v>1329</v>
      </c>
      <c r="M583" s="41" t="s">
        <v>97</v>
      </c>
      <c r="N583" s="41" t="n">
        <v>310.72</v>
      </c>
      <c r="O583" s="41" t="n">
        <v>4.761904762</v>
      </c>
      <c r="P583" s="41" t="n">
        <v>15.536</v>
      </c>
      <c r="Q583" s="41" t="n">
        <v>8.4</v>
      </c>
    </row>
    <row r="584" customFormat="false" ht="15" hidden="false" customHeight="false" outlineLevel="0" collapsed="false">
      <c r="A584" s="41" t="s">
        <v>762</v>
      </c>
      <c r="B584" s="41" t="s">
        <v>180</v>
      </c>
      <c r="C584" s="41" t="s">
        <v>87</v>
      </c>
      <c r="D584" s="41" t="s">
        <v>104</v>
      </c>
      <c r="E584" s="41" t="s">
        <v>102</v>
      </c>
      <c r="F584" s="41" t="s">
        <v>79</v>
      </c>
      <c r="G584" s="41" t="n">
        <v>92.98</v>
      </c>
      <c r="H584" s="41" t="n">
        <v>2</v>
      </c>
      <c r="I584" s="41" t="n">
        <v>9.298</v>
      </c>
      <c r="J584" s="41" t="n">
        <v>195.258</v>
      </c>
      <c r="K584" s="41" t="s">
        <v>1418</v>
      </c>
      <c r="L584" s="41" t="s">
        <v>1650</v>
      </c>
      <c r="M584" s="41" t="s">
        <v>99</v>
      </c>
      <c r="N584" s="41" t="n">
        <v>185.96</v>
      </c>
      <c r="O584" s="41" t="n">
        <v>4.761904762</v>
      </c>
      <c r="P584" s="41" t="n">
        <v>9.298</v>
      </c>
      <c r="Q584" s="41" t="n">
        <v>8</v>
      </c>
    </row>
    <row r="585" customFormat="false" ht="15" hidden="false" customHeight="false" outlineLevel="0" collapsed="false">
      <c r="A585" s="41" t="s">
        <v>763</v>
      </c>
      <c r="B585" s="41" t="s">
        <v>189</v>
      </c>
      <c r="C585" s="41" t="s">
        <v>86</v>
      </c>
      <c r="D585" s="41" t="s">
        <v>104</v>
      </c>
      <c r="E585" s="41" t="s">
        <v>102</v>
      </c>
      <c r="F585" s="41" t="s">
        <v>79</v>
      </c>
      <c r="G585" s="41" t="n">
        <v>18.08</v>
      </c>
      <c r="H585" s="41" t="n">
        <v>4</v>
      </c>
      <c r="I585" s="41" t="n">
        <v>3.616</v>
      </c>
      <c r="J585" s="41" t="n">
        <v>75.936</v>
      </c>
      <c r="K585" s="41" t="s">
        <v>1438</v>
      </c>
      <c r="L585" s="41" t="s">
        <v>1433</v>
      </c>
      <c r="M585" s="41" t="s">
        <v>99</v>
      </c>
      <c r="N585" s="41" t="n">
        <v>72.32</v>
      </c>
      <c r="O585" s="41" t="n">
        <v>4.761904762</v>
      </c>
      <c r="P585" s="41" t="n">
        <v>3.616</v>
      </c>
      <c r="Q585" s="41" t="n">
        <v>9.5</v>
      </c>
    </row>
    <row r="586" customFormat="false" ht="15" hidden="false" customHeight="false" outlineLevel="0" collapsed="false">
      <c r="A586" s="41" t="s">
        <v>764</v>
      </c>
      <c r="B586" s="41" t="s">
        <v>189</v>
      </c>
      <c r="C586" s="41" t="s">
        <v>86</v>
      </c>
      <c r="D586" s="41" t="s">
        <v>105</v>
      </c>
      <c r="E586" s="41" t="s">
        <v>103</v>
      </c>
      <c r="F586" s="41" t="s">
        <v>77</v>
      </c>
      <c r="G586" s="41" t="n">
        <v>63.06</v>
      </c>
      <c r="H586" s="41" t="n">
        <v>3</v>
      </c>
      <c r="I586" s="41" t="n">
        <v>9.459</v>
      </c>
      <c r="J586" s="41" t="n">
        <v>198.639</v>
      </c>
      <c r="K586" s="41" t="s">
        <v>1356</v>
      </c>
      <c r="L586" s="41" t="s">
        <v>1651</v>
      </c>
      <c r="M586" s="41" t="s">
        <v>98</v>
      </c>
      <c r="N586" s="41" t="n">
        <v>189.18</v>
      </c>
      <c r="O586" s="41" t="n">
        <v>4.761904762</v>
      </c>
      <c r="P586" s="41" t="n">
        <v>9.459</v>
      </c>
      <c r="Q586" s="41" t="n">
        <v>7</v>
      </c>
    </row>
    <row r="587" customFormat="false" ht="15" hidden="false" customHeight="false" outlineLevel="0" collapsed="false">
      <c r="A587" s="41" t="s">
        <v>765</v>
      </c>
      <c r="B587" s="41" t="s">
        <v>178</v>
      </c>
      <c r="C587" s="41" t="s">
        <v>85</v>
      </c>
      <c r="D587" s="41" t="s">
        <v>105</v>
      </c>
      <c r="E587" s="41" t="s">
        <v>103</v>
      </c>
      <c r="F587" s="41" t="s">
        <v>81</v>
      </c>
      <c r="G587" s="41" t="n">
        <v>51.71</v>
      </c>
      <c r="H587" s="41" t="n">
        <v>4</v>
      </c>
      <c r="I587" s="41" t="n">
        <v>10.342</v>
      </c>
      <c r="J587" s="41" t="n">
        <v>217.182</v>
      </c>
      <c r="K587" s="41" t="s">
        <v>1210</v>
      </c>
      <c r="L587" s="41" t="s">
        <v>1589</v>
      </c>
      <c r="M587" s="41" t="s">
        <v>99</v>
      </c>
      <c r="N587" s="41" t="n">
        <v>206.84</v>
      </c>
      <c r="O587" s="41" t="n">
        <v>4.761904762</v>
      </c>
      <c r="P587" s="41" t="n">
        <v>10.342</v>
      </c>
      <c r="Q587" s="41" t="n">
        <v>9.8</v>
      </c>
    </row>
    <row r="588" customFormat="false" ht="15" hidden="false" customHeight="false" outlineLevel="0" collapsed="false">
      <c r="A588" s="41" t="s">
        <v>766</v>
      </c>
      <c r="B588" s="41" t="s">
        <v>178</v>
      </c>
      <c r="C588" s="41" t="s">
        <v>85</v>
      </c>
      <c r="D588" s="41" t="s">
        <v>105</v>
      </c>
      <c r="E588" s="41" t="s">
        <v>102</v>
      </c>
      <c r="F588" s="41" t="s">
        <v>76</v>
      </c>
      <c r="G588" s="41" t="n">
        <v>52.34</v>
      </c>
      <c r="H588" s="41" t="n">
        <v>3</v>
      </c>
      <c r="I588" s="41" t="n">
        <v>7.851</v>
      </c>
      <c r="J588" s="41" t="n">
        <v>164.871</v>
      </c>
      <c r="K588" s="41" t="s">
        <v>1281</v>
      </c>
      <c r="L588" s="41" t="s">
        <v>1652</v>
      </c>
      <c r="M588" s="41" t="s">
        <v>97</v>
      </c>
      <c r="N588" s="41" t="n">
        <v>157.02</v>
      </c>
      <c r="O588" s="41" t="n">
        <v>4.761904762</v>
      </c>
      <c r="P588" s="41" t="n">
        <v>7.851</v>
      </c>
      <c r="Q588" s="41" t="n">
        <v>9.2</v>
      </c>
    </row>
    <row r="589" customFormat="false" ht="15" hidden="false" customHeight="false" outlineLevel="0" collapsed="false">
      <c r="A589" s="41" t="s">
        <v>767</v>
      </c>
      <c r="B589" s="41" t="s">
        <v>178</v>
      </c>
      <c r="C589" s="41" t="s">
        <v>85</v>
      </c>
      <c r="D589" s="41" t="s">
        <v>105</v>
      </c>
      <c r="E589" s="41" t="s">
        <v>102</v>
      </c>
      <c r="F589" s="41" t="s">
        <v>77</v>
      </c>
      <c r="G589" s="41" t="n">
        <v>43.06</v>
      </c>
      <c r="H589" s="41" t="n">
        <v>5</v>
      </c>
      <c r="I589" s="41" t="n">
        <v>10.765</v>
      </c>
      <c r="J589" s="41" t="n">
        <v>226.065</v>
      </c>
      <c r="K589" s="41" t="s">
        <v>1549</v>
      </c>
      <c r="L589" s="41" t="s">
        <v>1653</v>
      </c>
      <c r="M589" s="41" t="s">
        <v>98</v>
      </c>
      <c r="N589" s="41" t="n">
        <v>215.3</v>
      </c>
      <c r="O589" s="41" t="n">
        <v>4.761904762</v>
      </c>
      <c r="P589" s="41" t="n">
        <v>10.765</v>
      </c>
      <c r="Q589" s="41" t="n">
        <v>7.7</v>
      </c>
    </row>
    <row r="590" customFormat="false" ht="15" hidden="false" customHeight="false" outlineLevel="0" collapsed="false">
      <c r="A590" s="41" t="s">
        <v>768</v>
      </c>
      <c r="B590" s="41" t="s">
        <v>180</v>
      </c>
      <c r="C590" s="41" t="s">
        <v>87</v>
      </c>
      <c r="D590" s="41" t="s">
        <v>105</v>
      </c>
      <c r="E590" s="41" t="s">
        <v>103</v>
      </c>
      <c r="F590" s="41" t="s">
        <v>79</v>
      </c>
      <c r="G590" s="41" t="n">
        <v>59.61</v>
      </c>
      <c r="H590" s="41" t="n">
        <v>10</v>
      </c>
      <c r="I590" s="41" t="n">
        <v>29.805</v>
      </c>
      <c r="J590" s="41" t="n">
        <v>625.905</v>
      </c>
      <c r="K590" s="41" t="s">
        <v>1494</v>
      </c>
      <c r="L590" s="41" t="s">
        <v>1654</v>
      </c>
      <c r="M590" s="41" t="s">
        <v>97</v>
      </c>
      <c r="N590" s="41" t="n">
        <v>596.1</v>
      </c>
      <c r="O590" s="41" t="n">
        <v>4.761904762</v>
      </c>
      <c r="P590" s="41" t="n">
        <v>29.805</v>
      </c>
      <c r="Q590" s="41" t="n">
        <v>5.3</v>
      </c>
    </row>
    <row r="591" customFormat="false" ht="15" hidden="false" customHeight="false" outlineLevel="0" collapsed="false">
      <c r="A591" s="41" t="s">
        <v>769</v>
      </c>
      <c r="B591" s="41" t="s">
        <v>178</v>
      </c>
      <c r="C591" s="41" t="s">
        <v>85</v>
      </c>
      <c r="D591" s="41" t="s">
        <v>105</v>
      </c>
      <c r="E591" s="41" t="s">
        <v>103</v>
      </c>
      <c r="F591" s="41" t="s">
        <v>81</v>
      </c>
      <c r="G591" s="41" t="n">
        <v>14.62</v>
      </c>
      <c r="H591" s="41" t="n">
        <v>5</v>
      </c>
      <c r="I591" s="41" t="n">
        <v>3.655</v>
      </c>
      <c r="J591" s="41" t="n">
        <v>76.755</v>
      </c>
      <c r="K591" s="41" t="s">
        <v>1261</v>
      </c>
      <c r="L591" s="41" t="s">
        <v>1655</v>
      </c>
      <c r="M591" s="41" t="s">
        <v>97</v>
      </c>
      <c r="N591" s="41" t="n">
        <v>73.1</v>
      </c>
      <c r="O591" s="41" t="n">
        <v>4.761904762</v>
      </c>
      <c r="P591" s="41" t="n">
        <v>3.655</v>
      </c>
      <c r="Q591" s="41" t="n">
        <v>4.4</v>
      </c>
    </row>
    <row r="592" customFormat="false" ht="15" hidden="false" customHeight="false" outlineLevel="0" collapsed="false">
      <c r="A592" s="41" t="s">
        <v>770</v>
      </c>
      <c r="B592" s="41" t="s">
        <v>180</v>
      </c>
      <c r="C592" s="41" t="s">
        <v>87</v>
      </c>
      <c r="D592" s="41" t="s">
        <v>104</v>
      </c>
      <c r="E592" s="41" t="s">
        <v>103</v>
      </c>
      <c r="F592" s="41" t="s">
        <v>81</v>
      </c>
      <c r="G592" s="41" t="n">
        <v>46.53</v>
      </c>
      <c r="H592" s="41" t="n">
        <v>6</v>
      </c>
      <c r="I592" s="41" t="n">
        <v>13.959</v>
      </c>
      <c r="J592" s="41" t="n">
        <v>293.139</v>
      </c>
      <c r="K592" s="41" t="s">
        <v>1192</v>
      </c>
      <c r="L592" s="41" t="s">
        <v>1468</v>
      </c>
      <c r="M592" s="41" t="s">
        <v>99</v>
      </c>
      <c r="N592" s="41" t="n">
        <v>279.18</v>
      </c>
      <c r="O592" s="41" t="n">
        <v>4.761904762</v>
      </c>
      <c r="P592" s="41" t="n">
        <v>13.959</v>
      </c>
      <c r="Q592" s="41" t="n">
        <v>4.3</v>
      </c>
    </row>
    <row r="593" customFormat="false" ht="15" hidden="false" customHeight="false" outlineLevel="0" collapsed="false">
      <c r="A593" s="41" t="s">
        <v>771</v>
      </c>
      <c r="B593" s="41" t="s">
        <v>180</v>
      </c>
      <c r="C593" s="41" t="s">
        <v>87</v>
      </c>
      <c r="D593" s="41" t="s">
        <v>104</v>
      </c>
      <c r="E593" s="41" t="s">
        <v>102</v>
      </c>
      <c r="F593" s="41" t="s">
        <v>80</v>
      </c>
      <c r="G593" s="41" t="n">
        <v>24.24</v>
      </c>
      <c r="H593" s="41" t="n">
        <v>7</v>
      </c>
      <c r="I593" s="41" t="n">
        <v>8.484</v>
      </c>
      <c r="J593" s="41" t="n">
        <v>178.164</v>
      </c>
      <c r="K593" s="41" t="s">
        <v>1194</v>
      </c>
      <c r="L593" s="41" t="s">
        <v>1443</v>
      </c>
      <c r="M593" s="41" t="s">
        <v>98</v>
      </c>
      <c r="N593" s="41" t="n">
        <v>169.68</v>
      </c>
      <c r="O593" s="41" t="n">
        <v>4.761904762</v>
      </c>
      <c r="P593" s="41" t="n">
        <v>8.484</v>
      </c>
      <c r="Q593" s="41" t="n">
        <v>9.4</v>
      </c>
    </row>
    <row r="594" customFormat="false" ht="15" hidden="false" customHeight="false" outlineLevel="0" collapsed="false">
      <c r="A594" s="41" t="s">
        <v>772</v>
      </c>
      <c r="B594" s="41" t="s">
        <v>178</v>
      </c>
      <c r="C594" s="41" t="s">
        <v>85</v>
      </c>
      <c r="D594" s="41" t="s">
        <v>104</v>
      </c>
      <c r="E594" s="41" t="s">
        <v>102</v>
      </c>
      <c r="F594" s="41" t="s">
        <v>77</v>
      </c>
      <c r="G594" s="41" t="n">
        <v>45.58</v>
      </c>
      <c r="H594" s="41" t="n">
        <v>1</v>
      </c>
      <c r="I594" s="41" t="n">
        <v>2.279</v>
      </c>
      <c r="J594" s="41" t="n">
        <v>47.859</v>
      </c>
      <c r="K594" s="41" t="s">
        <v>1214</v>
      </c>
      <c r="L594" s="41" t="s">
        <v>1656</v>
      </c>
      <c r="M594" s="41" t="s">
        <v>97</v>
      </c>
      <c r="N594" s="41" t="n">
        <v>45.58</v>
      </c>
      <c r="O594" s="41" t="n">
        <v>4.761904762</v>
      </c>
      <c r="P594" s="41" t="n">
        <v>2.279</v>
      </c>
      <c r="Q594" s="41" t="n">
        <v>9.8</v>
      </c>
    </row>
    <row r="595" customFormat="false" ht="15" hidden="false" customHeight="false" outlineLevel="0" collapsed="false">
      <c r="A595" s="41" t="s">
        <v>773</v>
      </c>
      <c r="B595" s="41" t="s">
        <v>178</v>
      </c>
      <c r="C595" s="41" t="s">
        <v>85</v>
      </c>
      <c r="D595" s="41" t="s">
        <v>104</v>
      </c>
      <c r="E595" s="41" t="s">
        <v>102</v>
      </c>
      <c r="F595" s="41" t="s">
        <v>77</v>
      </c>
      <c r="G595" s="41" t="n">
        <v>75.2</v>
      </c>
      <c r="H595" s="41" t="n">
        <v>3</v>
      </c>
      <c r="I595" s="41" t="n">
        <v>11.28</v>
      </c>
      <c r="J595" s="41" t="n">
        <v>236.88</v>
      </c>
      <c r="K595" s="41" t="s">
        <v>1352</v>
      </c>
      <c r="L595" s="41" t="s">
        <v>1422</v>
      </c>
      <c r="M595" s="41" t="s">
        <v>98</v>
      </c>
      <c r="N595" s="41" t="n">
        <v>225.6</v>
      </c>
      <c r="O595" s="41" t="n">
        <v>4.761904762</v>
      </c>
      <c r="P595" s="41" t="n">
        <v>11.28</v>
      </c>
      <c r="Q595" s="41" t="n">
        <v>4.8</v>
      </c>
    </row>
    <row r="596" customFormat="false" ht="15" hidden="false" customHeight="false" outlineLevel="0" collapsed="false">
      <c r="A596" s="41" t="s">
        <v>774</v>
      </c>
      <c r="B596" s="41" t="s">
        <v>189</v>
      </c>
      <c r="C596" s="41" t="s">
        <v>86</v>
      </c>
      <c r="D596" s="41" t="s">
        <v>104</v>
      </c>
      <c r="E596" s="41" t="s">
        <v>103</v>
      </c>
      <c r="F596" s="41" t="s">
        <v>77</v>
      </c>
      <c r="G596" s="41" t="n">
        <v>96.8</v>
      </c>
      <c r="H596" s="41" t="n">
        <v>3</v>
      </c>
      <c r="I596" s="41" t="n">
        <v>14.52</v>
      </c>
      <c r="J596" s="41" t="n">
        <v>304.92</v>
      </c>
      <c r="K596" s="41" t="s">
        <v>1229</v>
      </c>
      <c r="L596" s="41" t="s">
        <v>1395</v>
      </c>
      <c r="M596" s="41" t="s">
        <v>97</v>
      </c>
      <c r="N596" s="41" t="n">
        <v>290.4</v>
      </c>
      <c r="O596" s="41" t="n">
        <v>4.761904762</v>
      </c>
      <c r="P596" s="41" t="n">
        <v>14.52</v>
      </c>
      <c r="Q596" s="41" t="n">
        <v>5.3</v>
      </c>
    </row>
    <row r="597" customFormat="false" ht="15" hidden="false" customHeight="false" outlineLevel="0" collapsed="false">
      <c r="A597" s="41" t="s">
        <v>775</v>
      </c>
      <c r="B597" s="41" t="s">
        <v>189</v>
      </c>
      <c r="C597" s="41" t="s">
        <v>86</v>
      </c>
      <c r="D597" s="41" t="s">
        <v>105</v>
      </c>
      <c r="E597" s="41" t="s">
        <v>103</v>
      </c>
      <c r="F597" s="41" t="s">
        <v>81</v>
      </c>
      <c r="G597" s="41" t="n">
        <v>14.82</v>
      </c>
      <c r="H597" s="41" t="n">
        <v>3</v>
      </c>
      <c r="I597" s="41" t="n">
        <v>2.223</v>
      </c>
      <c r="J597" s="41" t="n">
        <v>46.683</v>
      </c>
      <c r="K597" s="41" t="s">
        <v>1339</v>
      </c>
      <c r="L597" s="41" t="s">
        <v>1431</v>
      </c>
      <c r="M597" s="41" t="s">
        <v>99</v>
      </c>
      <c r="N597" s="41" t="n">
        <v>44.46</v>
      </c>
      <c r="O597" s="41" t="n">
        <v>4.761904762</v>
      </c>
      <c r="P597" s="41" t="n">
        <v>2.223</v>
      </c>
      <c r="Q597" s="41" t="n">
        <v>8.7</v>
      </c>
    </row>
    <row r="598" customFormat="false" ht="15" hidden="false" customHeight="false" outlineLevel="0" collapsed="false">
      <c r="A598" s="41" t="s">
        <v>776</v>
      </c>
      <c r="B598" s="41" t="s">
        <v>178</v>
      </c>
      <c r="C598" s="41" t="s">
        <v>85</v>
      </c>
      <c r="D598" s="41" t="s">
        <v>105</v>
      </c>
      <c r="E598" s="41" t="s">
        <v>103</v>
      </c>
      <c r="F598" s="41" t="s">
        <v>76</v>
      </c>
      <c r="G598" s="41" t="n">
        <v>52.2</v>
      </c>
      <c r="H598" s="41" t="n">
        <v>3</v>
      </c>
      <c r="I598" s="41" t="n">
        <v>7.83</v>
      </c>
      <c r="J598" s="41" t="n">
        <v>164.43</v>
      </c>
      <c r="K598" s="41" t="s">
        <v>1288</v>
      </c>
      <c r="L598" s="41" t="s">
        <v>1510</v>
      </c>
      <c r="M598" s="41" t="s">
        <v>99</v>
      </c>
      <c r="N598" s="41" t="n">
        <v>156.6</v>
      </c>
      <c r="O598" s="41" t="n">
        <v>4.761904762</v>
      </c>
      <c r="P598" s="41" t="n">
        <v>7.83</v>
      </c>
      <c r="Q598" s="41" t="n">
        <v>9.5</v>
      </c>
    </row>
    <row r="599" customFormat="false" ht="15" hidden="false" customHeight="false" outlineLevel="0" collapsed="false">
      <c r="A599" s="41" t="s">
        <v>777</v>
      </c>
      <c r="B599" s="41" t="s">
        <v>180</v>
      </c>
      <c r="C599" s="41" t="s">
        <v>87</v>
      </c>
      <c r="D599" s="41" t="s">
        <v>105</v>
      </c>
      <c r="E599" s="41" t="s">
        <v>102</v>
      </c>
      <c r="F599" s="41" t="s">
        <v>77</v>
      </c>
      <c r="G599" s="41" t="n">
        <v>46.66</v>
      </c>
      <c r="H599" s="41" t="n">
        <v>9</v>
      </c>
      <c r="I599" s="41" t="n">
        <v>20.997</v>
      </c>
      <c r="J599" s="41" t="n">
        <v>440.937</v>
      </c>
      <c r="K599" s="41" t="s">
        <v>1231</v>
      </c>
      <c r="L599" s="41" t="s">
        <v>1657</v>
      </c>
      <c r="M599" s="41" t="s">
        <v>98</v>
      </c>
      <c r="N599" s="41" t="n">
        <v>419.94</v>
      </c>
      <c r="O599" s="41" t="n">
        <v>4.761904762</v>
      </c>
      <c r="P599" s="41" t="n">
        <v>20.997</v>
      </c>
      <c r="Q599" s="41" t="n">
        <v>5.3</v>
      </c>
    </row>
    <row r="600" customFormat="false" ht="15" hidden="false" customHeight="false" outlineLevel="0" collapsed="false">
      <c r="A600" s="41" t="s">
        <v>778</v>
      </c>
      <c r="B600" s="41" t="s">
        <v>180</v>
      </c>
      <c r="C600" s="41" t="s">
        <v>87</v>
      </c>
      <c r="D600" s="41" t="s">
        <v>105</v>
      </c>
      <c r="E600" s="41" t="s">
        <v>102</v>
      </c>
      <c r="F600" s="41" t="s">
        <v>79</v>
      </c>
      <c r="G600" s="41" t="n">
        <v>36.85</v>
      </c>
      <c r="H600" s="41" t="n">
        <v>5</v>
      </c>
      <c r="I600" s="41" t="n">
        <v>9.2125</v>
      </c>
      <c r="J600" s="41" t="n">
        <v>193.4625</v>
      </c>
      <c r="K600" s="41" t="s">
        <v>1317</v>
      </c>
      <c r="L600" s="41" t="s">
        <v>1658</v>
      </c>
      <c r="M600" s="41" t="s">
        <v>97</v>
      </c>
      <c r="N600" s="41" t="n">
        <v>184.25</v>
      </c>
      <c r="O600" s="41" t="n">
        <v>4.761904762</v>
      </c>
      <c r="P600" s="41" t="n">
        <v>9.2125</v>
      </c>
      <c r="Q600" s="41" t="n">
        <v>9.2</v>
      </c>
    </row>
    <row r="601" customFormat="false" ht="15" hidden="false" customHeight="false" outlineLevel="0" collapsed="false">
      <c r="A601" s="41" t="s">
        <v>779</v>
      </c>
      <c r="B601" s="41" t="s">
        <v>178</v>
      </c>
      <c r="C601" s="41" t="s">
        <v>85</v>
      </c>
      <c r="D601" s="41" t="s">
        <v>104</v>
      </c>
      <c r="E601" s="41" t="s">
        <v>102</v>
      </c>
      <c r="F601" s="41" t="s">
        <v>80</v>
      </c>
      <c r="G601" s="41" t="n">
        <v>70.32</v>
      </c>
      <c r="H601" s="41" t="n">
        <v>2</v>
      </c>
      <c r="I601" s="41" t="n">
        <v>7.032</v>
      </c>
      <c r="J601" s="41" t="n">
        <v>147.672</v>
      </c>
      <c r="K601" s="41" t="s">
        <v>1349</v>
      </c>
      <c r="L601" s="41" t="s">
        <v>1659</v>
      </c>
      <c r="M601" s="41" t="s">
        <v>98</v>
      </c>
      <c r="N601" s="41" t="n">
        <v>140.64</v>
      </c>
      <c r="O601" s="41" t="n">
        <v>4.761904762</v>
      </c>
      <c r="P601" s="41" t="n">
        <v>7.032</v>
      </c>
      <c r="Q601" s="41" t="n">
        <v>9.6</v>
      </c>
    </row>
    <row r="602" customFormat="false" ht="15" hidden="false" customHeight="false" outlineLevel="0" collapsed="false">
      <c r="A602" s="41" t="s">
        <v>780</v>
      </c>
      <c r="B602" s="41" t="s">
        <v>180</v>
      </c>
      <c r="C602" s="41" t="s">
        <v>87</v>
      </c>
      <c r="D602" s="41" t="s">
        <v>105</v>
      </c>
      <c r="E602" s="41" t="s">
        <v>103</v>
      </c>
      <c r="F602" s="41" t="s">
        <v>78</v>
      </c>
      <c r="G602" s="41" t="n">
        <v>83.08</v>
      </c>
      <c r="H602" s="41" t="n">
        <v>1</v>
      </c>
      <c r="I602" s="41" t="n">
        <v>4.154</v>
      </c>
      <c r="J602" s="41" t="n">
        <v>87.234</v>
      </c>
      <c r="K602" s="41" t="s">
        <v>1319</v>
      </c>
      <c r="L602" s="41" t="s">
        <v>1632</v>
      </c>
      <c r="M602" s="41" t="s">
        <v>98</v>
      </c>
      <c r="N602" s="41" t="n">
        <v>83.08</v>
      </c>
      <c r="O602" s="41" t="n">
        <v>4.761904762</v>
      </c>
      <c r="P602" s="41" t="n">
        <v>4.154</v>
      </c>
      <c r="Q602" s="41" t="n">
        <v>6.4</v>
      </c>
    </row>
    <row r="603" customFormat="false" ht="15" hidden="false" customHeight="false" outlineLevel="0" collapsed="false">
      <c r="A603" s="41" t="s">
        <v>781</v>
      </c>
      <c r="B603" s="41" t="s">
        <v>180</v>
      </c>
      <c r="C603" s="41" t="s">
        <v>87</v>
      </c>
      <c r="D603" s="41" t="s">
        <v>105</v>
      </c>
      <c r="E603" s="41" t="s">
        <v>102</v>
      </c>
      <c r="F603" s="41" t="s">
        <v>79</v>
      </c>
      <c r="G603" s="41" t="n">
        <v>64.99</v>
      </c>
      <c r="H603" s="41" t="n">
        <v>1</v>
      </c>
      <c r="I603" s="41" t="n">
        <v>3.2495</v>
      </c>
      <c r="J603" s="41" t="n">
        <v>68.2395</v>
      </c>
      <c r="K603" s="41" t="s">
        <v>1317</v>
      </c>
      <c r="L603" s="41" t="s">
        <v>1660</v>
      </c>
      <c r="M603" s="41" t="s">
        <v>99</v>
      </c>
      <c r="N603" s="41" t="n">
        <v>64.99</v>
      </c>
      <c r="O603" s="41" t="n">
        <v>4.761904762</v>
      </c>
      <c r="P603" s="41" t="n">
        <v>3.2495</v>
      </c>
      <c r="Q603" s="41" t="n">
        <v>4.5</v>
      </c>
    </row>
    <row r="604" customFormat="false" ht="15" hidden="false" customHeight="false" outlineLevel="0" collapsed="false">
      <c r="A604" s="41" t="s">
        <v>782</v>
      </c>
      <c r="B604" s="41" t="s">
        <v>180</v>
      </c>
      <c r="C604" s="41" t="s">
        <v>87</v>
      </c>
      <c r="D604" s="41" t="s">
        <v>105</v>
      </c>
      <c r="E604" s="41" t="s">
        <v>103</v>
      </c>
      <c r="F604" s="41" t="s">
        <v>76</v>
      </c>
      <c r="G604" s="41" t="n">
        <v>77.56</v>
      </c>
      <c r="H604" s="41" t="n">
        <v>10</v>
      </c>
      <c r="I604" s="41" t="n">
        <v>38.78</v>
      </c>
      <c r="J604" s="41" t="n">
        <v>814.38</v>
      </c>
      <c r="K604" s="41" t="s">
        <v>1494</v>
      </c>
      <c r="L604" s="41" t="s">
        <v>1325</v>
      </c>
      <c r="M604" s="41" t="s">
        <v>98</v>
      </c>
      <c r="N604" s="41" t="n">
        <v>775.6</v>
      </c>
      <c r="O604" s="41" t="n">
        <v>4.761904762</v>
      </c>
      <c r="P604" s="41" t="n">
        <v>38.78</v>
      </c>
      <c r="Q604" s="41" t="n">
        <v>6.9</v>
      </c>
    </row>
    <row r="605" customFormat="false" ht="15" hidden="false" customHeight="false" outlineLevel="0" collapsed="false">
      <c r="A605" s="41" t="s">
        <v>783</v>
      </c>
      <c r="B605" s="41" t="s">
        <v>189</v>
      </c>
      <c r="C605" s="41" t="s">
        <v>86</v>
      </c>
      <c r="D605" s="41" t="s">
        <v>105</v>
      </c>
      <c r="E605" s="41" t="s">
        <v>102</v>
      </c>
      <c r="F605" s="41" t="s">
        <v>77</v>
      </c>
      <c r="G605" s="41" t="n">
        <v>54.51</v>
      </c>
      <c r="H605" s="41" t="n">
        <v>6</v>
      </c>
      <c r="I605" s="41" t="n">
        <v>16.353</v>
      </c>
      <c r="J605" s="41" t="n">
        <v>343.413</v>
      </c>
      <c r="K605" s="41" t="s">
        <v>1486</v>
      </c>
      <c r="L605" s="41" t="s">
        <v>1647</v>
      </c>
      <c r="M605" s="41" t="s">
        <v>98</v>
      </c>
      <c r="N605" s="41" t="n">
        <v>327.06</v>
      </c>
      <c r="O605" s="41" t="n">
        <v>4.761904762</v>
      </c>
      <c r="P605" s="41" t="n">
        <v>16.353</v>
      </c>
      <c r="Q605" s="41" t="n">
        <v>7.8</v>
      </c>
    </row>
    <row r="606" customFormat="false" ht="15" hidden="false" customHeight="false" outlineLevel="0" collapsed="false">
      <c r="A606" s="41" t="s">
        <v>784</v>
      </c>
      <c r="B606" s="41" t="s">
        <v>180</v>
      </c>
      <c r="C606" s="41" t="s">
        <v>87</v>
      </c>
      <c r="D606" s="41" t="s">
        <v>104</v>
      </c>
      <c r="E606" s="41" t="s">
        <v>102</v>
      </c>
      <c r="F606" s="41" t="s">
        <v>79</v>
      </c>
      <c r="G606" s="41" t="n">
        <v>51.89</v>
      </c>
      <c r="H606" s="41" t="n">
        <v>7</v>
      </c>
      <c r="I606" s="41" t="n">
        <v>18.1615</v>
      </c>
      <c r="J606" s="41" t="n">
        <v>381.3915</v>
      </c>
      <c r="K606" s="41" t="s">
        <v>1369</v>
      </c>
      <c r="L606" s="41" t="s">
        <v>1661</v>
      </c>
      <c r="M606" s="41" t="s">
        <v>97</v>
      </c>
      <c r="N606" s="41" t="n">
        <v>363.23</v>
      </c>
      <c r="O606" s="41" t="n">
        <v>4.761904762</v>
      </c>
      <c r="P606" s="41" t="n">
        <v>18.1615</v>
      </c>
      <c r="Q606" s="41" t="n">
        <v>4.5</v>
      </c>
    </row>
    <row r="607" customFormat="false" ht="15" hidden="false" customHeight="false" outlineLevel="0" collapsed="false">
      <c r="A607" s="41" t="s">
        <v>785</v>
      </c>
      <c r="B607" s="41" t="s">
        <v>189</v>
      </c>
      <c r="C607" s="41" t="s">
        <v>86</v>
      </c>
      <c r="D607" s="41" t="s">
        <v>105</v>
      </c>
      <c r="E607" s="41" t="s">
        <v>103</v>
      </c>
      <c r="F607" s="41" t="s">
        <v>80</v>
      </c>
      <c r="G607" s="41" t="n">
        <v>31.75</v>
      </c>
      <c r="H607" s="41" t="n">
        <v>4</v>
      </c>
      <c r="I607" s="41" t="n">
        <v>6.35</v>
      </c>
      <c r="J607" s="41" t="n">
        <v>133.35</v>
      </c>
      <c r="K607" s="41" t="s">
        <v>1196</v>
      </c>
      <c r="L607" s="41" t="s">
        <v>1361</v>
      </c>
      <c r="M607" s="41" t="s">
        <v>97</v>
      </c>
      <c r="N607" s="41" t="n">
        <v>127</v>
      </c>
      <c r="O607" s="41" t="n">
        <v>4.761904762</v>
      </c>
      <c r="P607" s="41" t="n">
        <v>6.35</v>
      </c>
      <c r="Q607" s="41" t="n">
        <v>8.6</v>
      </c>
    </row>
    <row r="608" customFormat="false" ht="15" hidden="false" customHeight="false" outlineLevel="0" collapsed="false">
      <c r="A608" s="41" t="s">
        <v>786</v>
      </c>
      <c r="B608" s="41" t="s">
        <v>178</v>
      </c>
      <c r="C608" s="41" t="s">
        <v>85</v>
      </c>
      <c r="D608" s="41" t="s">
        <v>104</v>
      </c>
      <c r="E608" s="41" t="s">
        <v>102</v>
      </c>
      <c r="F608" s="41" t="s">
        <v>79</v>
      </c>
      <c r="G608" s="41" t="n">
        <v>53.65</v>
      </c>
      <c r="H608" s="41" t="n">
        <v>7</v>
      </c>
      <c r="I608" s="41" t="n">
        <v>18.7775</v>
      </c>
      <c r="J608" s="41" t="n">
        <v>394.3275</v>
      </c>
      <c r="K608" s="41" t="s">
        <v>1268</v>
      </c>
      <c r="L608" s="41" t="s">
        <v>1662</v>
      </c>
      <c r="M608" s="41" t="s">
        <v>98</v>
      </c>
      <c r="N608" s="41" t="n">
        <v>375.55</v>
      </c>
      <c r="O608" s="41" t="n">
        <v>4.761904762</v>
      </c>
      <c r="P608" s="41" t="n">
        <v>18.7775</v>
      </c>
      <c r="Q608" s="41" t="n">
        <v>5.2</v>
      </c>
    </row>
    <row r="609" customFormat="false" ht="15" hidden="false" customHeight="false" outlineLevel="0" collapsed="false">
      <c r="A609" s="41" t="s">
        <v>787</v>
      </c>
      <c r="B609" s="41" t="s">
        <v>180</v>
      </c>
      <c r="C609" s="41" t="s">
        <v>87</v>
      </c>
      <c r="D609" s="41" t="s">
        <v>104</v>
      </c>
      <c r="E609" s="41" t="s">
        <v>102</v>
      </c>
      <c r="F609" s="41" t="s">
        <v>76</v>
      </c>
      <c r="G609" s="41" t="n">
        <v>49.79</v>
      </c>
      <c r="H609" s="41" t="n">
        <v>4</v>
      </c>
      <c r="I609" s="41" t="n">
        <v>9.958</v>
      </c>
      <c r="J609" s="41" t="n">
        <v>209.118</v>
      </c>
      <c r="K609" s="41" t="s">
        <v>1343</v>
      </c>
      <c r="L609" s="41" t="s">
        <v>1420</v>
      </c>
      <c r="M609" s="41" t="s">
        <v>99</v>
      </c>
      <c r="N609" s="41" t="n">
        <v>199.16</v>
      </c>
      <c r="O609" s="41" t="n">
        <v>4.761904762</v>
      </c>
      <c r="P609" s="41" t="n">
        <v>9.958</v>
      </c>
      <c r="Q609" s="41" t="n">
        <v>6.4</v>
      </c>
    </row>
    <row r="610" customFormat="false" ht="15" hidden="false" customHeight="false" outlineLevel="0" collapsed="false">
      <c r="A610" s="41" t="s">
        <v>788</v>
      </c>
      <c r="B610" s="41" t="s">
        <v>178</v>
      </c>
      <c r="C610" s="41" t="s">
        <v>85</v>
      </c>
      <c r="D610" s="41" t="s">
        <v>105</v>
      </c>
      <c r="E610" s="41" t="s">
        <v>103</v>
      </c>
      <c r="F610" s="41" t="s">
        <v>79</v>
      </c>
      <c r="G610" s="41" t="n">
        <v>30.61</v>
      </c>
      <c r="H610" s="41" t="n">
        <v>1</v>
      </c>
      <c r="I610" s="41" t="n">
        <v>1.5305</v>
      </c>
      <c r="J610" s="41" t="n">
        <v>32.1405</v>
      </c>
      <c r="K610" s="41" t="s">
        <v>1319</v>
      </c>
      <c r="L610" s="41" t="s">
        <v>1230</v>
      </c>
      <c r="M610" s="41" t="s">
        <v>98</v>
      </c>
      <c r="N610" s="41" t="n">
        <v>30.61</v>
      </c>
      <c r="O610" s="41" t="n">
        <v>4.761904762</v>
      </c>
      <c r="P610" s="41" t="n">
        <v>1.5305</v>
      </c>
      <c r="Q610" s="41" t="n">
        <v>5.2</v>
      </c>
    </row>
    <row r="611" customFormat="false" ht="15" hidden="false" customHeight="false" outlineLevel="0" collapsed="false">
      <c r="A611" s="41" t="s">
        <v>789</v>
      </c>
      <c r="B611" s="41" t="s">
        <v>189</v>
      </c>
      <c r="C611" s="41" t="s">
        <v>86</v>
      </c>
      <c r="D611" s="41" t="s">
        <v>104</v>
      </c>
      <c r="E611" s="41" t="s">
        <v>103</v>
      </c>
      <c r="F611" s="41" t="s">
        <v>76</v>
      </c>
      <c r="G611" s="41" t="n">
        <v>57.89</v>
      </c>
      <c r="H611" s="41" t="n">
        <v>2</v>
      </c>
      <c r="I611" s="41" t="n">
        <v>5.789</v>
      </c>
      <c r="J611" s="41" t="n">
        <v>121.569</v>
      </c>
      <c r="K611" s="41" t="s">
        <v>1256</v>
      </c>
      <c r="L611" s="41" t="s">
        <v>1197</v>
      </c>
      <c r="M611" s="41" t="s">
        <v>98</v>
      </c>
      <c r="N611" s="41" t="n">
        <v>115.78</v>
      </c>
      <c r="O611" s="41" t="n">
        <v>4.761904762</v>
      </c>
      <c r="P611" s="41" t="n">
        <v>5.789</v>
      </c>
      <c r="Q611" s="41" t="n">
        <v>8.9</v>
      </c>
    </row>
    <row r="612" customFormat="false" ht="15" hidden="false" customHeight="false" outlineLevel="0" collapsed="false">
      <c r="A612" s="41" t="s">
        <v>790</v>
      </c>
      <c r="B612" s="41" t="s">
        <v>178</v>
      </c>
      <c r="C612" s="41" t="s">
        <v>85</v>
      </c>
      <c r="D612" s="41" t="s">
        <v>105</v>
      </c>
      <c r="E612" s="41" t="s">
        <v>102</v>
      </c>
      <c r="F612" s="41" t="s">
        <v>78</v>
      </c>
      <c r="G612" s="41" t="n">
        <v>28.96</v>
      </c>
      <c r="H612" s="41" t="n">
        <v>1</v>
      </c>
      <c r="I612" s="41" t="n">
        <v>1.448</v>
      </c>
      <c r="J612" s="41" t="n">
        <v>30.408</v>
      </c>
      <c r="K612" s="41" t="s">
        <v>1214</v>
      </c>
      <c r="L612" s="41" t="s">
        <v>1663</v>
      </c>
      <c r="M612" s="41" t="s">
        <v>99</v>
      </c>
      <c r="N612" s="41" t="n">
        <v>28.96</v>
      </c>
      <c r="O612" s="41" t="n">
        <v>4.761904762</v>
      </c>
      <c r="P612" s="41" t="n">
        <v>1.448</v>
      </c>
      <c r="Q612" s="41" t="n">
        <v>6.2</v>
      </c>
    </row>
    <row r="613" customFormat="false" ht="15" hidden="false" customHeight="false" outlineLevel="0" collapsed="false">
      <c r="A613" s="41" t="s">
        <v>791</v>
      </c>
      <c r="B613" s="41" t="s">
        <v>180</v>
      </c>
      <c r="C613" s="41" t="s">
        <v>87</v>
      </c>
      <c r="D613" s="41" t="s">
        <v>104</v>
      </c>
      <c r="E613" s="41" t="s">
        <v>102</v>
      </c>
      <c r="F613" s="41" t="s">
        <v>76</v>
      </c>
      <c r="G613" s="41" t="n">
        <v>98.97</v>
      </c>
      <c r="H613" s="41" t="n">
        <v>9</v>
      </c>
      <c r="I613" s="41" t="n">
        <v>44.5365</v>
      </c>
      <c r="J613" s="41" t="n">
        <v>935.2665</v>
      </c>
      <c r="K613" s="41" t="s">
        <v>1210</v>
      </c>
      <c r="L613" s="41" t="s">
        <v>1488</v>
      </c>
      <c r="M613" s="41" t="s">
        <v>97</v>
      </c>
      <c r="N613" s="41" t="n">
        <v>890.73</v>
      </c>
      <c r="O613" s="41" t="n">
        <v>4.761904762</v>
      </c>
      <c r="P613" s="41" t="n">
        <v>44.5365</v>
      </c>
      <c r="Q613" s="41" t="n">
        <v>6.7</v>
      </c>
    </row>
    <row r="614" customFormat="false" ht="15" hidden="false" customHeight="false" outlineLevel="0" collapsed="false">
      <c r="A614" s="41" t="s">
        <v>792</v>
      </c>
      <c r="B614" s="41" t="s">
        <v>189</v>
      </c>
      <c r="C614" s="41" t="s">
        <v>86</v>
      </c>
      <c r="D614" s="41" t="s">
        <v>104</v>
      </c>
      <c r="E614" s="41" t="s">
        <v>103</v>
      </c>
      <c r="F614" s="41" t="s">
        <v>79</v>
      </c>
      <c r="G614" s="41" t="n">
        <v>93.22</v>
      </c>
      <c r="H614" s="41" t="n">
        <v>3</v>
      </c>
      <c r="I614" s="41" t="n">
        <v>13.983</v>
      </c>
      <c r="J614" s="41" t="n">
        <v>293.643</v>
      </c>
      <c r="K614" s="41" t="s">
        <v>1300</v>
      </c>
      <c r="L614" s="41" t="s">
        <v>1664</v>
      </c>
      <c r="M614" s="41" t="s">
        <v>97</v>
      </c>
      <c r="N614" s="41" t="n">
        <v>279.66</v>
      </c>
      <c r="O614" s="41" t="n">
        <v>4.761904762</v>
      </c>
      <c r="P614" s="41" t="n">
        <v>13.983</v>
      </c>
      <c r="Q614" s="41" t="n">
        <v>7.2</v>
      </c>
    </row>
    <row r="615" customFormat="false" ht="15" hidden="false" customHeight="false" outlineLevel="0" collapsed="false">
      <c r="A615" s="41" t="s">
        <v>793</v>
      </c>
      <c r="B615" s="41" t="s">
        <v>180</v>
      </c>
      <c r="C615" s="41" t="s">
        <v>87</v>
      </c>
      <c r="D615" s="41" t="s">
        <v>104</v>
      </c>
      <c r="E615" s="41" t="s">
        <v>103</v>
      </c>
      <c r="F615" s="41" t="s">
        <v>77</v>
      </c>
      <c r="G615" s="41" t="n">
        <v>80.93</v>
      </c>
      <c r="H615" s="41" t="n">
        <v>1</v>
      </c>
      <c r="I615" s="41" t="n">
        <v>4.0465</v>
      </c>
      <c r="J615" s="41" t="n">
        <v>84.9765</v>
      </c>
      <c r="K615" s="41" t="s">
        <v>1356</v>
      </c>
      <c r="L615" s="41" t="s">
        <v>1665</v>
      </c>
      <c r="M615" s="41" t="s">
        <v>99</v>
      </c>
      <c r="N615" s="41" t="n">
        <v>80.93</v>
      </c>
      <c r="O615" s="41" t="n">
        <v>4.761904762</v>
      </c>
      <c r="P615" s="41" t="n">
        <v>4.0465</v>
      </c>
      <c r="Q615" s="41" t="n">
        <v>9</v>
      </c>
    </row>
    <row r="616" customFormat="false" ht="15" hidden="false" customHeight="false" outlineLevel="0" collapsed="false">
      <c r="A616" s="41" t="s">
        <v>794</v>
      </c>
      <c r="B616" s="41" t="s">
        <v>178</v>
      </c>
      <c r="C616" s="41" t="s">
        <v>85</v>
      </c>
      <c r="D616" s="41" t="s">
        <v>104</v>
      </c>
      <c r="E616" s="41" t="s">
        <v>103</v>
      </c>
      <c r="F616" s="41" t="s">
        <v>76</v>
      </c>
      <c r="G616" s="41" t="n">
        <v>67.45</v>
      </c>
      <c r="H616" s="41" t="n">
        <v>10</v>
      </c>
      <c r="I616" s="41" t="n">
        <v>33.725</v>
      </c>
      <c r="J616" s="41" t="n">
        <v>708.225</v>
      </c>
      <c r="K616" s="41" t="s">
        <v>1272</v>
      </c>
      <c r="L616" s="41" t="s">
        <v>1478</v>
      </c>
      <c r="M616" s="41" t="s">
        <v>98</v>
      </c>
      <c r="N616" s="41" t="n">
        <v>674.5</v>
      </c>
      <c r="O616" s="41" t="n">
        <v>4.761904762</v>
      </c>
      <c r="P616" s="41" t="n">
        <v>33.725</v>
      </c>
      <c r="Q616" s="41" t="n">
        <v>4.2</v>
      </c>
    </row>
    <row r="617" customFormat="false" ht="15" hidden="false" customHeight="false" outlineLevel="0" collapsed="false">
      <c r="A617" s="41" t="s">
        <v>795</v>
      </c>
      <c r="B617" s="41" t="s">
        <v>178</v>
      </c>
      <c r="C617" s="41" t="s">
        <v>85</v>
      </c>
      <c r="D617" s="41" t="s">
        <v>104</v>
      </c>
      <c r="E617" s="41" t="s">
        <v>102</v>
      </c>
      <c r="F617" s="41" t="s">
        <v>77</v>
      </c>
      <c r="G617" s="41" t="n">
        <v>38.72</v>
      </c>
      <c r="H617" s="41" t="n">
        <v>9</v>
      </c>
      <c r="I617" s="41" t="n">
        <v>17.424</v>
      </c>
      <c r="J617" s="41" t="n">
        <v>365.904</v>
      </c>
      <c r="K617" s="41" t="s">
        <v>1446</v>
      </c>
      <c r="L617" s="41" t="s">
        <v>1666</v>
      </c>
      <c r="M617" s="41" t="s">
        <v>98</v>
      </c>
      <c r="N617" s="41" t="n">
        <v>348.48</v>
      </c>
      <c r="O617" s="41" t="n">
        <v>4.761904762</v>
      </c>
      <c r="P617" s="41" t="n">
        <v>17.424</v>
      </c>
      <c r="Q617" s="41" t="n">
        <v>4.2</v>
      </c>
    </row>
    <row r="618" customFormat="false" ht="15" hidden="false" customHeight="false" outlineLevel="0" collapsed="false">
      <c r="A618" s="41" t="s">
        <v>796</v>
      </c>
      <c r="B618" s="41" t="s">
        <v>189</v>
      </c>
      <c r="C618" s="41" t="s">
        <v>86</v>
      </c>
      <c r="D618" s="41" t="s">
        <v>104</v>
      </c>
      <c r="E618" s="41" t="s">
        <v>103</v>
      </c>
      <c r="F618" s="41" t="s">
        <v>77</v>
      </c>
      <c r="G618" s="41" t="n">
        <v>72.6</v>
      </c>
      <c r="H618" s="41" t="n">
        <v>6</v>
      </c>
      <c r="I618" s="41" t="n">
        <v>21.78</v>
      </c>
      <c r="J618" s="41" t="n">
        <v>457.38</v>
      </c>
      <c r="K618" s="41" t="s">
        <v>1309</v>
      </c>
      <c r="L618" s="41" t="s">
        <v>1667</v>
      </c>
      <c r="M618" s="41" t="s">
        <v>97</v>
      </c>
      <c r="N618" s="41" t="n">
        <v>435.6</v>
      </c>
      <c r="O618" s="41" t="n">
        <v>4.761904762</v>
      </c>
      <c r="P618" s="41" t="n">
        <v>21.78</v>
      </c>
      <c r="Q618" s="41" t="n">
        <v>6.9</v>
      </c>
    </row>
    <row r="619" customFormat="false" ht="15" hidden="false" customHeight="false" outlineLevel="0" collapsed="false">
      <c r="A619" s="41" t="s">
        <v>797</v>
      </c>
      <c r="B619" s="41" t="s">
        <v>180</v>
      </c>
      <c r="C619" s="41" t="s">
        <v>87</v>
      </c>
      <c r="D619" s="41" t="s">
        <v>104</v>
      </c>
      <c r="E619" s="41" t="s">
        <v>103</v>
      </c>
      <c r="F619" s="41" t="s">
        <v>78</v>
      </c>
      <c r="G619" s="41" t="n">
        <v>87.91</v>
      </c>
      <c r="H619" s="41" t="n">
        <v>5</v>
      </c>
      <c r="I619" s="41" t="n">
        <v>21.9775</v>
      </c>
      <c r="J619" s="41" t="n">
        <v>461.5275</v>
      </c>
      <c r="K619" s="41" t="s">
        <v>1494</v>
      </c>
      <c r="L619" s="41" t="s">
        <v>1668</v>
      </c>
      <c r="M619" s="41" t="s">
        <v>98</v>
      </c>
      <c r="N619" s="41" t="n">
        <v>439.55</v>
      </c>
      <c r="O619" s="41" t="n">
        <v>4.761904762</v>
      </c>
      <c r="P619" s="41" t="n">
        <v>21.9775</v>
      </c>
      <c r="Q619" s="41" t="n">
        <v>4.4</v>
      </c>
    </row>
    <row r="620" customFormat="false" ht="15" hidden="false" customHeight="false" outlineLevel="0" collapsed="false">
      <c r="A620" s="41" t="s">
        <v>798</v>
      </c>
      <c r="B620" s="41" t="s">
        <v>178</v>
      </c>
      <c r="C620" s="41" t="s">
        <v>85</v>
      </c>
      <c r="D620" s="41" t="s">
        <v>104</v>
      </c>
      <c r="E620" s="41" t="s">
        <v>103</v>
      </c>
      <c r="F620" s="41" t="s">
        <v>76</v>
      </c>
      <c r="G620" s="41" t="n">
        <v>98.53</v>
      </c>
      <c r="H620" s="41" t="n">
        <v>6</v>
      </c>
      <c r="I620" s="41" t="n">
        <v>29.559</v>
      </c>
      <c r="J620" s="41" t="n">
        <v>620.739</v>
      </c>
      <c r="K620" s="41" t="s">
        <v>1319</v>
      </c>
      <c r="L620" s="41" t="s">
        <v>1487</v>
      </c>
      <c r="M620" s="41" t="s">
        <v>99</v>
      </c>
      <c r="N620" s="41" t="n">
        <v>591.18</v>
      </c>
      <c r="O620" s="41" t="n">
        <v>4.761904762</v>
      </c>
      <c r="P620" s="41" t="n">
        <v>29.559</v>
      </c>
      <c r="Q620" s="41" t="n">
        <v>4</v>
      </c>
    </row>
    <row r="621" customFormat="false" ht="15" hidden="false" customHeight="false" outlineLevel="0" collapsed="false">
      <c r="A621" s="41" t="s">
        <v>799</v>
      </c>
      <c r="B621" s="41" t="s">
        <v>180</v>
      </c>
      <c r="C621" s="41" t="s">
        <v>87</v>
      </c>
      <c r="D621" s="41" t="s">
        <v>104</v>
      </c>
      <c r="E621" s="41" t="s">
        <v>102</v>
      </c>
      <c r="F621" s="41" t="s">
        <v>79</v>
      </c>
      <c r="G621" s="41" t="n">
        <v>43.46</v>
      </c>
      <c r="H621" s="41" t="n">
        <v>6</v>
      </c>
      <c r="I621" s="41" t="n">
        <v>13.038</v>
      </c>
      <c r="J621" s="41" t="n">
        <v>273.798</v>
      </c>
      <c r="K621" s="41" t="s">
        <v>1214</v>
      </c>
      <c r="L621" s="41" t="s">
        <v>1328</v>
      </c>
      <c r="M621" s="41" t="s">
        <v>98</v>
      </c>
      <c r="N621" s="41" t="n">
        <v>260.76</v>
      </c>
      <c r="O621" s="41" t="n">
        <v>4.761904762</v>
      </c>
      <c r="P621" s="41" t="n">
        <v>13.038</v>
      </c>
      <c r="Q621" s="41" t="n">
        <v>8.5</v>
      </c>
    </row>
    <row r="622" customFormat="false" ht="15" hidden="false" customHeight="false" outlineLevel="0" collapsed="false">
      <c r="A622" s="41" t="s">
        <v>800</v>
      </c>
      <c r="B622" s="41" t="s">
        <v>178</v>
      </c>
      <c r="C622" s="41" t="s">
        <v>85</v>
      </c>
      <c r="D622" s="41" t="s">
        <v>105</v>
      </c>
      <c r="E622" s="41" t="s">
        <v>102</v>
      </c>
      <c r="F622" s="41" t="s">
        <v>76</v>
      </c>
      <c r="G622" s="41" t="n">
        <v>71.68</v>
      </c>
      <c r="H622" s="41" t="n">
        <v>3</v>
      </c>
      <c r="I622" s="41" t="n">
        <v>10.752</v>
      </c>
      <c r="J622" s="41" t="n">
        <v>225.792</v>
      </c>
      <c r="K622" s="41" t="s">
        <v>1343</v>
      </c>
      <c r="L622" s="41" t="s">
        <v>1225</v>
      </c>
      <c r="M622" s="41" t="s">
        <v>99</v>
      </c>
      <c r="N622" s="41" t="n">
        <v>215.04</v>
      </c>
      <c r="O622" s="41" t="n">
        <v>4.761904762</v>
      </c>
      <c r="P622" s="41" t="n">
        <v>10.752</v>
      </c>
      <c r="Q622" s="41" t="n">
        <v>9.2</v>
      </c>
    </row>
    <row r="623" customFormat="false" ht="15" hidden="false" customHeight="false" outlineLevel="0" collapsed="false">
      <c r="A623" s="41" t="s">
        <v>801</v>
      </c>
      <c r="B623" s="41" t="s">
        <v>178</v>
      </c>
      <c r="C623" s="41" t="s">
        <v>85</v>
      </c>
      <c r="D623" s="41" t="s">
        <v>104</v>
      </c>
      <c r="E623" s="41" t="s">
        <v>102</v>
      </c>
      <c r="F623" s="41" t="s">
        <v>76</v>
      </c>
      <c r="G623" s="41" t="n">
        <v>91.61</v>
      </c>
      <c r="H623" s="41" t="n">
        <v>1</v>
      </c>
      <c r="I623" s="41" t="n">
        <v>4.5805</v>
      </c>
      <c r="J623" s="41" t="n">
        <v>96.1905</v>
      </c>
      <c r="K623" s="41" t="s">
        <v>1446</v>
      </c>
      <c r="L623" s="41" t="s">
        <v>1403</v>
      </c>
      <c r="M623" s="41" t="s">
        <v>97</v>
      </c>
      <c r="N623" s="41" t="n">
        <v>91.61</v>
      </c>
      <c r="O623" s="41" t="n">
        <v>4.761904762</v>
      </c>
      <c r="P623" s="41" t="n">
        <v>4.5805</v>
      </c>
      <c r="Q623" s="41" t="n">
        <v>9.8</v>
      </c>
    </row>
    <row r="624" customFormat="false" ht="15" hidden="false" customHeight="false" outlineLevel="0" collapsed="false">
      <c r="A624" s="41" t="s">
        <v>802</v>
      </c>
      <c r="B624" s="41" t="s">
        <v>189</v>
      </c>
      <c r="C624" s="41" t="s">
        <v>86</v>
      </c>
      <c r="D624" s="41" t="s">
        <v>104</v>
      </c>
      <c r="E624" s="41" t="s">
        <v>102</v>
      </c>
      <c r="F624" s="41" t="s">
        <v>80</v>
      </c>
      <c r="G624" s="41" t="n">
        <v>94.59</v>
      </c>
      <c r="H624" s="41" t="n">
        <v>7</v>
      </c>
      <c r="I624" s="41" t="n">
        <v>33.1065</v>
      </c>
      <c r="J624" s="41" t="n">
        <v>695.2365</v>
      </c>
      <c r="K624" s="41" t="s">
        <v>1256</v>
      </c>
      <c r="L624" s="41" t="s">
        <v>1669</v>
      </c>
      <c r="M624" s="41" t="s">
        <v>99</v>
      </c>
      <c r="N624" s="41" t="n">
        <v>662.13</v>
      </c>
      <c r="O624" s="41" t="n">
        <v>4.761904762</v>
      </c>
      <c r="P624" s="41" t="n">
        <v>33.1065</v>
      </c>
      <c r="Q624" s="41" t="n">
        <v>4.9</v>
      </c>
    </row>
    <row r="625" customFormat="false" ht="15" hidden="false" customHeight="false" outlineLevel="0" collapsed="false">
      <c r="A625" s="41" t="s">
        <v>803</v>
      </c>
      <c r="B625" s="41" t="s">
        <v>189</v>
      </c>
      <c r="C625" s="41" t="s">
        <v>86</v>
      </c>
      <c r="D625" s="41" t="s">
        <v>105</v>
      </c>
      <c r="E625" s="41" t="s">
        <v>102</v>
      </c>
      <c r="F625" s="41" t="s">
        <v>79</v>
      </c>
      <c r="G625" s="41" t="n">
        <v>83.25</v>
      </c>
      <c r="H625" s="41" t="n">
        <v>10</v>
      </c>
      <c r="I625" s="41" t="n">
        <v>41.625</v>
      </c>
      <c r="J625" s="41" t="n">
        <v>874.125</v>
      </c>
      <c r="K625" s="41" t="s">
        <v>1313</v>
      </c>
      <c r="L625" s="41" t="s">
        <v>1478</v>
      </c>
      <c r="M625" s="41" t="s">
        <v>99</v>
      </c>
      <c r="N625" s="41" t="n">
        <v>832.5</v>
      </c>
      <c r="O625" s="41" t="n">
        <v>4.761904762</v>
      </c>
      <c r="P625" s="41" t="n">
        <v>41.625</v>
      </c>
      <c r="Q625" s="41" t="n">
        <v>4.4</v>
      </c>
    </row>
    <row r="626" customFormat="false" ht="15" hidden="false" customHeight="false" outlineLevel="0" collapsed="false">
      <c r="A626" s="41" t="s">
        <v>804</v>
      </c>
      <c r="B626" s="41" t="s">
        <v>189</v>
      </c>
      <c r="C626" s="41" t="s">
        <v>86</v>
      </c>
      <c r="D626" s="41" t="s">
        <v>104</v>
      </c>
      <c r="E626" s="41" t="s">
        <v>103</v>
      </c>
      <c r="F626" s="41" t="s">
        <v>79</v>
      </c>
      <c r="G626" s="41" t="n">
        <v>91.35</v>
      </c>
      <c r="H626" s="41" t="n">
        <v>1</v>
      </c>
      <c r="I626" s="41" t="n">
        <v>4.5675</v>
      </c>
      <c r="J626" s="41" t="n">
        <v>95.9175</v>
      </c>
      <c r="K626" s="41" t="s">
        <v>1381</v>
      </c>
      <c r="L626" s="41" t="s">
        <v>1595</v>
      </c>
      <c r="M626" s="41" t="s">
        <v>97</v>
      </c>
      <c r="N626" s="41" t="n">
        <v>91.35</v>
      </c>
      <c r="O626" s="41" t="n">
        <v>4.761904762</v>
      </c>
      <c r="P626" s="41" t="n">
        <v>4.5675</v>
      </c>
      <c r="Q626" s="41" t="n">
        <v>6.8</v>
      </c>
    </row>
    <row r="627" customFormat="false" ht="15" hidden="false" customHeight="false" outlineLevel="0" collapsed="false">
      <c r="A627" s="41" t="s">
        <v>805</v>
      </c>
      <c r="B627" s="41" t="s">
        <v>189</v>
      </c>
      <c r="C627" s="41" t="s">
        <v>86</v>
      </c>
      <c r="D627" s="41" t="s">
        <v>104</v>
      </c>
      <c r="E627" s="41" t="s">
        <v>102</v>
      </c>
      <c r="F627" s="41" t="s">
        <v>76</v>
      </c>
      <c r="G627" s="41" t="n">
        <v>78.88</v>
      </c>
      <c r="H627" s="41" t="n">
        <v>2</v>
      </c>
      <c r="I627" s="41" t="n">
        <v>7.888</v>
      </c>
      <c r="J627" s="41" t="n">
        <v>165.648</v>
      </c>
      <c r="K627" s="41" t="s">
        <v>1317</v>
      </c>
      <c r="L627" s="41" t="s">
        <v>1670</v>
      </c>
      <c r="M627" s="41" t="s">
        <v>97</v>
      </c>
      <c r="N627" s="41" t="n">
        <v>157.76</v>
      </c>
      <c r="O627" s="41" t="n">
        <v>4.761904762</v>
      </c>
      <c r="P627" s="41" t="n">
        <v>7.888</v>
      </c>
      <c r="Q627" s="41" t="n">
        <v>9.1</v>
      </c>
    </row>
    <row r="628" customFormat="false" ht="15" hidden="false" customHeight="false" outlineLevel="0" collapsed="false">
      <c r="A628" s="41" t="s">
        <v>806</v>
      </c>
      <c r="B628" s="41" t="s">
        <v>178</v>
      </c>
      <c r="C628" s="41" t="s">
        <v>85</v>
      </c>
      <c r="D628" s="41" t="s">
        <v>105</v>
      </c>
      <c r="E628" s="41" t="s">
        <v>103</v>
      </c>
      <c r="F628" s="41" t="s">
        <v>77</v>
      </c>
      <c r="G628" s="41" t="n">
        <v>60.87</v>
      </c>
      <c r="H628" s="41" t="n">
        <v>2</v>
      </c>
      <c r="I628" s="41" t="n">
        <v>6.087</v>
      </c>
      <c r="J628" s="41" t="n">
        <v>127.827</v>
      </c>
      <c r="K628" s="41" t="s">
        <v>1210</v>
      </c>
      <c r="L628" s="41" t="s">
        <v>1649</v>
      </c>
      <c r="M628" s="41" t="s">
        <v>98</v>
      </c>
      <c r="N628" s="41" t="n">
        <v>121.74</v>
      </c>
      <c r="O628" s="41" t="n">
        <v>4.761904762</v>
      </c>
      <c r="P628" s="41" t="n">
        <v>6.087</v>
      </c>
      <c r="Q628" s="41" t="n">
        <v>8.7</v>
      </c>
    </row>
    <row r="629" customFormat="false" ht="15" hidden="false" customHeight="false" outlineLevel="0" collapsed="false">
      <c r="A629" s="41" t="s">
        <v>807</v>
      </c>
      <c r="B629" s="41" t="s">
        <v>189</v>
      </c>
      <c r="C629" s="41" t="s">
        <v>86</v>
      </c>
      <c r="D629" s="41" t="s">
        <v>104</v>
      </c>
      <c r="E629" s="41" t="s">
        <v>103</v>
      </c>
      <c r="F629" s="41" t="s">
        <v>81</v>
      </c>
      <c r="G629" s="41" t="n">
        <v>82.58</v>
      </c>
      <c r="H629" s="41" t="n">
        <v>10</v>
      </c>
      <c r="I629" s="41" t="n">
        <v>41.29</v>
      </c>
      <c r="J629" s="41" t="n">
        <v>867.09</v>
      </c>
      <c r="K629" s="41" t="s">
        <v>1494</v>
      </c>
      <c r="L629" s="41" t="s">
        <v>1671</v>
      </c>
      <c r="M629" s="41" t="s">
        <v>97</v>
      </c>
      <c r="N629" s="41" t="n">
        <v>825.8</v>
      </c>
      <c r="O629" s="41" t="n">
        <v>4.761904762</v>
      </c>
      <c r="P629" s="41" t="n">
        <v>41.29</v>
      </c>
      <c r="Q629" s="41" t="n">
        <v>5</v>
      </c>
    </row>
    <row r="630" customFormat="false" ht="15" hidden="false" customHeight="false" outlineLevel="0" collapsed="false">
      <c r="A630" s="41" t="s">
        <v>808</v>
      </c>
      <c r="B630" s="41" t="s">
        <v>178</v>
      </c>
      <c r="C630" s="41" t="s">
        <v>85</v>
      </c>
      <c r="D630" s="41" t="s">
        <v>104</v>
      </c>
      <c r="E630" s="41" t="s">
        <v>103</v>
      </c>
      <c r="F630" s="41" t="s">
        <v>80</v>
      </c>
      <c r="G630" s="41" t="n">
        <v>53.3</v>
      </c>
      <c r="H630" s="41" t="n">
        <v>3</v>
      </c>
      <c r="I630" s="41" t="n">
        <v>7.995</v>
      </c>
      <c r="J630" s="41" t="n">
        <v>167.895</v>
      </c>
      <c r="K630" s="41" t="s">
        <v>1240</v>
      </c>
      <c r="L630" s="41" t="s">
        <v>1672</v>
      </c>
      <c r="M630" s="41" t="s">
        <v>98</v>
      </c>
      <c r="N630" s="41" t="n">
        <v>159.9</v>
      </c>
      <c r="O630" s="41" t="n">
        <v>4.761904762</v>
      </c>
      <c r="P630" s="41" t="n">
        <v>7.995</v>
      </c>
      <c r="Q630" s="41" t="n">
        <v>7.5</v>
      </c>
    </row>
    <row r="631" customFormat="false" ht="15" hidden="false" customHeight="false" outlineLevel="0" collapsed="false">
      <c r="A631" s="41" t="s">
        <v>809</v>
      </c>
      <c r="B631" s="41" t="s">
        <v>178</v>
      </c>
      <c r="C631" s="41" t="s">
        <v>85</v>
      </c>
      <c r="D631" s="41" t="s">
        <v>105</v>
      </c>
      <c r="E631" s="41" t="s">
        <v>102</v>
      </c>
      <c r="F631" s="41" t="s">
        <v>79</v>
      </c>
      <c r="G631" s="41" t="n">
        <v>12.09</v>
      </c>
      <c r="H631" s="41" t="n">
        <v>1</v>
      </c>
      <c r="I631" s="41" t="n">
        <v>0.6045</v>
      </c>
      <c r="J631" s="41" t="n">
        <v>12.6945</v>
      </c>
      <c r="K631" s="41" t="s">
        <v>1317</v>
      </c>
      <c r="L631" s="41" t="s">
        <v>1345</v>
      </c>
      <c r="M631" s="41" t="s">
        <v>99</v>
      </c>
      <c r="N631" s="41" t="n">
        <v>12.09</v>
      </c>
      <c r="O631" s="41" t="n">
        <v>4.761904762</v>
      </c>
      <c r="P631" s="41" t="n">
        <v>0.6045</v>
      </c>
      <c r="Q631" s="41" t="n">
        <v>8.2</v>
      </c>
    </row>
    <row r="632" customFormat="false" ht="15" hidden="false" customHeight="false" outlineLevel="0" collapsed="false">
      <c r="A632" s="41" t="s">
        <v>810</v>
      </c>
      <c r="B632" s="41" t="s">
        <v>178</v>
      </c>
      <c r="C632" s="41" t="s">
        <v>85</v>
      </c>
      <c r="D632" s="41" t="s">
        <v>105</v>
      </c>
      <c r="E632" s="41" t="s">
        <v>103</v>
      </c>
      <c r="F632" s="41" t="s">
        <v>77</v>
      </c>
      <c r="G632" s="41" t="n">
        <v>64.19</v>
      </c>
      <c r="H632" s="41" t="n">
        <v>10</v>
      </c>
      <c r="I632" s="41" t="n">
        <v>32.095</v>
      </c>
      <c r="J632" s="41" t="n">
        <v>673.995</v>
      </c>
      <c r="K632" s="41" t="s">
        <v>1356</v>
      </c>
      <c r="L632" s="41" t="s">
        <v>1673</v>
      </c>
      <c r="M632" s="41" t="s">
        <v>99</v>
      </c>
      <c r="N632" s="41" t="n">
        <v>641.9</v>
      </c>
      <c r="O632" s="41" t="n">
        <v>4.761904762</v>
      </c>
      <c r="P632" s="41" t="n">
        <v>32.095</v>
      </c>
      <c r="Q632" s="41" t="n">
        <v>6.7</v>
      </c>
    </row>
    <row r="633" customFormat="false" ht="15" hidden="false" customHeight="false" outlineLevel="0" collapsed="false">
      <c r="A633" s="41" t="s">
        <v>811</v>
      </c>
      <c r="B633" s="41" t="s">
        <v>178</v>
      </c>
      <c r="C633" s="41" t="s">
        <v>85</v>
      </c>
      <c r="D633" s="41" t="s">
        <v>105</v>
      </c>
      <c r="E633" s="41" t="s">
        <v>103</v>
      </c>
      <c r="F633" s="41" t="s">
        <v>78</v>
      </c>
      <c r="G633" s="41" t="n">
        <v>78.31</v>
      </c>
      <c r="H633" s="41" t="n">
        <v>3</v>
      </c>
      <c r="I633" s="41" t="n">
        <v>11.7465</v>
      </c>
      <c r="J633" s="41" t="n">
        <v>246.6765</v>
      </c>
      <c r="K633" s="41" t="s">
        <v>1227</v>
      </c>
      <c r="L633" s="41" t="s">
        <v>1653</v>
      </c>
      <c r="M633" s="41" t="s">
        <v>98</v>
      </c>
      <c r="N633" s="41" t="n">
        <v>234.93</v>
      </c>
      <c r="O633" s="41" t="n">
        <v>4.761904762</v>
      </c>
      <c r="P633" s="41" t="n">
        <v>11.7465</v>
      </c>
      <c r="Q633" s="41" t="n">
        <v>5.4</v>
      </c>
    </row>
    <row r="634" customFormat="false" ht="15" hidden="false" customHeight="false" outlineLevel="0" collapsed="false">
      <c r="A634" s="41" t="s">
        <v>812</v>
      </c>
      <c r="B634" s="41" t="s">
        <v>178</v>
      </c>
      <c r="C634" s="41" t="s">
        <v>85</v>
      </c>
      <c r="D634" s="41" t="s">
        <v>104</v>
      </c>
      <c r="E634" s="41" t="s">
        <v>103</v>
      </c>
      <c r="F634" s="41" t="s">
        <v>76</v>
      </c>
      <c r="G634" s="41" t="n">
        <v>83.77</v>
      </c>
      <c r="H634" s="41" t="n">
        <v>2</v>
      </c>
      <c r="I634" s="41" t="n">
        <v>8.377</v>
      </c>
      <c r="J634" s="41" t="n">
        <v>175.917</v>
      </c>
      <c r="K634" s="41" t="s">
        <v>1218</v>
      </c>
      <c r="L634" s="41" t="s">
        <v>1468</v>
      </c>
      <c r="M634" s="41" t="s">
        <v>99</v>
      </c>
      <c r="N634" s="41" t="n">
        <v>167.54</v>
      </c>
      <c r="O634" s="41" t="n">
        <v>4.761904762</v>
      </c>
      <c r="P634" s="41" t="n">
        <v>8.377</v>
      </c>
      <c r="Q634" s="41" t="n">
        <v>7</v>
      </c>
    </row>
    <row r="635" customFormat="false" ht="15" hidden="false" customHeight="false" outlineLevel="0" collapsed="false">
      <c r="A635" s="41" t="s">
        <v>813</v>
      </c>
      <c r="B635" s="41" t="s">
        <v>189</v>
      </c>
      <c r="C635" s="41" t="s">
        <v>86</v>
      </c>
      <c r="D635" s="41" t="s">
        <v>105</v>
      </c>
      <c r="E635" s="41" t="s">
        <v>103</v>
      </c>
      <c r="F635" s="41" t="s">
        <v>80</v>
      </c>
      <c r="G635" s="41" t="n">
        <v>99.7</v>
      </c>
      <c r="H635" s="41" t="n">
        <v>3</v>
      </c>
      <c r="I635" s="41" t="n">
        <v>14.955</v>
      </c>
      <c r="J635" s="41" t="n">
        <v>314.055</v>
      </c>
      <c r="K635" s="41" t="s">
        <v>1442</v>
      </c>
      <c r="L635" s="41" t="s">
        <v>1674</v>
      </c>
      <c r="M635" s="41" t="s">
        <v>98</v>
      </c>
      <c r="N635" s="41" t="n">
        <v>299.1</v>
      </c>
      <c r="O635" s="41" t="n">
        <v>4.761904762</v>
      </c>
      <c r="P635" s="41" t="n">
        <v>14.955</v>
      </c>
      <c r="Q635" s="41" t="n">
        <v>4.7</v>
      </c>
    </row>
    <row r="636" customFormat="false" ht="15" hidden="false" customHeight="false" outlineLevel="0" collapsed="false">
      <c r="A636" s="41" t="s">
        <v>814</v>
      </c>
      <c r="B636" s="41" t="s">
        <v>189</v>
      </c>
      <c r="C636" s="41" t="s">
        <v>86</v>
      </c>
      <c r="D636" s="41" t="s">
        <v>104</v>
      </c>
      <c r="E636" s="41" t="s">
        <v>103</v>
      </c>
      <c r="F636" s="41" t="s">
        <v>76</v>
      </c>
      <c r="G636" s="41" t="n">
        <v>79.91</v>
      </c>
      <c r="H636" s="41" t="n">
        <v>3</v>
      </c>
      <c r="I636" s="41" t="n">
        <v>11.9865</v>
      </c>
      <c r="J636" s="41" t="n">
        <v>251.7165</v>
      </c>
      <c r="K636" s="41" t="s">
        <v>1446</v>
      </c>
      <c r="L636" s="41" t="s">
        <v>1466</v>
      </c>
      <c r="M636" s="41" t="s">
        <v>99</v>
      </c>
      <c r="N636" s="41" t="n">
        <v>239.73</v>
      </c>
      <c r="O636" s="41" t="n">
        <v>4.761904762</v>
      </c>
      <c r="P636" s="41" t="n">
        <v>11.9865</v>
      </c>
      <c r="Q636" s="41" t="n">
        <v>5</v>
      </c>
    </row>
    <row r="637" customFormat="false" ht="15" hidden="false" customHeight="false" outlineLevel="0" collapsed="false">
      <c r="A637" s="41" t="s">
        <v>815</v>
      </c>
      <c r="B637" s="41" t="s">
        <v>189</v>
      </c>
      <c r="C637" s="41" t="s">
        <v>86</v>
      </c>
      <c r="D637" s="41" t="s">
        <v>104</v>
      </c>
      <c r="E637" s="41" t="s">
        <v>103</v>
      </c>
      <c r="F637" s="41" t="s">
        <v>81</v>
      </c>
      <c r="G637" s="41" t="n">
        <v>66.47</v>
      </c>
      <c r="H637" s="41" t="n">
        <v>10</v>
      </c>
      <c r="I637" s="41" t="n">
        <v>33.235</v>
      </c>
      <c r="J637" s="41" t="n">
        <v>697.935</v>
      </c>
      <c r="K637" s="41" t="s">
        <v>1218</v>
      </c>
      <c r="L637" s="41" t="s">
        <v>1299</v>
      </c>
      <c r="M637" s="41" t="s">
        <v>99</v>
      </c>
      <c r="N637" s="41" t="n">
        <v>664.7</v>
      </c>
      <c r="O637" s="41" t="n">
        <v>4.761904762</v>
      </c>
      <c r="P637" s="41" t="n">
        <v>33.235</v>
      </c>
      <c r="Q637" s="41" t="n">
        <v>5</v>
      </c>
    </row>
    <row r="638" customFormat="false" ht="15" hidden="false" customHeight="false" outlineLevel="0" collapsed="false">
      <c r="A638" s="41" t="s">
        <v>816</v>
      </c>
      <c r="B638" s="41" t="s">
        <v>178</v>
      </c>
      <c r="C638" s="41" t="s">
        <v>85</v>
      </c>
      <c r="D638" s="41" t="s">
        <v>105</v>
      </c>
      <c r="E638" s="41" t="s">
        <v>103</v>
      </c>
      <c r="F638" s="41" t="s">
        <v>81</v>
      </c>
      <c r="G638" s="41" t="n">
        <v>28.95</v>
      </c>
      <c r="H638" s="41" t="n">
        <v>7</v>
      </c>
      <c r="I638" s="41" t="n">
        <v>10.1325</v>
      </c>
      <c r="J638" s="41" t="n">
        <v>212.7825</v>
      </c>
      <c r="K638" s="41" t="s">
        <v>1192</v>
      </c>
      <c r="L638" s="41" t="s">
        <v>1358</v>
      </c>
      <c r="M638" s="41" t="s">
        <v>99</v>
      </c>
      <c r="N638" s="41" t="n">
        <v>202.65</v>
      </c>
      <c r="O638" s="41" t="n">
        <v>4.761904762</v>
      </c>
      <c r="P638" s="41" t="n">
        <v>10.1325</v>
      </c>
      <c r="Q638" s="41" t="n">
        <v>6</v>
      </c>
    </row>
    <row r="639" customFormat="false" ht="15" hidden="false" customHeight="false" outlineLevel="0" collapsed="false">
      <c r="A639" s="41" t="s">
        <v>817</v>
      </c>
      <c r="B639" s="41" t="s">
        <v>180</v>
      </c>
      <c r="C639" s="41" t="s">
        <v>87</v>
      </c>
      <c r="D639" s="41" t="s">
        <v>105</v>
      </c>
      <c r="E639" s="41" t="s">
        <v>102</v>
      </c>
      <c r="F639" s="41" t="s">
        <v>78</v>
      </c>
      <c r="G639" s="41" t="n">
        <v>46.2</v>
      </c>
      <c r="H639" s="41" t="n">
        <v>1</v>
      </c>
      <c r="I639" s="41" t="n">
        <v>2.31</v>
      </c>
      <c r="J639" s="41" t="n">
        <v>48.51</v>
      </c>
      <c r="K639" s="41" t="s">
        <v>1270</v>
      </c>
      <c r="L639" s="41" t="s">
        <v>1675</v>
      </c>
      <c r="M639" s="41" t="s">
        <v>97</v>
      </c>
      <c r="N639" s="41" t="n">
        <v>46.2</v>
      </c>
      <c r="O639" s="41" t="n">
        <v>4.761904762</v>
      </c>
      <c r="P639" s="41" t="n">
        <v>2.31</v>
      </c>
      <c r="Q639" s="41" t="n">
        <v>6.3</v>
      </c>
    </row>
    <row r="640" customFormat="false" ht="15" hidden="false" customHeight="false" outlineLevel="0" collapsed="false">
      <c r="A640" s="41" t="s">
        <v>818</v>
      </c>
      <c r="B640" s="41" t="s">
        <v>189</v>
      </c>
      <c r="C640" s="41" t="s">
        <v>86</v>
      </c>
      <c r="D640" s="41" t="s">
        <v>104</v>
      </c>
      <c r="E640" s="41" t="s">
        <v>102</v>
      </c>
      <c r="F640" s="41" t="s">
        <v>76</v>
      </c>
      <c r="G640" s="41" t="n">
        <v>17.63</v>
      </c>
      <c r="H640" s="41" t="n">
        <v>5</v>
      </c>
      <c r="I640" s="41" t="n">
        <v>4.4075</v>
      </c>
      <c r="J640" s="41" t="n">
        <v>92.5575</v>
      </c>
      <c r="K640" s="41" t="s">
        <v>1190</v>
      </c>
      <c r="L640" s="41" t="s">
        <v>1669</v>
      </c>
      <c r="M640" s="41" t="s">
        <v>97</v>
      </c>
      <c r="N640" s="41" t="n">
        <v>88.15</v>
      </c>
      <c r="O640" s="41" t="n">
        <v>4.761904762</v>
      </c>
      <c r="P640" s="41" t="n">
        <v>4.4075</v>
      </c>
      <c r="Q640" s="41" t="n">
        <v>8.5</v>
      </c>
    </row>
    <row r="641" customFormat="false" ht="15" hidden="false" customHeight="false" outlineLevel="0" collapsed="false">
      <c r="A641" s="41" t="s">
        <v>819</v>
      </c>
      <c r="B641" s="41" t="s">
        <v>189</v>
      </c>
      <c r="C641" s="41" t="s">
        <v>86</v>
      </c>
      <c r="D641" s="41" t="s">
        <v>105</v>
      </c>
      <c r="E641" s="41" t="s">
        <v>103</v>
      </c>
      <c r="F641" s="41" t="s">
        <v>79</v>
      </c>
      <c r="G641" s="41" t="n">
        <v>52.42</v>
      </c>
      <c r="H641" s="41" t="n">
        <v>3</v>
      </c>
      <c r="I641" s="41" t="n">
        <v>7.863</v>
      </c>
      <c r="J641" s="41" t="n">
        <v>165.123</v>
      </c>
      <c r="K641" s="41" t="s">
        <v>1265</v>
      </c>
      <c r="L641" s="41" t="s">
        <v>1234</v>
      </c>
      <c r="M641" s="41" t="s">
        <v>98</v>
      </c>
      <c r="N641" s="41" t="n">
        <v>157.26</v>
      </c>
      <c r="O641" s="41" t="n">
        <v>4.761904762</v>
      </c>
      <c r="P641" s="41" t="n">
        <v>7.863</v>
      </c>
      <c r="Q641" s="41" t="n">
        <v>7.5</v>
      </c>
    </row>
    <row r="642" customFormat="false" ht="15" hidden="false" customHeight="false" outlineLevel="0" collapsed="false">
      <c r="A642" s="41" t="s">
        <v>820</v>
      </c>
      <c r="B642" s="41" t="s">
        <v>189</v>
      </c>
      <c r="C642" s="41" t="s">
        <v>86</v>
      </c>
      <c r="D642" s="41" t="s">
        <v>104</v>
      </c>
      <c r="E642" s="41" t="s">
        <v>102</v>
      </c>
      <c r="F642" s="41" t="s">
        <v>76</v>
      </c>
      <c r="G642" s="41" t="n">
        <v>98.79</v>
      </c>
      <c r="H642" s="41" t="n">
        <v>3</v>
      </c>
      <c r="I642" s="41" t="n">
        <v>14.8185</v>
      </c>
      <c r="J642" s="41" t="n">
        <v>311.1885</v>
      </c>
      <c r="K642" s="41" t="s">
        <v>1321</v>
      </c>
      <c r="L642" s="41" t="s">
        <v>166</v>
      </c>
      <c r="M642" s="41" t="s">
        <v>98</v>
      </c>
      <c r="N642" s="41" t="n">
        <v>296.37</v>
      </c>
      <c r="O642" s="41" t="n">
        <v>4.761904762</v>
      </c>
      <c r="P642" s="41" t="n">
        <v>14.8185</v>
      </c>
      <c r="Q642" s="41" t="n">
        <v>6.4</v>
      </c>
    </row>
    <row r="643" customFormat="false" ht="15" hidden="false" customHeight="false" outlineLevel="0" collapsed="false">
      <c r="A643" s="41" t="s">
        <v>821</v>
      </c>
      <c r="B643" s="41" t="s">
        <v>180</v>
      </c>
      <c r="C643" s="41" t="s">
        <v>87</v>
      </c>
      <c r="D643" s="41" t="s">
        <v>104</v>
      </c>
      <c r="E643" s="41" t="s">
        <v>102</v>
      </c>
      <c r="F643" s="41" t="s">
        <v>78</v>
      </c>
      <c r="G643" s="41" t="n">
        <v>88.55</v>
      </c>
      <c r="H643" s="41" t="n">
        <v>8</v>
      </c>
      <c r="I643" s="41" t="n">
        <v>35.42</v>
      </c>
      <c r="J643" s="41" t="n">
        <v>743.82</v>
      </c>
      <c r="K643" s="41" t="s">
        <v>1270</v>
      </c>
      <c r="L643" s="41" t="s">
        <v>1676</v>
      </c>
      <c r="M643" s="41" t="s">
        <v>98</v>
      </c>
      <c r="N643" s="41" t="n">
        <v>708.4</v>
      </c>
      <c r="O643" s="41" t="n">
        <v>4.761904762</v>
      </c>
      <c r="P643" s="41" t="n">
        <v>35.42</v>
      </c>
      <c r="Q643" s="41" t="n">
        <v>4.7</v>
      </c>
    </row>
    <row r="644" customFormat="false" ht="15" hidden="false" customHeight="false" outlineLevel="0" collapsed="false">
      <c r="A644" s="41" t="s">
        <v>822</v>
      </c>
      <c r="B644" s="41" t="s">
        <v>189</v>
      </c>
      <c r="C644" s="41" t="s">
        <v>86</v>
      </c>
      <c r="D644" s="41" t="s">
        <v>104</v>
      </c>
      <c r="E644" s="41" t="s">
        <v>103</v>
      </c>
      <c r="F644" s="41" t="s">
        <v>78</v>
      </c>
      <c r="G644" s="41" t="n">
        <v>55.67</v>
      </c>
      <c r="H644" s="41" t="n">
        <v>2</v>
      </c>
      <c r="I644" s="41" t="n">
        <v>5.567</v>
      </c>
      <c r="J644" s="41" t="n">
        <v>116.907</v>
      </c>
      <c r="K644" s="41" t="s">
        <v>1281</v>
      </c>
      <c r="L644" s="41" t="s">
        <v>1533</v>
      </c>
      <c r="M644" s="41" t="s">
        <v>98</v>
      </c>
      <c r="N644" s="41" t="n">
        <v>111.34</v>
      </c>
      <c r="O644" s="41" t="n">
        <v>4.761904762</v>
      </c>
      <c r="P644" s="41" t="n">
        <v>5.567</v>
      </c>
      <c r="Q644" s="41" t="n">
        <v>6</v>
      </c>
    </row>
    <row r="645" customFormat="false" ht="15" hidden="false" customHeight="false" outlineLevel="0" collapsed="false">
      <c r="A645" s="41" t="s">
        <v>823</v>
      </c>
      <c r="B645" s="41" t="s">
        <v>180</v>
      </c>
      <c r="C645" s="41" t="s">
        <v>87</v>
      </c>
      <c r="D645" s="41" t="s">
        <v>104</v>
      </c>
      <c r="E645" s="41" t="s">
        <v>102</v>
      </c>
      <c r="F645" s="41" t="s">
        <v>76</v>
      </c>
      <c r="G645" s="41" t="n">
        <v>72.52</v>
      </c>
      <c r="H645" s="41" t="n">
        <v>8</v>
      </c>
      <c r="I645" s="41" t="n">
        <v>29.008</v>
      </c>
      <c r="J645" s="41" t="n">
        <v>609.168</v>
      </c>
      <c r="K645" s="41" t="s">
        <v>1399</v>
      </c>
      <c r="L645" s="41" t="s">
        <v>1474</v>
      </c>
      <c r="M645" s="41" t="s">
        <v>99</v>
      </c>
      <c r="N645" s="41" t="n">
        <v>580.16</v>
      </c>
      <c r="O645" s="41" t="n">
        <v>4.761904762</v>
      </c>
      <c r="P645" s="41" t="n">
        <v>29.008</v>
      </c>
      <c r="Q645" s="41" t="n">
        <v>4</v>
      </c>
    </row>
    <row r="646" customFormat="false" ht="15" hidden="false" customHeight="false" outlineLevel="0" collapsed="false">
      <c r="A646" s="41" t="s">
        <v>824</v>
      </c>
      <c r="B646" s="41" t="s">
        <v>180</v>
      </c>
      <c r="C646" s="41" t="s">
        <v>87</v>
      </c>
      <c r="D646" s="41" t="s">
        <v>104</v>
      </c>
      <c r="E646" s="41" t="s">
        <v>103</v>
      </c>
      <c r="F646" s="41" t="s">
        <v>78</v>
      </c>
      <c r="G646" s="41" t="n">
        <v>12.05</v>
      </c>
      <c r="H646" s="41" t="n">
        <v>5</v>
      </c>
      <c r="I646" s="41" t="n">
        <v>3.0125</v>
      </c>
      <c r="J646" s="41" t="n">
        <v>63.2625</v>
      </c>
      <c r="K646" s="41" t="s">
        <v>1381</v>
      </c>
      <c r="L646" s="41" t="s">
        <v>1447</v>
      </c>
      <c r="M646" s="41" t="s">
        <v>98</v>
      </c>
      <c r="N646" s="41" t="n">
        <v>60.25</v>
      </c>
      <c r="O646" s="41" t="n">
        <v>4.761904762</v>
      </c>
      <c r="P646" s="41" t="n">
        <v>3.0125</v>
      </c>
      <c r="Q646" s="41" t="n">
        <v>5.5</v>
      </c>
    </row>
    <row r="647" customFormat="false" ht="15" hidden="false" customHeight="false" outlineLevel="0" collapsed="false">
      <c r="A647" s="41" t="s">
        <v>825</v>
      </c>
      <c r="B647" s="41" t="s">
        <v>178</v>
      </c>
      <c r="C647" s="41" t="s">
        <v>85</v>
      </c>
      <c r="D647" s="41" t="s">
        <v>104</v>
      </c>
      <c r="E647" s="41" t="s">
        <v>103</v>
      </c>
      <c r="F647" s="41" t="s">
        <v>80</v>
      </c>
      <c r="G647" s="41" t="n">
        <v>19.36</v>
      </c>
      <c r="H647" s="41" t="n">
        <v>9</v>
      </c>
      <c r="I647" s="41" t="n">
        <v>8.712</v>
      </c>
      <c r="J647" s="41" t="n">
        <v>182.952</v>
      </c>
      <c r="K647" s="41" t="s">
        <v>1378</v>
      </c>
      <c r="L647" s="41" t="s">
        <v>1633</v>
      </c>
      <c r="M647" s="41" t="s">
        <v>98</v>
      </c>
      <c r="N647" s="41" t="n">
        <v>174.24</v>
      </c>
      <c r="O647" s="41" t="n">
        <v>4.761904762</v>
      </c>
      <c r="P647" s="41" t="n">
        <v>8.712</v>
      </c>
      <c r="Q647" s="41" t="n">
        <v>8.7</v>
      </c>
    </row>
    <row r="648" customFormat="false" ht="15" hidden="false" customHeight="false" outlineLevel="0" collapsed="false">
      <c r="A648" s="41" t="s">
        <v>826</v>
      </c>
      <c r="B648" s="41" t="s">
        <v>180</v>
      </c>
      <c r="C648" s="41" t="s">
        <v>87</v>
      </c>
      <c r="D648" s="41" t="s">
        <v>105</v>
      </c>
      <c r="E648" s="41" t="s">
        <v>103</v>
      </c>
      <c r="F648" s="41" t="s">
        <v>81</v>
      </c>
      <c r="G648" s="41" t="n">
        <v>70.21</v>
      </c>
      <c r="H648" s="41" t="n">
        <v>6</v>
      </c>
      <c r="I648" s="41" t="n">
        <v>21.063</v>
      </c>
      <c r="J648" s="41" t="n">
        <v>442.323</v>
      </c>
      <c r="K648" s="41" t="s">
        <v>1399</v>
      </c>
      <c r="L648" s="41" t="s">
        <v>1677</v>
      </c>
      <c r="M648" s="41" t="s">
        <v>97</v>
      </c>
      <c r="N648" s="41" t="n">
        <v>421.26</v>
      </c>
      <c r="O648" s="41" t="n">
        <v>4.761904762</v>
      </c>
      <c r="P648" s="41" t="n">
        <v>21.063</v>
      </c>
      <c r="Q648" s="41" t="n">
        <v>7.4</v>
      </c>
    </row>
    <row r="649" customFormat="false" ht="15" hidden="false" customHeight="false" outlineLevel="0" collapsed="false">
      <c r="A649" s="41" t="s">
        <v>827</v>
      </c>
      <c r="B649" s="41" t="s">
        <v>189</v>
      </c>
      <c r="C649" s="41" t="s">
        <v>86</v>
      </c>
      <c r="D649" s="41" t="s">
        <v>104</v>
      </c>
      <c r="E649" s="41" t="s">
        <v>103</v>
      </c>
      <c r="F649" s="41" t="s">
        <v>79</v>
      </c>
      <c r="G649" s="41" t="n">
        <v>33.63</v>
      </c>
      <c r="H649" s="41" t="n">
        <v>1</v>
      </c>
      <c r="I649" s="41" t="n">
        <v>1.6815</v>
      </c>
      <c r="J649" s="41" t="n">
        <v>35.3115</v>
      </c>
      <c r="K649" s="41" t="s">
        <v>1446</v>
      </c>
      <c r="L649" s="41" t="s">
        <v>1645</v>
      </c>
      <c r="M649" s="41" t="s">
        <v>97</v>
      </c>
      <c r="N649" s="41" t="n">
        <v>33.63</v>
      </c>
      <c r="O649" s="41" t="n">
        <v>4.761904762</v>
      </c>
      <c r="P649" s="41" t="n">
        <v>1.6815</v>
      </c>
      <c r="Q649" s="41" t="n">
        <v>5.6</v>
      </c>
    </row>
    <row r="650" customFormat="false" ht="15" hidden="false" customHeight="false" outlineLevel="0" collapsed="false">
      <c r="A650" s="41" t="s">
        <v>828</v>
      </c>
      <c r="B650" s="41" t="s">
        <v>180</v>
      </c>
      <c r="C650" s="41" t="s">
        <v>87</v>
      </c>
      <c r="D650" s="41" t="s">
        <v>104</v>
      </c>
      <c r="E650" s="41" t="s">
        <v>102</v>
      </c>
      <c r="F650" s="41" t="s">
        <v>77</v>
      </c>
      <c r="G650" s="41" t="n">
        <v>15.49</v>
      </c>
      <c r="H650" s="41" t="n">
        <v>2</v>
      </c>
      <c r="I650" s="41" t="n">
        <v>1.549</v>
      </c>
      <c r="J650" s="41" t="n">
        <v>32.529</v>
      </c>
      <c r="K650" s="41" t="s">
        <v>1360</v>
      </c>
      <c r="L650" s="41" t="s">
        <v>1274</v>
      </c>
      <c r="M650" s="41" t="s">
        <v>97</v>
      </c>
      <c r="N650" s="41" t="n">
        <v>30.98</v>
      </c>
      <c r="O650" s="41" t="n">
        <v>4.761904762</v>
      </c>
      <c r="P650" s="41" t="n">
        <v>1.549</v>
      </c>
      <c r="Q650" s="41" t="n">
        <v>6.3</v>
      </c>
    </row>
    <row r="651" customFormat="false" ht="15" hidden="false" customHeight="false" outlineLevel="0" collapsed="false">
      <c r="A651" s="41" t="s">
        <v>829</v>
      </c>
      <c r="B651" s="41" t="s">
        <v>180</v>
      </c>
      <c r="C651" s="41" t="s">
        <v>87</v>
      </c>
      <c r="D651" s="41" t="s">
        <v>105</v>
      </c>
      <c r="E651" s="41" t="s">
        <v>103</v>
      </c>
      <c r="F651" s="41" t="s">
        <v>78</v>
      </c>
      <c r="G651" s="41" t="n">
        <v>24.74</v>
      </c>
      <c r="H651" s="41" t="n">
        <v>10</v>
      </c>
      <c r="I651" s="41" t="n">
        <v>12.37</v>
      </c>
      <c r="J651" s="41" t="n">
        <v>259.77</v>
      </c>
      <c r="K651" s="41" t="s">
        <v>1202</v>
      </c>
      <c r="L651" s="41" t="s">
        <v>1344</v>
      </c>
      <c r="M651" s="41" t="s">
        <v>97</v>
      </c>
      <c r="N651" s="41" t="n">
        <v>247.4</v>
      </c>
      <c r="O651" s="41" t="n">
        <v>4.761904762</v>
      </c>
      <c r="P651" s="41" t="n">
        <v>12.37</v>
      </c>
      <c r="Q651" s="41" t="n">
        <v>7.1</v>
      </c>
    </row>
    <row r="652" customFormat="false" ht="15" hidden="false" customHeight="false" outlineLevel="0" collapsed="false">
      <c r="A652" s="41" t="s">
        <v>830</v>
      </c>
      <c r="B652" s="41" t="s">
        <v>189</v>
      </c>
      <c r="C652" s="41" t="s">
        <v>86</v>
      </c>
      <c r="D652" s="41" t="s">
        <v>105</v>
      </c>
      <c r="E652" s="41" t="s">
        <v>103</v>
      </c>
      <c r="F652" s="41" t="s">
        <v>78</v>
      </c>
      <c r="G652" s="41" t="n">
        <v>75.66</v>
      </c>
      <c r="H652" s="41" t="n">
        <v>5</v>
      </c>
      <c r="I652" s="41" t="n">
        <v>18.915</v>
      </c>
      <c r="J652" s="41" t="n">
        <v>397.215</v>
      </c>
      <c r="K652" s="41" t="s">
        <v>1218</v>
      </c>
      <c r="L652" s="41" t="s">
        <v>1552</v>
      </c>
      <c r="M652" s="41" t="s">
        <v>98</v>
      </c>
      <c r="N652" s="41" t="n">
        <v>378.3</v>
      </c>
      <c r="O652" s="41" t="n">
        <v>4.761904762</v>
      </c>
      <c r="P652" s="41" t="n">
        <v>18.915</v>
      </c>
      <c r="Q652" s="41" t="n">
        <v>7.8</v>
      </c>
    </row>
    <row r="653" customFormat="false" ht="15" hidden="false" customHeight="false" outlineLevel="0" collapsed="false">
      <c r="A653" s="41" t="s">
        <v>831</v>
      </c>
      <c r="B653" s="41" t="s">
        <v>189</v>
      </c>
      <c r="C653" s="41" t="s">
        <v>86</v>
      </c>
      <c r="D653" s="41" t="s">
        <v>105</v>
      </c>
      <c r="E653" s="41" t="s">
        <v>102</v>
      </c>
      <c r="F653" s="41" t="s">
        <v>81</v>
      </c>
      <c r="G653" s="41" t="n">
        <v>55.81</v>
      </c>
      <c r="H653" s="41" t="n">
        <v>6</v>
      </c>
      <c r="I653" s="41" t="n">
        <v>16.743</v>
      </c>
      <c r="J653" s="41" t="n">
        <v>351.603</v>
      </c>
      <c r="K653" s="41" t="s">
        <v>1308</v>
      </c>
      <c r="L653" s="41" t="s">
        <v>1678</v>
      </c>
      <c r="M653" s="41" t="s">
        <v>97</v>
      </c>
      <c r="N653" s="41" t="n">
        <v>334.86</v>
      </c>
      <c r="O653" s="41" t="n">
        <v>4.761904762</v>
      </c>
      <c r="P653" s="41" t="n">
        <v>16.743</v>
      </c>
      <c r="Q653" s="41" t="n">
        <v>9.9</v>
      </c>
    </row>
    <row r="654" customFormat="false" ht="15" hidden="false" customHeight="false" outlineLevel="0" collapsed="false">
      <c r="A654" s="41" t="s">
        <v>832</v>
      </c>
      <c r="B654" s="41" t="s">
        <v>178</v>
      </c>
      <c r="C654" s="41" t="s">
        <v>85</v>
      </c>
      <c r="D654" s="41" t="s">
        <v>104</v>
      </c>
      <c r="E654" s="41" t="s">
        <v>103</v>
      </c>
      <c r="F654" s="41" t="s">
        <v>80</v>
      </c>
      <c r="G654" s="41" t="n">
        <v>72.78</v>
      </c>
      <c r="H654" s="41" t="n">
        <v>10</v>
      </c>
      <c r="I654" s="41" t="n">
        <v>36.39</v>
      </c>
      <c r="J654" s="41" t="n">
        <v>764.19</v>
      </c>
      <c r="K654" s="41" t="s">
        <v>1272</v>
      </c>
      <c r="L654" s="41" t="s">
        <v>1266</v>
      </c>
      <c r="M654" s="41" t="s">
        <v>97</v>
      </c>
      <c r="N654" s="41" t="n">
        <v>727.8</v>
      </c>
      <c r="O654" s="41" t="n">
        <v>4.761904762</v>
      </c>
      <c r="P654" s="41" t="n">
        <v>36.39</v>
      </c>
      <c r="Q654" s="41" t="n">
        <v>7.3</v>
      </c>
    </row>
    <row r="655" customFormat="false" ht="15" hidden="false" customHeight="false" outlineLevel="0" collapsed="false">
      <c r="A655" s="41" t="s">
        <v>833</v>
      </c>
      <c r="B655" s="41" t="s">
        <v>189</v>
      </c>
      <c r="C655" s="41" t="s">
        <v>86</v>
      </c>
      <c r="D655" s="41" t="s">
        <v>104</v>
      </c>
      <c r="E655" s="41" t="s">
        <v>103</v>
      </c>
      <c r="F655" s="41" t="s">
        <v>77</v>
      </c>
      <c r="G655" s="41" t="n">
        <v>37.32</v>
      </c>
      <c r="H655" s="41" t="n">
        <v>9</v>
      </c>
      <c r="I655" s="41" t="n">
        <v>16.794</v>
      </c>
      <c r="J655" s="41" t="n">
        <v>352.674</v>
      </c>
      <c r="K655" s="41" t="s">
        <v>1292</v>
      </c>
      <c r="L655" s="41" t="s">
        <v>1237</v>
      </c>
      <c r="M655" s="41" t="s">
        <v>98</v>
      </c>
      <c r="N655" s="41" t="n">
        <v>335.88</v>
      </c>
      <c r="O655" s="41" t="n">
        <v>4.761904762</v>
      </c>
      <c r="P655" s="41" t="n">
        <v>16.794</v>
      </c>
      <c r="Q655" s="41" t="n">
        <v>5.1</v>
      </c>
    </row>
    <row r="656" customFormat="false" ht="15" hidden="false" customHeight="false" outlineLevel="0" collapsed="false">
      <c r="A656" s="41" t="s">
        <v>834</v>
      </c>
      <c r="B656" s="41" t="s">
        <v>189</v>
      </c>
      <c r="C656" s="41" t="s">
        <v>86</v>
      </c>
      <c r="D656" s="41" t="s">
        <v>104</v>
      </c>
      <c r="E656" s="41" t="s">
        <v>103</v>
      </c>
      <c r="F656" s="41" t="s">
        <v>79</v>
      </c>
      <c r="G656" s="41" t="n">
        <v>60.18</v>
      </c>
      <c r="H656" s="41" t="n">
        <v>4</v>
      </c>
      <c r="I656" s="41" t="n">
        <v>12.036</v>
      </c>
      <c r="J656" s="41" t="n">
        <v>252.756</v>
      </c>
      <c r="K656" s="41" t="s">
        <v>1381</v>
      </c>
      <c r="L656" s="41" t="s">
        <v>1629</v>
      </c>
      <c r="M656" s="41" t="s">
        <v>99</v>
      </c>
      <c r="N656" s="41" t="n">
        <v>240.72</v>
      </c>
      <c r="O656" s="41" t="n">
        <v>4.761904762</v>
      </c>
      <c r="P656" s="41" t="n">
        <v>12.036</v>
      </c>
      <c r="Q656" s="41" t="n">
        <v>9.4</v>
      </c>
    </row>
    <row r="657" customFormat="false" ht="15" hidden="false" customHeight="false" outlineLevel="0" collapsed="false">
      <c r="A657" s="41" t="s">
        <v>835</v>
      </c>
      <c r="B657" s="41" t="s">
        <v>178</v>
      </c>
      <c r="C657" s="41" t="s">
        <v>85</v>
      </c>
      <c r="D657" s="41" t="s">
        <v>105</v>
      </c>
      <c r="E657" s="41" t="s">
        <v>102</v>
      </c>
      <c r="F657" s="41" t="s">
        <v>78</v>
      </c>
      <c r="G657" s="41" t="n">
        <v>15.69</v>
      </c>
      <c r="H657" s="41" t="n">
        <v>3</v>
      </c>
      <c r="I657" s="41" t="n">
        <v>2.3535</v>
      </c>
      <c r="J657" s="41" t="n">
        <v>49.4235</v>
      </c>
      <c r="K657" s="41" t="s">
        <v>1494</v>
      </c>
      <c r="L657" s="41" t="s">
        <v>1656</v>
      </c>
      <c r="M657" s="41" t="s">
        <v>99</v>
      </c>
      <c r="N657" s="41" t="n">
        <v>47.07</v>
      </c>
      <c r="O657" s="41" t="n">
        <v>4.761904762</v>
      </c>
      <c r="P657" s="41" t="n">
        <v>2.3535</v>
      </c>
      <c r="Q657" s="41" t="n">
        <v>5.8</v>
      </c>
    </row>
    <row r="658" customFormat="false" ht="15" hidden="false" customHeight="false" outlineLevel="0" collapsed="false">
      <c r="A658" s="41" t="s">
        <v>836</v>
      </c>
      <c r="B658" s="41" t="s">
        <v>180</v>
      </c>
      <c r="C658" s="41" t="s">
        <v>87</v>
      </c>
      <c r="D658" s="41" t="s">
        <v>105</v>
      </c>
      <c r="E658" s="41" t="s">
        <v>102</v>
      </c>
      <c r="F658" s="41" t="s">
        <v>78</v>
      </c>
      <c r="G658" s="41" t="n">
        <v>99.69</v>
      </c>
      <c r="H658" s="41" t="n">
        <v>1</v>
      </c>
      <c r="I658" s="41" t="n">
        <v>4.9845</v>
      </c>
      <c r="J658" s="41" t="n">
        <v>104.6745</v>
      </c>
      <c r="K658" s="41" t="s">
        <v>1265</v>
      </c>
      <c r="L658" s="41" t="s">
        <v>1324</v>
      </c>
      <c r="M658" s="41" t="s">
        <v>99</v>
      </c>
      <c r="N658" s="41" t="n">
        <v>99.69</v>
      </c>
      <c r="O658" s="41" t="n">
        <v>4.761904762</v>
      </c>
      <c r="P658" s="41" t="n">
        <v>4.9845</v>
      </c>
      <c r="Q658" s="41" t="n">
        <v>8</v>
      </c>
    </row>
    <row r="659" customFormat="false" ht="15" hidden="false" customHeight="false" outlineLevel="0" collapsed="false">
      <c r="A659" s="41" t="s">
        <v>837</v>
      </c>
      <c r="B659" s="41" t="s">
        <v>178</v>
      </c>
      <c r="C659" s="41" t="s">
        <v>85</v>
      </c>
      <c r="D659" s="41" t="s">
        <v>104</v>
      </c>
      <c r="E659" s="41" t="s">
        <v>102</v>
      </c>
      <c r="F659" s="41" t="s">
        <v>79</v>
      </c>
      <c r="G659" s="41" t="n">
        <v>88.15</v>
      </c>
      <c r="H659" s="41" t="n">
        <v>3</v>
      </c>
      <c r="I659" s="41" t="n">
        <v>13.2225</v>
      </c>
      <c r="J659" s="41" t="n">
        <v>277.6725</v>
      </c>
      <c r="K659" s="41" t="s">
        <v>1378</v>
      </c>
      <c r="L659" s="41" t="s">
        <v>1259</v>
      </c>
      <c r="M659" s="41" t="s">
        <v>98</v>
      </c>
      <c r="N659" s="41" t="n">
        <v>264.45</v>
      </c>
      <c r="O659" s="41" t="n">
        <v>4.761904762</v>
      </c>
      <c r="P659" s="41" t="n">
        <v>13.2225</v>
      </c>
      <c r="Q659" s="41" t="n">
        <v>7.9</v>
      </c>
    </row>
    <row r="660" customFormat="false" ht="15" hidden="false" customHeight="false" outlineLevel="0" collapsed="false">
      <c r="A660" s="41" t="s">
        <v>838</v>
      </c>
      <c r="B660" s="41" t="s">
        <v>178</v>
      </c>
      <c r="C660" s="41" t="s">
        <v>85</v>
      </c>
      <c r="D660" s="41" t="s">
        <v>104</v>
      </c>
      <c r="E660" s="41" t="s">
        <v>102</v>
      </c>
      <c r="F660" s="41" t="s">
        <v>77</v>
      </c>
      <c r="G660" s="41" t="n">
        <v>27.93</v>
      </c>
      <c r="H660" s="41" t="n">
        <v>5</v>
      </c>
      <c r="I660" s="41" t="n">
        <v>6.9825</v>
      </c>
      <c r="J660" s="41" t="n">
        <v>146.6325</v>
      </c>
      <c r="K660" s="41" t="s">
        <v>1392</v>
      </c>
      <c r="L660" s="41" t="s">
        <v>1314</v>
      </c>
      <c r="M660" s="41" t="s">
        <v>97</v>
      </c>
      <c r="N660" s="41" t="n">
        <v>139.65</v>
      </c>
      <c r="O660" s="41" t="n">
        <v>4.761904762</v>
      </c>
      <c r="P660" s="41" t="n">
        <v>6.9825</v>
      </c>
      <c r="Q660" s="41" t="n">
        <v>5.9</v>
      </c>
    </row>
    <row r="661" customFormat="false" ht="15" hidden="false" customHeight="false" outlineLevel="0" collapsed="false">
      <c r="A661" s="41" t="s">
        <v>839</v>
      </c>
      <c r="B661" s="41" t="s">
        <v>178</v>
      </c>
      <c r="C661" s="41" t="s">
        <v>85</v>
      </c>
      <c r="D661" s="41" t="s">
        <v>104</v>
      </c>
      <c r="E661" s="41" t="s">
        <v>103</v>
      </c>
      <c r="F661" s="41" t="s">
        <v>79</v>
      </c>
      <c r="G661" s="41" t="n">
        <v>55.45</v>
      </c>
      <c r="H661" s="41" t="n">
        <v>1</v>
      </c>
      <c r="I661" s="41" t="n">
        <v>2.7725</v>
      </c>
      <c r="J661" s="41" t="n">
        <v>58.2225</v>
      </c>
      <c r="K661" s="41" t="s">
        <v>1463</v>
      </c>
      <c r="L661" s="41" t="s">
        <v>1679</v>
      </c>
      <c r="M661" s="41" t="s">
        <v>99</v>
      </c>
      <c r="N661" s="41" t="n">
        <v>55.45</v>
      </c>
      <c r="O661" s="41" t="n">
        <v>4.761904762</v>
      </c>
      <c r="P661" s="41" t="n">
        <v>2.7725</v>
      </c>
      <c r="Q661" s="41" t="n">
        <v>4.9</v>
      </c>
    </row>
    <row r="662" customFormat="false" ht="15" hidden="false" customHeight="false" outlineLevel="0" collapsed="false">
      <c r="A662" s="41" t="s">
        <v>840</v>
      </c>
      <c r="B662" s="41" t="s">
        <v>189</v>
      </c>
      <c r="C662" s="41" t="s">
        <v>86</v>
      </c>
      <c r="D662" s="41" t="s">
        <v>105</v>
      </c>
      <c r="E662" s="41" t="s">
        <v>102</v>
      </c>
      <c r="F662" s="41" t="s">
        <v>77</v>
      </c>
      <c r="G662" s="41" t="n">
        <v>42.97</v>
      </c>
      <c r="H662" s="41" t="n">
        <v>3</v>
      </c>
      <c r="I662" s="41" t="n">
        <v>6.4455</v>
      </c>
      <c r="J662" s="41" t="n">
        <v>135.3555</v>
      </c>
      <c r="K662" s="41" t="s">
        <v>1272</v>
      </c>
      <c r="L662" s="41" t="s">
        <v>1515</v>
      </c>
      <c r="M662" s="41" t="s">
        <v>97</v>
      </c>
      <c r="N662" s="41" t="n">
        <v>128.91</v>
      </c>
      <c r="O662" s="41" t="n">
        <v>4.761904762</v>
      </c>
      <c r="P662" s="41" t="n">
        <v>6.4455</v>
      </c>
      <c r="Q662" s="41" t="n">
        <v>9.3</v>
      </c>
    </row>
    <row r="663" customFormat="false" ht="15" hidden="false" customHeight="false" outlineLevel="0" collapsed="false">
      <c r="A663" s="41" t="s">
        <v>841</v>
      </c>
      <c r="B663" s="41" t="s">
        <v>180</v>
      </c>
      <c r="C663" s="41" t="s">
        <v>87</v>
      </c>
      <c r="D663" s="41" t="s">
        <v>104</v>
      </c>
      <c r="E663" s="41" t="s">
        <v>103</v>
      </c>
      <c r="F663" s="41" t="s">
        <v>77</v>
      </c>
      <c r="G663" s="41" t="n">
        <v>17.14</v>
      </c>
      <c r="H663" s="41" t="n">
        <v>7</v>
      </c>
      <c r="I663" s="41" t="n">
        <v>5.999</v>
      </c>
      <c r="J663" s="41" t="n">
        <v>125.979</v>
      </c>
      <c r="K663" s="41" t="s">
        <v>1360</v>
      </c>
      <c r="L663" s="41" t="s">
        <v>1619</v>
      </c>
      <c r="M663" s="41" t="s">
        <v>99</v>
      </c>
      <c r="N663" s="41" t="n">
        <v>119.98</v>
      </c>
      <c r="O663" s="41" t="n">
        <v>4.761904762</v>
      </c>
      <c r="P663" s="41" t="n">
        <v>5.999</v>
      </c>
      <c r="Q663" s="41" t="n">
        <v>7.9</v>
      </c>
    </row>
    <row r="664" customFormat="false" ht="15" hidden="false" customHeight="false" outlineLevel="0" collapsed="false">
      <c r="A664" s="41" t="s">
        <v>842</v>
      </c>
      <c r="B664" s="41" t="s">
        <v>189</v>
      </c>
      <c r="C664" s="41" t="s">
        <v>86</v>
      </c>
      <c r="D664" s="41" t="s">
        <v>104</v>
      </c>
      <c r="E664" s="41" t="s">
        <v>102</v>
      </c>
      <c r="F664" s="41" t="s">
        <v>79</v>
      </c>
      <c r="G664" s="41" t="n">
        <v>58.75</v>
      </c>
      <c r="H664" s="41" t="n">
        <v>6</v>
      </c>
      <c r="I664" s="41" t="n">
        <v>17.625</v>
      </c>
      <c r="J664" s="41" t="n">
        <v>370.125</v>
      </c>
      <c r="K664" s="41" t="s">
        <v>1349</v>
      </c>
      <c r="L664" s="41" t="s">
        <v>1337</v>
      </c>
      <c r="M664" s="41" t="s">
        <v>99</v>
      </c>
      <c r="N664" s="41" t="n">
        <v>352.5</v>
      </c>
      <c r="O664" s="41" t="n">
        <v>4.761904762</v>
      </c>
      <c r="P664" s="41" t="n">
        <v>17.625</v>
      </c>
      <c r="Q664" s="41" t="n">
        <v>5.9</v>
      </c>
    </row>
    <row r="665" customFormat="false" ht="15" hidden="false" customHeight="false" outlineLevel="0" collapsed="false">
      <c r="A665" s="41" t="s">
        <v>843</v>
      </c>
      <c r="B665" s="41" t="s">
        <v>180</v>
      </c>
      <c r="C665" s="41" t="s">
        <v>87</v>
      </c>
      <c r="D665" s="41" t="s">
        <v>104</v>
      </c>
      <c r="E665" s="41" t="s">
        <v>102</v>
      </c>
      <c r="F665" s="41" t="s">
        <v>76</v>
      </c>
      <c r="G665" s="41" t="n">
        <v>87.1</v>
      </c>
      <c r="H665" s="41" t="n">
        <v>10</v>
      </c>
      <c r="I665" s="41" t="n">
        <v>43.55</v>
      </c>
      <c r="J665" s="41" t="n">
        <v>914.55</v>
      </c>
      <c r="K665" s="41" t="s">
        <v>1212</v>
      </c>
      <c r="L665" s="41" t="s">
        <v>1680</v>
      </c>
      <c r="M665" s="41" t="s">
        <v>99</v>
      </c>
      <c r="N665" s="41" t="n">
        <v>871</v>
      </c>
      <c r="O665" s="41" t="n">
        <v>4.761904762</v>
      </c>
      <c r="P665" s="41" t="n">
        <v>43.55</v>
      </c>
      <c r="Q665" s="41" t="n">
        <v>9.9</v>
      </c>
    </row>
    <row r="666" customFormat="false" ht="15" hidden="false" customHeight="false" outlineLevel="0" collapsed="false">
      <c r="A666" s="41" t="s">
        <v>844</v>
      </c>
      <c r="B666" s="41" t="s">
        <v>180</v>
      </c>
      <c r="C666" s="41" t="s">
        <v>87</v>
      </c>
      <c r="D666" s="41" t="s">
        <v>105</v>
      </c>
      <c r="E666" s="41" t="s">
        <v>102</v>
      </c>
      <c r="F666" s="41" t="s">
        <v>77</v>
      </c>
      <c r="G666" s="41" t="n">
        <v>98.8</v>
      </c>
      <c r="H666" s="41" t="n">
        <v>2</v>
      </c>
      <c r="I666" s="41" t="n">
        <v>9.88</v>
      </c>
      <c r="J666" s="41" t="n">
        <v>207.48</v>
      </c>
      <c r="K666" s="41" t="s">
        <v>1450</v>
      </c>
      <c r="L666" s="41" t="s">
        <v>1681</v>
      </c>
      <c r="M666" s="41" t="s">
        <v>97</v>
      </c>
      <c r="N666" s="41" t="n">
        <v>197.6</v>
      </c>
      <c r="O666" s="41" t="n">
        <v>4.761904762</v>
      </c>
      <c r="P666" s="41" t="n">
        <v>9.88</v>
      </c>
      <c r="Q666" s="41" t="n">
        <v>7.7</v>
      </c>
    </row>
    <row r="667" customFormat="false" ht="15" hidden="false" customHeight="false" outlineLevel="0" collapsed="false">
      <c r="A667" s="41" t="s">
        <v>845</v>
      </c>
      <c r="B667" s="41" t="s">
        <v>178</v>
      </c>
      <c r="C667" s="41" t="s">
        <v>85</v>
      </c>
      <c r="D667" s="41" t="s">
        <v>105</v>
      </c>
      <c r="E667" s="41" t="s">
        <v>102</v>
      </c>
      <c r="F667" s="41" t="s">
        <v>79</v>
      </c>
      <c r="G667" s="41" t="n">
        <v>48.63</v>
      </c>
      <c r="H667" s="41" t="n">
        <v>4</v>
      </c>
      <c r="I667" s="41" t="n">
        <v>9.726</v>
      </c>
      <c r="J667" s="41" t="n">
        <v>204.246</v>
      </c>
      <c r="K667" s="41" t="s">
        <v>1549</v>
      </c>
      <c r="L667" s="41" t="s">
        <v>1554</v>
      </c>
      <c r="M667" s="41" t="s">
        <v>98</v>
      </c>
      <c r="N667" s="41" t="n">
        <v>194.52</v>
      </c>
      <c r="O667" s="41" t="n">
        <v>4.761904762</v>
      </c>
      <c r="P667" s="41" t="n">
        <v>9.726</v>
      </c>
      <c r="Q667" s="41" t="n">
        <v>7.6</v>
      </c>
    </row>
    <row r="668" customFormat="false" ht="15" hidden="false" customHeight="false" outlineLevel="0" collapsed="false">
      <c r="A668" s="41" t="s">
        <v>846</v>
      </c>
      <c r="B668" s="41" t="s">
        <v>189</v>
      </c>
      <c r="C668" s="41" t="s">
        <v>86</v>
      </c>
      <c r="D668" s="41" t="s">
        <v>104</v>
      </c>
      <c r="E668" s="41" t="s">
        <v>103</v>
      </c>
      <c r="F668" s="41" t="s">
        <v>76</v>
      </c>
      <c r="G668" s="41" t="n">
        <v>57.74</v>
      </c>
      <c r="H668" s="41" t="n">
        <v>3</v>
      </c>
      <c r="I668" s="41" t="n">
        <v>8.661</v>
      </c>
      <c r="J668" s="41" t="n">
        <v>181.881</v>
      </c>
      <c r="K668" s="41" t="s">
        <v>1206</v>
      </c>
      <c r="L668" s="41" t="s">
        <v>1682</v>
      </c>
      <c r="M668" s="41" t="s">
        <v>98</v>
      </c>
      <c r="N668" s="41" t="n">
        <v>173.22</v>
      </c>
      <c r="O668" s="41" t="n">
        <v>4.761904762</v>
      </c>
      <c r="P668" s="41" t="n">
        <v>8.661</v>
      </c>
      <c r="Q668" s="41" t="n">
        <v>7.7</v>
      </c>
    </row>
    <row r="669" customFormat="false" ht="15" hidden="false" customHeight="false" outlineLevel="0" collapsed="false">
      <c r="A669" s="41" t="s">
        <v>847</v>
      </c>
      <c r="B669" s="41" t="s">
        <v>189</v>
      </c>
      <c r="C669" s="41" t="s">
        <v>86</v>
      </c>
      <c r="D669" s="41" t="s">
        <v>105</v>
      </c>
      <c r="E669" s="41" t="s">
        <v>102</v>
      </c>
      <c r="F669" s="41" t="s">
        <v>81</v>
      </c>
      <c r="G669" s="41" t="n">
        <v>17.97</v>
      </c>
      <c r="H669" s="41" t="n">
        <v>4</v>
      </c>
      <c r="I669" s="41" t="n">
        <v>3.594</v>
      </c>
      <c r="J669" s="41" t="n">
        <v>75.474</v>
      </c>
      <c r="K669" s="41" t="s">
        <v>1321</v>
      </c>
      <c r="L669" s="41" t="s">
        <v>1683</v>
      </c>
      <c r="M669" s="41" t="s">
        <v>98</v>
      </c>
      <c r="N669" s="41" t="n">
        <v>71.88</v>
      </c>
      <c r="O669" s="41" t="n">
        <v>4.761904762</v>
      </c>
      <c r="P669" s="41" t="n">
        <v>3.594</v>
      </c>
      <c r="Q669" s="41" t="n">
        <v>6.4</v>
      </c>
    </row>
    <row r="670" customFormat="false" ht="15" hidden="false" customHeight="false" outlineLevel="0" collapsed="false">
      <c r="A670" s="41" t="s">
        <v>848</v>
      </c>
      <c r="B670" s="41" t="s">
        <v>180</v>
      </c>
      <c r="C670" s="41" t="s">
        <v>87</v>
      </c>
      <c r="D670" s="41" t="s">
        <v>104</v>
      </c>
      <c r="E670" s="41" t="s">
        <v>102</v>
      </c>
      <c r="F670" s="41" t="s">
        <v>81</v>
      </c>
      <c r="G670" s="41" t="n">
        <v>47.71</v>
      </c>
      <c r="H670" s="41" t="n">
        <v>6</v>
      </c>
      <c r="I670" s="41" t="n">
        <v>14.313</v>
      </c>
      <c r="J670" s="41" t="n">
        <v>300.573</v>
      </c>
      <c r="K670" s="41" t="s">
        <v>1381</v>
      </c>
      <c r="L670" s="41" t="s">
        <v>1672</v>
      </c>
      <c r="M670" s="41" t="s">
        <v>98</v>
      </c>
      <c r="N670" s="41" t="n">
        <v>286.26</v>
      </c>
      <c r="O670" s="41" t="n">
        <v>4.761904762</v>
      </c>
      <c r="P670" s="41" t="n">
        <v>14.313</v>
      </c>
      <c r="Q670" s="41" t="n">
        <v>4.4</v>
      </c>
    </row>
    <row r="671" customFormat="false" ht="15" hidden="false" customHeight="false" outlineLevel="0" collapsed="false">
      <c r="A671" s="41" t="s">
        <v>849</v>
      </c>
      <c r="B671" s="41" t="s">
        <v>189</v>
      </c>
      <c r="C671" s="41" t="s">
        <v>86</v>
      </c>
      <c r="D671" s="41" t="s">
        <v>105</v>
      </c>
      <c r="E671" s="41" t="s">
        <v>102</v>
      </c>
      <c r="F671" s="41" t="s">
        <v>77</v>
      </c>
      <c r="G671" s="41" t="n">
        <v>40.62</v>
      </c>
      <c r="H671" s="41" t="n">
        <v>2</v>
      </c>
      <c r="I671" s="41" t="n">
        <v>4.062</v>
      </c>
      <c r="J671" s="41" t="n">
        <v>85.302</v>
      </c>
      <c r="K671" s="41" t="s">
        <v>1256</v>
      </c>
      <c r="L671" s="41" t="s">
        <v>1436</v>
      </c>
      <c r="M671" s="41" t="s">
        <v>99</v>
      </c>
      <c r="N671" s="41" t="n">
        <v>81.24</v>
      </c>
      <c r="O671" s="41" t="n">
        <v>4.761904762</v>
      </c>
      <c r="P671" s="41" t="n">
        <v>4.062</v>
      </c>
      <c r="Q671" s="41" t="n">
        <v>4.1</v>
      </c>
    </row>
    <row r="672" customFormat="false" ht="15" hidden="false" customHeight="false" outlineLevel="0" collapsed="false">
      <c r="A672" s="41" t="s">
        <v>850</v>
      </c>
      <c r="B672" s="41" t="s">
        <v>178</v>
      </c>
      <c r="C672" s="41" t="s">
        <v>85</v>
      </c>
      <c r="D672" s="41" t="s">
        <v>104</v>
      </c>
      <c r="E672" s="41" t="s">
        <v>103</v>
      </c>
      <c r="F672" s="41" t="s">
        <v>79</v>
      </c>
      <c r="G672" s="41" t="n">
        <v>56.04</v>
      </c>
      <c r="H672" s="41" t="n">
        <v>10</v>
      </c>
      <c r="I672" s="41" t="n">
        <v>28.02</v>
      </c>
      <c r="J672" s="41" t="n">
        <v>588.42</v>
      </c>
      <c r="K672" s="41" t="s">
        <v>1438</v>
      </c>
      <c r="L672" s="41" t="s">
        <v>1432</v>
      </c>
      <c r="M672" s="41" t="s">
        <v>98</v>
      </c>
      <c r="N672" s="41" t="n">
        <v>560.4</v>
      </c>
      <c r="O672" s="41" t="n">
        <v>4.761904762</v>
      </c>
      <c r="P672" s="41" t="n">
        <v>28.02</v>
      </c>
      <c r="Q672" s="41" t="n">
        <v>4.4</v>
      </c>
    </row>
    <row r="673" customFormat="false" ht="15" hidden="false" customHeight="false" outlineLevel="0" collapsed="false">
      <c r="A673" s="41" t="s">
        <v>851</v>
      </c>
      <c r="B673" s="41" t="s">
        <v>189</v>
      </c>
      <c r="C673" s="41" t="s">
        <v>86</v>
      </c>
      <c r="D673" s="41" t="s">
        <v>104</v>
      </c>
      <c r="E673" s="41" t="s">
        <v>103</v>
      </c>
      <c r="F673" s="41" t="s">
        <v>76</v>
      </c>
      <c r="G673" s="41" t="n">
        <v>93.4</v>
      </c>
      <c r="H673" s="41" t="n">
        <v>2</v>
      </c>
      <c r="I673" s="41" t="n">
        <v>9.34</v>
      </c>
      <c r="J673" s="41" t="n">
        <v>196.14</v>
      </c>
      <c r="K673" s="41" t="s">
        <v>1399</v>
      </c>
      <c r="L673" s="41" t="s">
        <v>1684</v>
      </c>
      <c r="M673" s="41" t="s">
        <v>97</v>
      </c>
      <c r="N673" s="41" t="n">
        <v>186.8</v>
      </c>
      <c r="O673" s="41" t="n">
        <v>4.761904762</v>
      </c>
      <c r="P673" s="41" t="n">
        <v>9.34</v>
      </c>
      <c r="Q673" s="41" t="n">
        <v>5.5</v>
      </c>
    </row>
    <row r="674" customFormat="false" ht="15" hidden="false" customHeight="false" outlineLevel="0" collapsed="false">
      <c r="A674" s="41" t="s">
        <v>852</v>
      </c>
      <c r="B674" s="41" t="s">
        <v>189</v>
      </c>
      <c r="C674" s="41" t="s">
        <v>86</v>
      </c>
      <c r="D674" s="41" t="s">
        <v>105</v>
      </c>
      <c r="E674" s="41" t="s">
        <v>102</v>
      </c>
      <c r="F674" s="41" t="s">
        <v>81</v>
      </c>
      <c r="G674" s="41" t="n">
        <v>73.41</v>
      </c>
      <c r="H674" s="41" t="n">
        <v>3</v>
      </c>
      <c r="I674" s="41" t="n">
        <v>11.0115</v>
      </c>
      <c r="J674" s="41" t="n">
        <v>231.2415</v>
      </c>
      <c r="K674" s="41" t="s">
        <v>1233</v>
      </c>
      <c r="L674" s="41" t="s">
        <v>1685</v>
      </c>
      <c r="M674" s="41" t="s">
        <v>98</v>
      </c>
      <c r="N674" s="41" t="n">
        <v>220.23</v>
      </c>
      <c r="O674" s="41" t="n">
        <v>4.761904762</v>
      </c>
      <c r="P674" s="41" t="n">
        <v>11.0115</v>
      </c>
      <c r="Q674" s="41" t="n">
        <v>4</v>
      </c>
    </row>
    <row r="675" customFormat="false" ht="15" hidden="false" customHeight="false" outlineLevel="0" collapsed="false">
      <c r="A675" s="41" t="s">
        <v>853</v>
      </c>
      <c r="B675" s="41" t="s">
        <v>180</v>
      </c>
      <c r="C675" s="41" t="s">
        <v>87</v>
      </c>
      <c r="D675" s="41" t="s">
        <v>105</v>
      </c>
      <c r="E675" s="41" t="s">
        <v>103</v>
      </c>
      <c r="F675" s="41" t="s">
        <v>81</v>
      </c>
      <c r="G675" s="41" t="n">
        <v>33.64</v>
      </c>
      <c r="H675" s="41" t="n">
        <v>8</v>
      </c>
      <c r="I675" s="41" t="n">
        <v>13.456</v>
      </c>
      <c r="J675" s="41" t="n">
        <v>282.576</v>
      </c>
      <c r="K675" s="41" t="s">
        <v>1288</v>
      </c>
      <c r="L675" s="41" t="s">
        <v>1686</v>
      </c>
      <c r="M675" s="41" t="s">
        <v>99</v>
      </c>
      <c r="N675" s="41" t="n">
        <v>269.12</v>
      </c>
      <c r="O675" s="41" t="n">
        <v>4.761904762</v>
      </c>
      <c r="P675" s="41" t="n">
        <v>13.456</v>
      </c>
      <c r="Q675" s="41" t="n">
        <v>9.3</v>
      </c>
    </row>
    <row r="676" customFormat="false" ht="15" hidden="false" customHeight="false" outlineLevel="0" collapsed="false">
      <c r="A676" s="41" t="s">
        <v>854</v>
      </c>
      <c r="B676" s="41" t="s">
        <v>178</v>
      </c>
      <c r="C676" s="41" t="s">
        <v>85</v>
      </c>
      <c r="D676" s="41" t="s">
        <v>105</v>
      </c>
      <c r="E676" s="41" t="s">
        <v>102</v>
      </c>
      <c r="F676" s="41" t="s">
        <v>78</v>
      </c>
      <c r="G676" s="41" t="n">
        <v>45.48</v>
      </c>
      <c r="H676" s="41" t="n">
        <v>10</v>
      </c>
      <c r="I676" s="41" t="n">
        <v>22.74</v>
      </c>
      <c r="J676" s="41" t="n">
        <v>477.54</v>
      </c>
      <c r="K676" s="41" t="s">
        <v>1339</v>
      </c>
      <c r="L676" s="41" t="s">
        <v>1687</v>
      </c>
      <c r="M676" s="41" t="s">
        <v>99</v>
      </c>
      <c r="N676" s="41" t="n">
        <v>454.8</v>
      </c>
      <c r="O676" s="41" t="n">
        <v>4.761904762</v>
      </c>
      <c r="P676" s="41" t="n">
        <v>22.74</v>
      </c>
      <c r="Q676" s="41" t="n">
        <v>4.8</v>
      </c>
    </row>
    <row r="677" customFormat="false" ht="15" hidden="false" customHeight="false" outlineLevel="0" collapsed="false">
      <c r="A677" s="41" t="s">
        <v>855</v>
      </c>
      <c r="B677" s="41" t="s">
        <v>189</v>
      </c>
      <c r="C677" s="41" t="s">
        <v>86</v>
      </c>
      <c r="D677" s="41" t="s">
        <v>104</v>
      </c>
      <c r="E677" s="41" t="s">
        <v>103</v>
      </c>
      <c r="F677" s="41" t="s">
        <v>79</v>
      </c>
      <c r="G677" s="41" t="n">
        <v>83.77</v>
      </c>
      <c r="H677" s="41" t="n">
        <v>2</v>
      </c>
      <c r="I677" s="41" t="n">
        <v>8.377</v>
      </c>
      <c r="J677" s="41" t="n">
        <v>175.917</v>
      </c>
      <c r="K677" s="41" t="s">
        <v>1202</v>
      </c>
      <c r="L677" s="41" t="s">
        <v>1385</v>
      </c>
      <c r="M677" s="41" t="s">
        <v>97</v>
      </c>
      <c r="N677" s="41" t="n">
        <v>167.54</v>
      </c>
      <c r="O677" s="41" t="n">
        <v>4.761904762</v>
      </c>
      <c r="P677" s="41" t="n">
        <v>8.377</v>
      </c>
      <c r="Q677" s="41" t="n">
        <v>4.6</v>
      </c>
    </row>
    <row r="678" customFormat="false" ht="15" hidden="false" customHeight="false" outlineLevel="0" collapsed="false">
      <c r="A678" s="41" t="s">
        <v>856</v>
      </c>
      <c r="B678" s="41" t="s">
        <v>189</v>
      </c>
      <c r="C678" s="41" t="s">
        <v>86</v>
      </c>
      <c r="D678" s="41" t="s">
        <v>104</v>
      </c>
      <c r="E678" s="41" t="s">
        <v>102</v>
      </c>
      <c r="F678" s="41" t="s">
        <v>77</v>
      </c>
      <c r="G678" s="41" t="n">
        <v>64.08</v>
      </c>
      <c r="H678" s="41" t="n">
        <v>7</v>
      </c>
      <c r="I678" s="41" t="n">
        <v>22.428</v>
      </c>
      <c r="J678" s="41" t="n">
        <v>470.988</v>
      </c>
      <c r="K678" s="41" t="s">
        <v>1563</v>
      </c>
      <c r="L678" s="41" t="s">
        <v>1688</v>
      </c>
      <c r="M678" s="41" t="s">
        <v>99</v>
      </c>
      <c r="N678" s="41" t="n">
        <v>448.56</v>
      </c>
      <c r="O678" s="41" t="n">
        <v>4.761904762</v>
      </c>
      <c r="P678" s="41" t="n">
        <v>22.428</v>
      </c>
      <c r="Q678" s="41" t="n">
        <v>7.3</v>
      </c>
    </row>
    <row r="679" customFormat="false" ht="15" hidden="false" customHeight="false" outlineLevel="0" collapsed="false">
      <c r="A679" s="41" t="s">
        <v>857</v>
      </c>
      <c r="B679" s="41" t="s">
        <v>178</v>
      </c>
      <c r="C679" s="41" t="s">
        <v>85</v>
      </c>
      <c r="D679" s="41" t="s">
        <v>104</v>
      </c>
      <c r="E679" s="41" t="s">
        <v>102</v>
      </c>
      <c r="F679" s="41" t="s">
        <v>76</v>
      </c>
      <c r="G679" s="41" t="n">
        <v>73.47</v>
      </c>
      <c r="H679" s="41" t="n">
        <v>4</v>
      </c>
      <c r="I679" s="41" t="n">
        <v>14.694</v>
      </c>
      <c r="J679" s="41" t="n">
        <v>308.574</v>
      </c>
      <c r="K679" s="41" t="s">
        <v>1321</v>
      </c>
      <c r="L679" s="41" t="s">
        <v>1199</v>
      </c>
      <c r="M679" s="41" t="s">
        <v>97</v>
      </c>
      <c r="N679" s="41" t="n">
        <v>293.88</v>
      </c>
      <c r="O679" s="41" t="n">
        <v>4.761904762</v>
      </c>
      <c r="P679" s="41" t="n">
        <v>14.694</v>
      </c>
      <c r="Q679" s="41" t="n">
        <v>6</v>
      </c>
    </row>
    <row r="680" customFormat="false" ht="15" hidden="false" customHeight="false" outlineLevel="0" collapsed="false">
      <c r="A680" s="41" t="s">
        <v>858</v>
      </c>
      <c r="B680" s="41" t="s">
        <v>180</v>
      </c>
      <c r="C680" s="41" t="s">
        <v>87</v>
      </c>
      <c r="D680" s="41" t="s">
        <v>105</v>
      </c>
      <c r="E680" s="41" t="s">
        <v>103</v>
      </c>
      <c r="F680" s="41" t="s">
        <v>81</v>
      </c>
      <c r="G680" s="41" t="n">
        <v>58.95</v>
      </c>
      <c r="H680" s="41" t="n">
        <v>10</v>
      </c>
      <c r="I680" s="41" t="n">
        <v>29.475</v>
      </c>
      <c r="J680" s="41" t="n">
        <v>618.975</v>
      </c>
      <c r="K680" s="41" t="s">
        <v>1214</v>
      </c>
      <c r="L680" s="41" t="s">
        <v>1689</v>
      </c>
      <c r="M680" s="41" t="s">
        <v>98</v>
      </c>
      <c r="N680" s="41" t="n">
        <v>589.5</v>
      </c>
      <c r="O680" s="41" t="n">
        <v>4.761904762</v>
      </c>
      <c r="P680" s="41" t="n">
        <v>29.475</v>
      </c>
      <c r="Q680" s="41" t="n">
        <v>8.1</v>
      </c>
    </row>
    <row r="681" customFormat="false" ht="15" hidden="false" customHeight="false" outlineLevel="0" collapsed="false">
      <c r="A681" s="41" t="s">
        <v>859</v>
      </c>
      <c r="B681" s="41" t="s">
        <v>178</v>
      </c>
      <c r="C681" s="41" t="s">
        <v>85</v>
      </c>
      <c r="D681" s="41" t="s">
        <v>104</v>
      </c>
      <c r="E681" s="41" t="s">
        <v>103</v>
      </c>
      <c r="F681" s="41" t="s">
        <v>76</v>
      </c>
      <c r="G681" s="41" t="n">
        <v>48.5</v>
      </c>
      <c r="H681" s="41" t="n">
        <v>6</v>
      </c>
      <c r="I681" s="41" t="n">
        <v>14.55</v>
      </c>
      <c r="J681" s="41" t="n">
        <v>305.55</v>
      </c>
      <c r="K681" s="41" t="s">
        <v>1460</v>
      </c>
      <c r="L681" s="41" t="s">
        <v>1588</v>
      </c>
      <c r="M681" s="41" t="s">
        <v>98</v>
      </c>
      <c r="N681" s="41" t="n">
        <v>291</v>
      </c>
      <c r="O681" s="41" t="n">
        <v>4.761904762</v>
      </c>
      <c r="P681" s="41" t="n">
        <v>14.55</v>
      </c>
      <c r="Q681" s="41" t="n">
        <v>9.4</v>
      </c>
    </row>
    <row r="682" customFormat="false" ht="15" hidden="false" customHeight="false" outlineLevel="0" collapsed="false">
      <c r="A682" s="41" t="s">
        <v>860</v>
      </c>
      <c r="B682" s="41" t="s">
        <v>189</v>
      </c>
      <c r="C682" s="41" t="s">
        <v>86</v>
      </c>
      <c r="D682" s="41" t="s">
        <v>104</v>
      </c>
      <c r="E682" s="41" t="s">
        <v>102</v>
      </c>
      <c r="F682" s="41" t="s">
        <v>78</v>
      </c>
      <c r="G682" s="41" t="n">
        <v>39.48</v>
      </c>
      <c r="H682" s="41" t="n">
        <v>1</v>
      </c>
      <c r="I682" s="41" t="n">
        <v>1.974</v>
      </c>
      <c r="J682" s="41" t="n">
        <v>41.454</v>
      </c>
      <c r="K682" s="41" t="s">
        <v>1212</v>
      </c>
      <c r="L682" s="41" t="s">
        <v>1481</v>
      </c>
      <c r="M682" s="41" t="s">
        <v>97</v>
      </c>
      <c r="N682" s="41" t="n">
        <v>39.48</v>
      </c>
      <c r="O682" s="41" t="n">
        <v>4.761904762</v>
      </c>
      <c r="P682" s="41" t="n">
        <v>1.974</v>
      </c>
      <c r="Q682" s="41" t="n">
        <v>6.5</v>
      </c>
    </row>
    <row r="683" customFormat="false" ht="15" hidden="false" customHeight="false" outlineLevel="0" collapsed="false">
      <c r="A683" s="41" t="s">
        <v>861</v>
      </c>
      <c r="B683" s="41" t="s">
        <v>189</v>
      </c>
      <c r="C683" s="41" t="s">
        <v>86</v>
      </c>
      <c r="D683" s="41" t="s">
        <v>105</v>
      </c>
      <c r="E683" s="41" t="s">
        <v>102</v>
      </c>
      <c r="F683" s="41" t="s">
        <v>77</v>
      </c>
      <c r="G683" s="41" t="n">
        <v>34.81</v>
      </c>
      <c r="H683" s="41" t="n">
        <v>1</v>
      </c>
      <c r="I683" s="41" t="n">
        <v>1.7405</v>
      </c>
      <c r="J683" s="41" t="n">
        <v>36.5505</v>
      </c>
      <c r="K683" s="41" t="s">
        <v>1438</v>
      </c>
      <c r="L683" s="41" t="s">
        <v>1259</v>
      </c>
      <c r="M683" s="41" t="s">
        <v>99</v>
      </c>
      <c r="N683" s="41" t="n">
        <v>34.81</v>
      </c>
      <c r="O683" s="41" t="n">
        <v>4.761904762</v>
      </c>
      <c r="P683" s="41" t="n">
        <v>1.7405</v>
      </c>
      <c r="Q683" s="41" t="n">
        <v>7</v>
      </c>
    </row>
    <row r="684" customFormat="false" ht="15" hidden="false" customHeight="false" outlineLevel="0" collapsed="false">
      <c r="A684" s="41" t="s">
        <v>862</v>
      </c>
      <c r="B684" s="41" t="s">
        <v>180</v>
      </c>
      <c r="C684" s="41" t="s">
        <v>87</v>
      </c>
      <c r="D684" s="41" t="s">
        <v>105</v>
      </c>
      <c r="E684" s="41" t="s">
        <v>102</v>
      </c>
      <c r="F684" s="41" t="s">
        <v>79</v>
      </c>
      <c r="G684" s="41" t="n">
        <v>49.32</v>
      </c>
      <c r="H684" s="41" t="n">
        <v>6</v>
      </c>
      <c r="I684" s="41" t="n">
        <v>14.796</v>
      </c>
      <c r="J684" s="41" t="n">
        <v>310.716</v>
      </c>
      <c r="K684" s="41" t="s">
        <v>1311</v>
      </c>
      <c r="L684" s="41" t="s">
        <v>1456</v>
      </c>
      <c r="M684" s="41" t="s">
        <v>98</v>
      </c>
      <c r="N684" s="41" t="n">
        <v>295.92</v>
      </c>
      <c r="O684" s="41" t="n">
        <v>4.761904762</v>
      </c>
      <c r="P684" s="41" t="n">
        <v>14.796</v>
      </c>
      <c r="Q684" s="41" t="n">
        <v>7.1</v>
      </c>
    </row>
    <row r="685" customFormat="false" ht="15" hidden="false" customHeight="false" outlineLevel="0" collapsed="false">
      <c r="A685" s="41" t="s">
        <v>863</v>
      </c>
      <c r="B685" s="41" t="s">
        <v>178</v>
      </c>
      <c r="C685" s="41" t="s">
        <v>85</v>
      </c>
      <c r="D685" s="41" t="s">
        <v>104</v>
      </c>
      <c r="E685" s="41" t="s">
        <v>103</v>
      </c>
      <c r="F685" s="41" t="s">
        <v>79</v>
      </c>
      <c r="G685" s="41" t="n">
        <v>21.48</v>
      </c>
      <c r="H685" s="41" t="n">
        <v>2</v>
      </c>
      <c r="I685" s="41" t="n">
        <v>2.148</v>
      </c>
      <c r="J685" s="41" t="n">
        <v>45.108</v>
      </c>
      <c r="K685" s="41" t="s">
        <v>1265</v>
      </c>
      <c r="L685" s="41" t="s">
        <v>1690</v>
      </c>
      <c r="M685" s="41" t="s">
        <v>98</v>
      </c>
      <c r="N685" s="41" t="n">
        <v>42.96</v>
      </c>
      <c r="O685" s="41" t="n">
        <v>4.761904762</v>
      </c>
      <c r="P685" s="41" t="n">
        <v>2.148</v>
      </c>
      <c r="Q685" s="41" t="n">
        <v>6.6</v>
      </c>
    </row>
    <row r="686" customFormat="false" ht="15" hidden="false" customHeight="false" outlineLevel="0" collapsed="false">
      <c r="A686" s="41" t="s">
        <v>864</v>
      </c>
      <c r="B686" s="41" t="s">
        <v>189</v>
      </c>
      <c r="C686" s="41" t="s">
        <v>86</v>
      </c>
      <c r="D686" s="41" t="s">
        <v>104</v>
      </c>
      <c r="E686" s="41" t="s">
        <v>102</v>
      </c>
      <c r="F686" s="41" t="s">
        <v>77</v>
      </c>
      <c r="G686" s="41" t="n">
        <v>23.08</v>
      </c>
      <c r="H686" s="41" t="n">
        <v>6</v>
      </c>
      <c r="I686" s="41" t="n">
        <v>6.924</v>
      </c>
      <c r="J686" s="41" t="n">
        <v>145.404</v>
      </c>
      <c r="K686" s="41" t="s">
        <v>1300</v>
      </c>
      <c r="L686" s="41" t="s">
        <v>1236</v>
      </c>
      <c r="M686" s="41" t="s">
        <v>98</v>
      </c>
      <c r="N686" s="41" t="n">
        <v>138.48</v>
      </c>
      <c r="O686" s="41" t="n">
        <v>4.761904762</v>
      </c>
      <c r="P686" s="41" t="n">
        <v>6.924</v>
      </c>
      <c r="Q686" s="41" t="n">
        <v>4.9</v>
      </c>
    </row>
    <row r="687" customFormat="false" ht="15" hidden="false" customHeight="false" outlineLevel="0" collapsed="false">
      <c r="A687" s="41" t="s">
        <v>865</v>
      </c>
      <c r="B687" s="41" t="s">
        <v>189</v>
      </c>
      <c r="C687" s="41" t="s">
        <v>86</v>
      </c>
      <c r="D687" s="41" t="s">
        <v>104</v>
      </c>
      <c r="E687" s="41" t="s">
        <v>102</v>
      </c>
      <c r="F687" s="41" t="s">
        <v>80</v>
      </c>
      <c r="G687" s="41" t="n">
        <v>49.1</v>
      </c>
      <c r="H687" s="41" t="n">
        <v>2</v>
      </c>
      <c r="I687" s="41" t="n">
        <v>4.91</v>
      </c>
      <c r="J687" s="41" t="n">
        <v>103.11</v>
      </c>
      <c r="K687" s="41" t="s">
        <v>1369</v>
      </c>
      <c r="L687" s="41" t="s">
        <v>1452</v>
      </c>
      <c r="M687" s="41" t="s">
        <v>99</v>
      </c>
      <c r="N687" s="41" t="n">
        <v>98.2</v>
      </c>
      <c r="O687" s="41" t="n">
        <v>4.761904762</v>
      </c>
      <c r="P687" s="41" t="n">
        <v>4.91</v>
      </c>
      <c r="Q687" s="41" t="n">
        <v>6.4</v>
      </c>
    </row>
    <row r="688" customFormat="false" ht="15" hidden="false" customHeight="false" outlineLevel="0" collapsed="false">
      <c r="A688" s="41" t="s">
        <v>866</v>
      </c>
      <c r="B688" s="41" t="s">
        <v>189</v>
      </c>
      <c r="C688" s="41" t="s">
        <v>86</v>
      </c>
      <c r="D688" s="41" t="s">
        <v>104</v>
      </c>
      <c r="E688" s="41" t="s">
        <v>102</v>
      </c>
      <c r="F688" s="41" t="s">
        <v>77</v>
      </c>
      <c r="G688" s="41" t="n">
        <v>64.83</v>
      </c>
      <c r="H688" s="41" t="n">
        <v>2</v>
      </c>
      <c r="I688" s="41" t="n">
        <v>6.483</v>
      </c>
      <c r="J688" s="41" t="n">
        <v>136.143</v>
      </c>
      <c r="K688" s="41" t="s">
        <v>1369</v>
      </c>
      <c r="L688" s="41" t="s">
        <v>1691</v>
      </c>
      <c r="M688" s="41" t="s">
        <v>99</v>
      </c>
      <c r="N688" s="41" t="n">
        <v>129.66</v>
      </c>
      <c r="O688" s="41" t="n">
        <v>4.761904762</v>
      </c>
      <c r="P688" s="41" t="n">
        <v>6.483</v>
      </c>
      <c r="Q688" s="41" t="n">
        <v>8</v>
      </c>
    </row>
    <row r="689" customFormat="false" ht="15" hidden="false" customHeight="false" outlineLevel="0" collapsed="false">
      <c r="A689" s="41" t="s">
        <v>867</v>
      </c>
      <c r="B689" s="41" t="s">
        <v>178</v>
      </c>
      <c r="C689" s="41" t="s">
        <v>85</v>
      </c>
      <c r="D689" s="41" t="s">
        <v>104</v>
      </c>
      <c r="E689" s="41" t="s">
        <v>103</v>
      </c>
      <c r="F689" s="41" t="s">
        <v>80</v>
      </c>
      <c r="G689" s="41" t="n">
        <v>63.56</v>
      </c>
      <c r="H689" s="41" t="n">
        <v>10</v>
      </c>
      <c r="I689" s="41" t="n">
        <v>31.78</v>
      </c>
      <c r="J689" s="41" t="n">
        <v>667.38</v>
      </c>
      <c r="K689" s="41" t="s">
        <v>1360</v>
      </c>
      <c r="L689" s="41" t="s">
        <v>1692</v>
      </c>
      <c r="M689" s="41" t="s">
        <v>97</v>
      </c>
      <c r="N689" s="41" t="n">
        <v>635.6</v>
      </c>
      <c r="O689" s="41" t="n">
        <v>4.761904762</v>
      </c>
      <c r="P689" s="41" t="n">
        <v>31.78</v>
      </c>
      <c r="Q689" s="41" t="n">
        <v>4.3</v>
      </c>
    </row>
    <row r="690" customFormat="false" ht="15" hidden="false" customHeight="false" outlineLevel="0" collapsed="false">
      <c r="A690" s="41" t="s">
        <v>868</v>
      </c>
      <c r="B690" s="41" t="s">
        <v>180</v>
      </c>
      <c r="C690" s="41" t="s">
        <v>87</v>
      </c>
      <c r="D690" s="41" t="s">
        <v>104</v>
      </c>
      <c r="E690" s="41" t="s">
        <v>103</v>
      </c>
      <c r="F690" s="41" t="s">
        <v>77</v>
      </c>
      <c r="G690" s="41" t="n">
        <v>72.88</v>
      </c>
      <c r="H690" s="41" t="n">
        <v>2</v>
      </c>
      <c r="I690" s="41" t="n">
        <v>7.288</v>
      </c>
      <c r="J690" s="41" t="n">
        <v>153.048</v>
      </c>
      <c r="K690" s="41" t="s">
        <v>1296</v>
      </c>
      <c r="L690" s="41" t="s">
        <v>1693</v>
      </c>
      <c r="M690" s="41" t="s">
        <v>97</v>
      </c>
      <c r="N690" s="41" t="n">
        <v>145.76</v>
      </c>
      <c r="O690" s="41" t="n">
        <v>4.761904762</v>
      </c>
      <c r="P690" s="41" t="n">
        <v>7.288</v>
      </c>
      <c r="Q690" s="41" t="n">
        <v>6.1</v>
      </c>
    </row>
    <row r="691" customFormat="false" ht="15" hidden="false" customHeight="false" outlineLevel="0" collapsed="false">
      <c r="A691" s="41" t="s">
        <v>869</v>
      </c>
      <c r="B691" s="41" t="s">
        <v>178</v>
      </c>
      <c r="C691" s="41" t="s">
        <v>85</v>
      </c>
      <c r="D691" s="41" t="s">
        <v>105</v>
      </c>
      <c r="E691" s="41" t="s">
        <v>102</v>
      </c>
      <c r="F691" s="41" t="s">
        <v>76</v>
      </c>
      <c r="G691" s="41" t="n">
        <v>67.1</v>
      </c>
      <c r="H691" s="41" t="n">
        <v>3</v>
      </c>
      <c r="I691" s="41" t="n">
        <v>10.065</v>
      </c>
      <c r="J691" s="41" t="n">
        <v>211.365</v>
      </c>
      <c r="K691" s="41" t="s">
        <v>1288</v>
      </c>
      <c r="L691" s="41" t="s">
        <v>1387</v>
      </c>
      <c r="M691" s="41" t="s">
        <v>97</v>
      </c>
      <c r="N691" s="41" t="n">
        <v>201.3</v>
      </c>
      <c r="O691" s="41" t="n">
        <v>4.761904762</v>
      </c>
      <c r="P691" s="41" t="n">
        <v>10.065</v>
      </c>
      <c r="Q691" s="41" t="n">
        <v>7.5</v>
      </c>
    </row>
    <row r="692" customFormat="false" ht="15" hidden="false" customHeight="false" outlineLevel="0" collapsed="false">
      <c r="A692" s="41" t="s">
        <v>870</v>
      </c>
      <c r="B692" s="41" t="s">
        <v>180</v>
      </c>
      <c r="C692" s="41" t="s">
        <v>87</v>
      </c>
      <c r="D692" s="41" t="s">
        <v>104</v>
      </c>
      <c r="E692" s="41" t="s">
        <v>102</v>
      </c>
      <c r="F692" s="41" t="s">
        <v>77</v>
      </c>
      <c r="G692" s="41" t="n">
        <v>70.19</v>
      </c>
      <c r="H692" s="41" t="n">
        <v>9</v>
      </c>
      <c r="I692" s="41" t="n">
        <v>31.5855</v>
      </c>
      <c r="J692" s="41" t="n">
        <v>663.2955</v>
      </c>
      <c r="K692" s="41" t="s">
        <v>1240</v>
      </c>
      <c r="L692" s="41" t="s">
        <v>1580</v>
      </c>
      <c r="M692" s="41" t="s">
        <v>97</v>
      </c>
      <c r="N692" s="41" t="n">
        <v>631.71</v>
      </c>
      <c r="O692" s="41" t="n">
        <v>4.761904762</v>
      </c>
      <c r="P692" s="41" t="n">
        <v>31.5855</v>
      </c>
      <c r="Q692" s="41" t="n">
        <v>6.7</v>
      </c>
    </row>
    <row r="693" customFormat="false" ht="15" hidden="false" customHeight="false" outlineLevel="0" collapsed="false">
      <c r="A693" s="41" t="s">
        <v>871</v>
      </c>
      <c r="B693" s="41" t="s">
        <v>180</v>
      </c>
      <c r="C693" s="41" t="s">
        <v>87</v>
      </c>
      <c r="D693" s="41" t="s">
        <v>104</v>
      </c>
      <c r="E693" s="41" t="s">
        <v>103</v>
      </c>
      <c r="F693" s="41" t="s">
        <v>76</v>
      </c>
      <c r="G693" s="41" t="n">
        <v>55.04</v>
      </c>
      <c r="H693" s="41" t="n">
        <v>7</v>
      </c>
      <c r="I693" s="41" t="n">
        <v>19.264</v>
      </c>
      <c r="J693" s="41" t="n">
        <v>404.544</v>
      </c>
      <c r="K693" s="41" t="s">
        <v>1286</v>
      </c>
      <c r="L693" s="41" t="s">
        <v>1243</v>
      </c>
      <c r="M693" s="41" t="s">
        <v>98</v>
      </c>
      <c r="N693" s="41" t="n">
        <v>385.28</v>
      </c>
      <c r="O693" s="41" t="n">
        <v>4.761904762</v>
      </c>
      <c r="P693" s="41" t="n">
        <v>19.264</v>
      </c>
      <c r="Q693" s="41" t="n">
        <v>5.2</v>
      </c>
    </row>
    <row r="694" customFormat="false" ht="15" hidden="false" customHeight="false" outlineLevel="0" collapsed="false">
      <c r="A694" s="41" t="s">
        <v>872</v>
      </c>
      <c r="B694" s="41" t="s">
        <v>178</v>
      </c>
      <c r="C694" s="41" t="s">
        <v>85</v>
      </c>
      <c r="D694" s="41" t="s">
        <v>104</v>
      </c>
      <c r="E694" s="41" t="s">
        <v>103</v>
      </c>
      <c r="F694" s="41" t="s">
        <v>81</v>
      </c>
      <c r="G694" s="41" t="n">
        <v>48.63</v>
      </c>
      <c r="H694" s="41" t="n">
        <v>10</v>
      </c>
      <c r="I694" s="41" t="n">
        <v>24.315</v>
      </c>
      <c r="J694" s="41" t="n">
        <v>510.615</v>
      </c>
      <c r="K694" s="41" t="s">
        <v>1261</v>
      </c>
      <c r="L694" s="41" t="s">
        <v>1355</v>
      </c>
      <c r="M694" s="41" t="s">
        <v>97</v>
      </c>
      <c r="N694" s="41" t="n">
        <v>486.3</v>
      </c>
      <c r="O694" s="41" t="n">
        <v>4.761904762</v>
      </c>
      <c r="P694" s="41" t="n">
        <v>24.315</v>
      </c>
      <c r="Q694" s="41" t="n">
        <v>8.8</v>
      </c>
    </row>
    <row r="695" customFormat="false" ht="15" hidden="false" customHeight="false" outlineLevel="0" collapsed="false">
      <c r="A695" s="41" t="s">
        <v>873</v>
      </c>
      <c r="B695" s="41" t="s">
        <v>180</v>
      </c>
      <c r="C695" s="41" t="s">
        <v>87</v>
      </c>
      <c r="D695" s="41" t="s">
        <v>104</v>
      </c>
      <c r="E695" s="41" t="s">
        <v>102</v>
      </c>
      <c r="F695" s="41" t="s">
        <v>79</v>
      </c>
      <c r="G695" s="41" t="n">
        <v>73.38</v>
      </c>
      <c r="H695" s="41" t="n">
        <v>7</v>
      </c>
      <c r="I695" s="41" t="n">
        <v>25.683</v>
      </c>
      <c r="J695" s="41" t="n">
        <v>539.343</v>
      </c>
      <c r="K695" s="41" t="s">
        <v>1268</v>
      </c>
      <c r="L695" s="41" t="s">
        <v>1694</v>
      </c>
      <c r="M695" s="41" t="s">
        <v>97</v>
      </c>
      <c r="N695" s="41" t="n">
        <v>513.66</v>
      </c>
      <c r="O695" s="41" t="n">
        <v>4.761904762</v>
      </c>
      <c r="P695" s="41" t="n">
        <v>25.683</v>
      </c>
      <c r="Q695" s="41" t="n">
        <v>9.5</v>
      </c>
    </row>
    <row r="696" customFormat="false" ht="15" hidden="false" customHeight="false" outlineLevel="0" collapsed="false">
      <c r="A696" s="41" t="s">
        <v>874</v>
      </c>
      <c r="B696" s="41" t="s">
        <v>180</v>
      </c>
      <c r="C696" s="41" t="s">
        <v>87</v>
      </c>
      <c r="D696" s="41" t="s">
        <v>105</v>
      </c>
      <c r="E696" s="41" t="s">
        <v>102</v>
      </c>
      <c r="F696" s="41" t="s">
        <v>76</v>
      </c>
      <c r="G696" s="41" t="n">
        <v>52.6</v>
      </c>
      <c r="H696" s="41" t="n">
        <v>9</v>
      </c>
      <c r="I696" s="41" t="n">
        <v>23.67</v>
      </c>
      <c r="J696" s="41" t="n">
        <v>497.07</v>
      </c>
      <c r="K696" s="41" t="s">
        <v>1360</v>
      </c>
      <c r="L696" s="41" t="s">
        <v>1275</v>
      </c>
      <c r="M696" s="41" t="s">
        <v>97</v>
      </c>
      <c r="N696" s="41" t="n">
        <v>473.4</v>
      </c>
      <c r="O696" s="41" t="n">
        <v>4.761904762</v>
      </c>
      <c r="P696" s="41" t="n">
        <v>23.67</v>
      </c>
      <c r="Q696" s="41" t="n">
        <v>7.6</v>
      </c>
    </row>
    <row r="697" customFormat="false" ht="15" hidden="false" customHeight="false" outlineLevel="0" collapsed="false">
      <c r="A697" s="41" t="s">
        <v>875</v>
      </c>
      <c r="B697" s="41" t="s">
        <v>178</v>
      </c>
      <c r="C697" s="41" t="s">
        <v>85</v>
      </c>
      <c r="D697" s="41" t="s">
        <v>104</v>
      </c>
      <c r="E697" s="41" t="s">
        <v>102</v>
      </c>
      <c r="F697" s="41" t="s">
        <v>80</v>
      </c>
      <c r="G697" s="41" t="n">
        <v>87.37</v>
      </c>
      <c r="H697" s="41" t="n">
        <v>5</v>
      </c>
      <c r="I697" s="41" t="n">
        <v>21.8425</v>
      </c>
      <c r="J697" s="41" t="n">
        <v>458.6925</v>
      </c>
      <c r="K697" s="41" t="s">
        <v>1392</v>
      </c>
      <c r="L697" s="41" t="s">
        <v>1695</v>
      </c>
      <c r="M697" s="41" t="s">
        <v>97</v>
      </c>
      <c r="N697" s="41" t="n">
        <v>436.85</v>
      </c>
      <c r="O697" s="41" t="n">
        <v>4.761904762</v>
      </c>
      <c r="P697" s="41" t="n">
        <v>21.8425</v>
      </c>
      <c r="Q697" s="41" t="n">
        <v>6.6</v>
      </c>
    </row>
    <row r="698" customFormat="false" ht="15" hidden="false" customHeight="false" outlineLevel="0" collapsed="false">
      <c r="A698" s="41" t="s">
        <v>876</v>
      </c>
      <c r="B698" s="41" t="s">
        <v>178</v>
      </c>
      <c r="C698" s="41" t="s">
        <v>85</v>
      </c>
      <c r="D698" s="41" t="s">
        <v>104</v>
      </c>
      <c r="E698" s="41" t="s">
        <v>102</v>
      </c>
      <c r="F698" s="41" t="s">
        <v>77</v>
      </c>
      <c r="G698" s="41" t="n">
        <v>27.04</v>
      </c>
      <c r="H698" s="41" t="n">
        <v>4</v>
      </c>
      <c r="I698" s="41" t="n">
        <v>5.408</v>
      </c>
      <c r="J698" s="41" t="n">
        <v>113.568</v>
      </c>
      <c r="K698" s="41" t="s">
        <v>1222</v>
      </c>
      <c r="L698" s="41" t="s">
        <v>1532</v>
      </c>
      <c r="M698" s="41" t="s">
        <v>98</v>
      </c>
      <c r="N698" s="41" t="n">
        <v>108.16</v>
      </c>
      <c r="O698" s="41" t="n">
        <v>4.761904762</v>
      </c>
      <c r="P698" s="41" t="n">
        <v>5.408</v>
      </c>
      <c r="Q698" s="41" t="n">
        <v>6.9</v>
      </c>
    </row>
    <row r="699" customFormat="false" ht="15" hidden="false" customHeight="false" outlineLevel="0" collapsed="false">
      <c r="A699" s="41" t="s">
        <v>877</v>
      </c>
      <c r="B699" s="41" t="s">
        <v>189</v>
      </c>
      <c r="C699" s="41" t="s">
        <v>86</v>
      </c>
      <c r="D699" s="41" t="s">
        <v>105</v>
      </c>
      <c r="E699" s="41" t="s">
        <v>103</v>
      </c>
      <c r="F699" s="41" t="s">
        <v>80</v>
      </c>
      <c r="G699" s="41" t="n">
        <v>62.19</v>
      </c>
      <c r="H699" s="41" t="n">
        <v>4</v>
      </c>
      <c r="I699" s="41" t="n">
        <v>12.438</v>
      </c>
      <c r="J699" s="41" t="n">
        <v>261.198</v>
      </c>
      <c r="K699" s="41" t="s">
        <v>1303</v>
      </c>
      <c r="L699" s="41" t="s">
        <v>1424</v>
      </c>
      <c r="M699" s="41" t="s">
        <v>98</v>
      </c>
      <c r="N699" s="41" t="n">
        <v>248.76</v>
      </c>
      <c r="O699" s="41" t="n">
        <v>4.761904762</v>
      </c>
      <c r="P699" s="41" t="n">
        <v>12.438</v>
      </c>
      <c r="Q699" s="41" t="n">
        <v>4.3</v>
      </c>
    </row>
    <row r="700" customFormat="false" ht="15" hidden="false" customHeight="false" outlineLevel="0" collapsed="false">
      <c r="A700" s="41" t="s">
        <v>878</v>
      </c>
      <c r="B700" s="41" t="s">
        <v>178</v>
      </c>
      <c r="C700" s="41" t="s">
        <v>85</v>
      </c>
      <c r="D700" s="41" t="s">
        <v>104</v>
      </c>
      <c r="E700" s="41" t="s">
        <v>103</v>
      </c>
      <c r="F700" s="41" t="s">
        <v>78</v>
      </c>
      <c r="G700" s="41" t="n">
        <v>69.58</v>
      </c>
      <c r="H700" s="41" t="n">
        <v>9</v>
      </c>
      <c r="I700" s="41" t="n">
        <v>31.311</v>
      </c>
      <c r="J700" s="41" t="n">
        <v>657.531</v>
      </c>
      <c r="K700" s="41" t="s">
        <v>1563</v>
      </c>
      <c r="L700" s="41" t="s">
        <v>1642</v>
      </c>
      <c r="M700" s="41" t="s">
        <v>99</v>
      </c>
      <c r="N700" s="41" t="n">
        <v>626.22</v>
      </c>
      <c r="O700" s="41" t="n">
        <v>4.761904762</v>
      </c>
      <c r="P700" s="41" t="n">
        <v>31.311</v>
      </c>
      <c r="Q700" s="41" t="n">
        <v>7.8</v>
      </c>
    </row>
    <row r="701" customFormat="false" ht="15" hidden="false" customHeight="false" outlineLevel="0" collapsed="false">
      <c r="A701" s="41" t="s">
        <v>879</v>
      </c>
      <c r="B701" s="41" t="s">
        <v>180</v>
      </c>
      <c r="C701" s="41" t="s">
        <v>87</v>
      </c>
      <c r="D701" s="41" t="s">
        <v>105</v>
      </c>
      <c r="E701" s="41" t="s">
        <v>103</v>
      </c>
      <c r="F701" s="41" t="s">
        <v>80</v>
      </c>
      <c r="G701" s="41" t="n">
        <v>97.5</v>
      </c>
      <c r="H701" s="41" t="n">
        <v>10</v>
      </c>
      <c r="I701" s="41" t="n">
        <v>48.75</v>
      </c>
      <c r="J701" s="41" t="n">
        <v>1023.75</v>
      </c>
      <c r="K701" s="41" t="s">
        <v>1313</v>
      </c>
      <c r="L701" s="41" t="s">
        <v>1696</v>
      </c>
      <c r="M701" s="41" t="s">
        <v>98</v>
      </c>
      <c r="N701" s="41" t="n">
        <v>975</v>
      </c>
      <c r="O701" s="41" t="n">
        <v>4.761904762</v>
      </c>
      <c r="P701" s="41" t="n">
        <v>48.75</v>
      </c>
      <c r="Q701" s="41" t="n">
        <v>8</v>
      </c>
    </row>
    <row r="702" customFormat="false" ht="15" hidden="false" customHeight="false" outlineLevel="0" collapsed="false">
      <c r="A702" s="41" t="s">
        <v>880</v>
      </c>
      <c r="B702" s="41" t="s">
        <v>180</v>
      </c>
      <c r="C702" s="41" t="s">
        <v>87</v>
      </c>
      <c r="D702" s="41" t="s">
        <v>105</v>
      </c>
      <c r="E702" s="41" t="s">
        <v>102</v>
      </c>
      <c r="F702" s="41" t="s">
        <v>79</v>
      </c>
      <c r="G702" s="41" t="n">
        <v>60.41</v>
      </c>
      <c r="H702" s="41" t="n">
        <v>8</v>
      </c>
      <c r="I702" s="41" t="n">
        <v>24.164</v>
      </c>
      <c r="J702" s="41" t="n">
        <v>507.444</v>
      </c>
      <c r="K702" s="41" t="s">
        <v>1214</v>
      </c>
      <c r="L702" s="41" t="s">
        <v>1655</v>
      </c>
      <c r="M702" s="41" t="s">
        <v>98</v>
      </c>
      <c r="N702" s="41" t="n">
        <v>483.28</v>
      </c>
      <c r="O702" s="41" t="n">
        <v>4.761904762</v>
      </c>
      <c r="P702" s="41" t="n">
        <v>24.164</v>
      </c>
      <c r="Q702" s="41" t="n">
        <v>9.6</v>
      </c>
    </row>
    <row r="703" customFormat="false" ht="15" hidden="false" customHeight="false" outlineLevel="0" collapsed="false">
      <c r="A703" s="41" t="s">
        <v>881</v>
      </c>
      <c r="B703" s="41" t="s">
        <v>189</v>
      </c>
      <c r="C703" s="41" t="s">
        <v>86</v>
      </c>
      <c r="D703" s="41" t="s">
        <v>105</v>
      </c>
      <c r="E703" s="41" t="s">
        <v>103</v>
      </c>
      <c r="F703" s="41" t="s">
        <v>76</v>
      </c>
      <c r="G703" s="41" t="n">
        <v>32.32</v>
      </c>
      <c r="H703" s="41" t="n">
        <v>3</v>
      </c>
      <c r="I703" s="41" t="n">
        <v>4.848</v>
      </c>
      <c r="J703" s="41" t="n">
        <v>101.808</v>
      </c>
      <c r="K703" s="41" t="s">
        <v>1281</v>
      </c>
      <c r="L703" s="41" t="s">
        <v>1657</v>
      </c>
      <c r="M703" s="41" t="s">
        <v>99</v>
      </c>
      <c r="N703" s="41" t="n">
        <v>96.96</v>
      </c>
      <c r="O703" s="41" t="n">
        <v>4.761904762</v>
      </c>
      <c r="P703" s="41" t="n">
        <v>4.848</v>
      </c>
      <c r="Q703" s="41" t="n">
        <v>4.3</v>
      </c>
    </row>
    <row r="704" customFormat="false" ht="15" hidden="false" customHeight="false" outlineLevel="0" collapsed="false">
      <c r="A704" s="41" t="s">
        <v>882</v>
      </c>
      <c r="B704" s="41" t="s">
        <v>189</v>
      </c>
      <c r="C704" s="41" t="s">
        <v>86</v>
      </c>
      <c r="D704" s="41" t="s">
        <v>104</v>
      </c>
      <c r="E704" s="41" t="s">
        <v>102</v>
      </c>
      <c r="F704" s="41" t="s">
        <v>79</v>
      </c>
      <c r="G704" s="41" t="n">
        <v>19.77</v>
      </c>
      <c r="H704" s="41" t="n">
        <v>10</v>
      </c>
      <c r="I704" s="41" t="n">
        <v>9.885</v>
      </c>
      <c r="J704" s="41" t="n">
        <v>207.585</v>
      </c>
      <c r="K704" s="41" t="s">
        <v>1265</v>
      </c>
      <c r="L704" s="41" t="s">
        <v>1697</v>
      </c>
      <c r="M704" s="41" t="s">
        <v>99</v>
      </c>
      <c r="N704" s="41" t="n">
        <v>197.7</v>
      </c>
      <c r="O704" s="41" t="n">
        <v>4.761904762</v>
      </c>
      <c r="P704" s="41" t="n">
        <v>9.885</v>
      </c>
      <c r="Q704" s="41" t="n">
        <v>5</v>
      </c>
    </row>
    <row r="705" customFormat="false" ht="15" hidden="false" customHeight="false" outlineLevel="0" collapsed="false">
      <c r="A705" s="41" t="s">
        <v>883</v>
      </c>
      <c r="B705" s="41" t="s">
        <v>189</v>
      </c>
      <c r="C705" s="41" t="s">
        <v>86</v>
      </c>
      <c r="D705" s="41" t="s">
        <v>104</v>
      </c>
      <c r="E705" s="41" t="s">
        <v>103</v>
      </c>
      <c r="F705" s="41" t="s">
        <v>81</v>
      </c>
      <c r="G705" s="41" t="n">
        <v>80.47</v>
      </c>
      <c r="H705" s="41" t="n">
        <v>9</v>
      </c>
      <c r="I705" s="41" t="n">
        <v>36.2115</v>
      </c>
      <c r="J705" s="41" t="n">
        <v>760.4415</v>
      </c>
      <c r="K705" s="41" t="s">
        <v>1303</v>
      </c>
      <c r="L705" s="41" t="s">
        <v>1698</v>
      </c>
      <c r="M705" s="41" t="s">
        <v>97</v>
      </c>
      <c r="N705" s="41" t="n">
        <v>724.23</v>
      </c>
      <c r="O705" s="41" t="n">
        <v>4.761904762</v>
      </c>
      <c r="P705" s="41" t="n">
        <v>36.2115</v>
      </c>
      <c r="Q705" s="41" t="n">
        <v>9.2</v>
      </c>
    </row>
    <row r="706" customFormat="false" ht="15" hidden="false" customHeight="false" outlineLevel="0" collapsed="false">
      <c r="A706" s="41" t="s">
        <v>884</v>
      </c>
      <c r="B706" s="41" t="s">
        <v>189</v>
      </c>
      <c r="C706" s="41" t="s">
        <v>86</v>
      </c>
      <c r="D706" s="41" t="s">
        <v>104</v>
      </c>
      <c r="E706" s="41" t="s">
        <v>102</v>
      </c>
      <c r="F706" s="41" t="s">
        <v>80</v>
      </c>
      <c r="G706" s="41" t="n">
        <v>88.39</v>
      </c>
      <c r="H706" s="41" t="n">
        <v>9</v>
      </c>
      <c r="I706" s="41" t="n">
        <v>39.7755</v>
      </c>
      <c r="J706" s="41" t="n">
        <v>835.2855</v>
      </c>
      <c r="K706" s="41" t="s">
        <v>1233</v>
      </c>
      <c r="L706" s="41" t="s">
        <v>1614</v>
      </c>
      <c r="M706" s="41" t="s">
        <v>97</v>
      </c>
      <c r="N706" s="41" t="n">
        <v>795.51</v>
      </c>
      <c r="O706" s="41" t="n">
        <v>4.761904762</v>
      </c>
      <c r="P706" s="41" t="n">
        <v>39.7755</v>
      </c>
      <c r="Q706" s="41" t="n">
        <v>6.3</v>
      </c>
    </row>
    <row r="707" customFormat="false" ht="15" hidden="false" customHeight="false" outlineLevel="0" collapsed="false">
      <c r="A707" s="41" t="s">
        <v>885</v>
      </c>
      <c r="B707" s="41" t="s">
        <v>189</v>
      </c>
      <c r="C707" s="41" t="s">
        <v>86</v>
      </c>
      <c r="D707" s="41" t="s">
        <v>105</v>
      </c>
      <c r="E707" s="41" t="s">
        <v>103</v>
      </c>
      <c r="F707" s="41" t="s">
        <v>81</v>
      </c>
      <c r="G707" s="41" t="n">
        <v>71.77</v>
      </c>
      <c r="H707" s="41" t="n">
        <v>7</v>
      </c>
      <c r="I707" s="41" t="n">
        <v>25.1195</v>
      </c>
      <c r="J707" s="41" t="n">
        <v>527.5095</v>
      </c>
      <c r="K707" s="41" t="s">
        <v>1216</v>
      </c>
      <c r="L707" s="41" t="s">
        <v>1699</v>
      </c>
      <c r="M707" s="41" t="s">
        <v>97</v>
      </c>
      <c r="N707" s="41" t="n">
        <v>502.39</v>
      </c>
      <c r="O707" s="41" t="n">
        <v>4.761904762</v>
      </c>
      <c r="P707" s="41" t="n">
        <v>25.1195</v>
      </c>
      <c r="Q707" s="41" t="n">
        <v>8.9</v>
      </c>
    </row>
    <row r="708" customFormat="false" ht="15" hidden="false" customHeight="false" outlineLevel="0" collapsed="false">
      <c r="A708" s="41" t="s">
        <v>886</v>
      </c>
      <c r="B708" s="41" t="s">
        <v>189</v>
      </c>
      <c r="C708" s="41" t="s">
        <v>86</v>
      </c>
      <c r="D708" s="41" t="s">
        <v>105</v>
      </c>
      <c r="E708" s="41" t="s">
        <v>102</v>
      </c>
      <c r="F708" s="41" t="s">
        <v>78</v>
      </c>
      <c r="G708" s="41" t="n">
        <v>43</v>
      </c>
      <c r="H708" s="41" t="n">
        <v>4</v>
      </c>
      <c r="I708" s="41" t="n">
        <v>8.6</v>
      </c>
      <c r="J708" s="41" t="n">
        <v>180.6</v>
      </c>
      <c r="K708" s="41" t="s">
        <v>1454</v>
      </c>
      <c r="L708" s="41" t="s">
        <v>1362</v>
      </c>
      <c r="M708" s="41" t="s">
        <v>98</v>
      </c>
      <c r="N708" s="41" t="n">
        <v>172</v>
      </c>
      <c r="O708" s="41" t="n">
        <v>4.761904762</v>
      </c>
      <c r="P708" s="41" t="n">
        <v>8.6</v>
      </c>
      <c r="Q708" s="41" t="n">
        <v>7.6</v>
      </c>
    </row>
    <row r="709" customFormat="false" ht="15" hidden="false" customHeight="false" outlineLevel="0" collapsed="false">
      <c r="A709" s="41" t="s">
        <v>887</v>
      </c>
      <c r="B709" s="41" t="s">
        <v>180</v>
      </c>
      <c r="C709" s="41" t="s">
        <v>87</v>
      </c>
      <c r="D709" s="41" t="s">
        <v>104</v>
      </c>
      <c r="E709" s="41" t="s">
        <v>103</v>
      </c>
      <c r="F709" s="41" t="s">
        <v>76</v>
      </c>
      <c r="G709" s="41" t="n">
        <v>68.98</v>
      </c>
      <c r="H709" s="41" t="n">
        <v>1</v>
      </c>
      <c r="I709" s="41" t="n">
        <v>3.449</v>
      </c>
      <c r="J709" s="41" t="n">
        <v>72.429</v>
      </c>
      <c r="K709" s="41" t="s">
        <v>1224</v>
      </c>
      <c r="L709" s="41" t="s">
        <v>1700</v>
      </c>
      <c r="M709" s="41" t="s">
        <v>97</v>
      </c>
      <c r="N709" s="41" t="n">
        <v>68.98</v>
      </c>
      <c r="O709" s="41" t="n">
        <v>4.761904762</v>
      </c>
      <c r="P709" s="41" t="n">
        <v>3.449</v>
      </c>
      <c r="Q709" s="41" t="n">
        <v>4.8</v>
      </c>
    </row>
    <row r="710" customFormat="false" ht="15" hidden="false" customHeight="false" outlineLevel="0" collapsed="false">
      <c r="A710" s="41" t="s">
        <v>888</v>
      </c>
      <c r="B710" s="41" t="s">
        <v>180</v>
      </c>
      <c r="C710" s="41" t="s">
        <v>87</v>
      </c>
      <c r="D710" s="41" t="s">
        <v>105</v>
      </c>
      <c r="E710" s="41" t="s">
        <v>103</v>
      </c>
      <c r="F710" s="41" t="s">
        <v>79</v>
      </c>
      <c r="G710" s="41" t="n">
        <v>15.62</v>
      </c>
      <c r="H710" s="41" t="n">
        <v>8</v>
      </c>
      <c r="I710" s="41" t="n">
        <v>6.248</v>
      </c>
      <c r="J710" s="41" t="n">
        <v>131.208</v>
      </c>
      <c r="K710" s="41" t="s">
        <v>1284</v>
      </c>
      <c r="L710" s="41" t="s">
        <v>1561</v>
      </c>
      <c r="M710" s="41" t="s">
        <v>98</v>
      </c>
      <c r="N710" s="41" t="n">
        <v>124.96</v>
      </c>
      <c r="O710" s="41" t="n">
        <v>4.761904762</v>
      </c>
      <c r="P710" s="41" t="n">
        <v>6.248</v>
      </c>
      <c r="Q710" s="41" t="n">
        <v>9.1</v>
      </c>
    </row>
    <row r="711" customFormat="false" ht="15" hidden="false" customHeight="false" outlineLevel="0" collapsed="false">
      <c r="A711" s="41" t="s">
        <v>889</v>
      </c>
      <c r="B711" s="41" t="s">
        <v>178</v>
      </c>
      <c r="C711" s="41" t="s">
        <v>85</v>
      </c>
      <c r="D711" s="41" t="s">
        <v>105</v>
      </c>
      <c r="E711" s="41" t="s">
        <v>103</v>
      </c>
      <c r="F711" s="41" t="s">
        <v>77</v>
      </c>
      <c r="G711" s="41" t="n">
        <v>25.7</v>
      </c>
      <c r="H711" s="41" t="n">
        <v>3</v>
      </c>
      <c r="I711" s="41" t="n">
        <v>3.855</v>
      </c>
      <c r="J711" s="41" t="n">
        <v>80.955</v>
      </c>
      <c r="K711" s="41" t="s">
        <v>1256</v>
      </c>
      <c r="L711" s="41" t="s">
        <v>1692</v>
      </c>
      <c r="M711" s="41" t="s">
        <v>98</v>
      </c>
      <c r="N711" s="41" t="n">
        <v>77.1</v>
      </c>
      <c r="O711" s="41" t="n">
        <v>4.761904762</v>
      </c>
      <c r="P711" s="41" t="n">
        <v>3.855</v>
      </c>
      <c r="Q711" s="41" t="n">
        <v>6.1</v>
      </c>
    </row>
    <row r="712" customFormat="false" ht="15" hidden="false" customHeight="false" outlineLevel="0" collapsed="false">
      <c r="A712" s="41" t="s">
        <v>890</v>
      </c>
      <c r="B712" s="41" t="s">
        <v>178</v>
      </c>
      <c r="C712" s="41" t="s">
        <v>85</v>
      </c>
      <c r="D712" s="41" t="s">
        <v>104</v>
      </c>
      <c r="E712" s="41" t="s">
        <v>103</v>
      </c>
      <c r="F712" s="41" t="s">
        <v>76</v>
      </c>
      <c r="G712" s="41" t="n">
        <v>80.62</v>
      </c>
      <c r="H712" s="41" t="n">
        <v>6</v>
      </c>
      <c r="I712" s="41" t="n">
        <v>24.186</v>
      </c>
      <c r="J712" s="41" t="n">
        <v>507.906</v>
      </c>
      <c r="K712" s="41" t="s">
        <v>1279</v>
      </c>
      <c r="L712" s="41" t="s">
        <v>1578</v>
      </c>
      <c r="M712" s="41" t="s">
        <v>97</v>
      </c>
      <c r="N712" s="41" t="n">
        <v>483.72</v>
      </c>
      <c r="O712" s="41" t="n">
        <v>4.761904762</v>
      </c>
      <c r="P712" s="41" t="n">
        <v>24.186</v>
      </c>
      <c r="Q712" s="41" t="n">
        <v>9.1</v>
      </c>
    </row>
    <row r="713" customFormat="false" ht="15" hidden="false" customHeight="false" outlineLevel="0" collapsed="false">
      <c r="A713" s="41" t="s">
        <v>891</v>
      </c>
      <c r="B713" s="41" t="s">
        <v>180</v>
      </c>
      <c r="C713" s="41" t="s">
        <v>87</v>
      </c>
      <c r="D713" s="41" t="s">
        <v>104</v>
      </c>
      <c r="E713" s="41" t="s">
        <v>102</v>
      </c>
      <c r="F713" s="41" t="s">
        <v>80</v>
      </c>
      <c r="G713" s="41" t="n">
        <v>75.53</v>
      </c>
      <c r="H713" s="41" t="n">
        <v>4</v>
      </c>
      <c r="I713" s="41" t="n">
        <v>15.106</v>
      </c>
      <c r="J713" s="41" t="n">
        <v>317.226</v>
      </c>
      <c r="K713" s="41" t="s">
        <v>1270</v>
      </c>
      <c r="L713" s="41" t="s">
        <v>1621</v>
      </c>
      <c r="M713" s="41" t="s">
        <v>98</v>
      </c>
      <c r="N713" s="41" t="n">
        <v>302.12</v>
      </c>
      <c r="O713" s="41" t="n">
        <v>4.761904762</v>
      </c>
      <c r="P713" s="41" t="n">
        <v>15.106</v>
      </c>
      <c r="Q713" s="41" t="n">
        <v>8.3</v>
      </c>
    </row>
    <row r="714" customFormat="false" ht="15" hidden="false" customHeight="false" outlineLevel="0" collapsed="false">
      <c r="A714" s="41" t="s">
        <v>892</v>
      </c>
      <c r="B714" s="41" t="s">
        <v>180</v>
      </c>
      <c r="C714" s="41" t="s">
        <v>87</v>
      </c>
      <c r="D714" s="41" t="s">
        <v>105</v>
      </c>
      <c r="E714" s="41" t="s">
        <v>102</v>
      </c>
      <c r="F714" s="41" t="s">
        <v>78</v>
      </c>
      <c r="G714" s="41" t="n">
        <v>77.63</v>
      </c>
      <c r="H714" s="41" t="n">
        <v>9</v>
      </c>
      <c r="I714" s="41" t="n">
        <v>34.9335</v>
      </c>
      <c r="J714" s="41" t="n">
        <v>733.6035</v>
      </c>
      <c r="K714" s="41" t="s">
        <v>1563</v>
      </c>
      <c r="L714" s="41" t="s">
        <v>1701</v>
      </c>
      <c r="M714" s="41" t="s">
        <v>98</v>
      </c>
      <c r="N714" s="41" t="n">
        <v>698.67</v>
      </c>
      <c r="O714" s="41" t="n">
        <v>4.761904762</v>
      </c>
      <c r="P714" s="41" t="n">
        <v>34.9335</v>
      </c>
      <c r="Q714" s="41" t="n">
        <v>7.2</v>
      </c>
    </row>
    <row r="715" customFormat="false" ht="15" hidden="false" customHeight="false" outlineLevel="0" collapsed="false">
      <c r="A715" s="41" t="s">
        <v>893</v>
      </c>
      <c r="B715" s="41" t="s">
        <v>180</v>
      </c>
      <c r="C715" s="41" t="s">
        <v>87</v>
      </c>
      <c r="D715" s="41" t="s">
        <v>105</v>
      </c>
      <c r="E715" s="41" t="s">
        <v>102</v>
      </c>
      <c r="F715" s="41" t="s">
        <v>81</v>
      </c>
      <c r="G715" s="41" t="n">
        <v>13.85</v>
      </c>
      <c r="H715" s="41" t="n">
        <v>9</v>
      </c>
      <c r="I715" s="41" t="n">
        <v>6.2325</v>
      </c>
      <c r="J715" s="41" t="n">
        <v>130.8825</v>
      </c>
      <c r="K715" s="41" t="s">
        <v>1549</v>
      </c>
      <c r="L715" s="41" t="s">
        <v>1426</v>
      </c>
      <c r="M715" s="41" t="s">
        <v>98</v>
      </c>
      <c r="N715" s="41" t="n">
        <v>124.65</v>
      </c>
      <c r="O715" s="41" t="n">
        <v>4.761904762</v>
      </c>
      <c r="P715" s="41" t="n">
        <v>6.2325</v>
      </c>
      <c r="Q715" s="41" t="n">
        <v>6</v>
      </c>
    </row>
    <row r="716" customFormat="false" ht="15" hidden="false" customHeight="false" outlineLevel="0" collapsed="false">
      <c r="A716" s="41" t="s">
        <v>894</v>
      </c>
      <c r="B716" s="41" t="s">
        <v>180</v>
      </c>
      <c r="C716" s="41" t="s">
        <v>87</v>
      </c>
      <c r="D716" s="41" t="s">
        <v>104</v>
      </c>
      <c r="E716" s="41" t="s">
        <v>103</v>
      </c>
      <c r="F716" s="41" t="s">
        <v>79</v>
      </c>
      <c r="G716" s="41" t="n">
        <v>98.7</v>
      </c>
      <c r="H716" s="41" t="n">
        <v>8</v>
      </c>
      <c r="I716" s="41" t="n">
        <v>39.48</v>
      </c>
      <c r="J716" s="41" t="n">
        <v>829.08</v>
      </c>
      <c r="K716" s="41" t="s">
        <v>1454</v>
      </c>
      <c r="L716" s="41" t="s">
        <v>1387</v>
      </c>
      <c r="M716" s="41" t="s">
        <v>98</v>
      </c>
      <c r="N716" s="41" t="n">
        <v>789.6</v>
      </c>
      <c r="O716" s="41" t="n">
        <v>4.761904762</v>
      </c>
      <c r="P716" s="41" t="n">
        <v>39.48</v>
      </c>
      <c r="Q716" s="41" t="n">
        <v>8.5</v>
      </c>
    </row>
    <row r="717" customFormat="false" ht="15" hidden="false" customHeight="false" outlineLevel="0" collapsed="false">
      <c r="A717" s="41" t="s">
        <v>895</v>
      </c>
      <c r="B717" s="41" t="s">
        <v>178</v>
      </c>
      <c r="C717" s="41" t="s">
        <v>85</v>
      </c>
      <c r="D717" s="41" t="s">
        <v>105</v>
      </c>
      <c r="E717" s="41" t="s">
        <v>102</v>
      </c>
      <c r="F717" s="41" t="s">
        <v>81</v>
      </c>
      <c r="G717" s="41" t="n">
        <v>35.68</v>
      </c>
      <c r="H717" s="41" t="n">
        <v>5</v>
      </c>
      <c r="I717" s="41" t="n">
        <v>8.92</v>
      </c>
      <c r="J717" s="41" t="n">
        <v>187.32</v>
      </c>
      <c r="K717" s="41" t="s">
        <v>1208</v>
      </c>
      <c r="L717" s="41" t="s">
        <v>1604</v>
      </c>
      <c r="M717" s="41" t="s">
        <v>99</v>
      </c>
      <c r="N717" s="41" t="n">
        <v>178.4</v>
      </c>
      <c r="O717" s="41" t="n">
        <v>4.761904762</v>
      </c>
      <c r="P717" s="41" t="n">
        <v>8.92</v>
      </c>
      <c r="Q717" s="41" t="n">
        <v>6.6</v>
      </c>
    </row>
    <row r="718" customFormat="false" ht="15" hidden="false" customHeight="false" outlineLevel="0" collapsed="false">
      <c r="A718" s="41" t="s">
        <v>896</v>
      </c>
      <c r="B718" s="41" t="s">
        <v>178</v>
      </c>
      <c r="C718" s="41" t="s">
        <v>85</v>
      </c>
      <c r="D718" s="41" t="s">
        <v>104</v>
      </c>
      <c r="E718" s="41" t="s">
        <v>102</v>
      </c>
      <c r="F718" s="41" t="s">
        <v>79</v>
      </c>
      <c r="G718" s="41" t="n">
        <v>71.46</v>
      </c>
      <c r="H718" s="41" t="n">
        <v>7</v>
      </c>
      <c r="I718" s="41" t="n">
        <v>25.011</v>
      </c>
      <c r="J718" s="41" t="n">
        <v>525.231</v>
      </c>
      <c r="K718" s="41" t="s">
        <v>1343</v>
      </c>
      <c r="L718" s="41" t="s">
        <v>1702</v>
      </c>
      <c r="M718" s="41" t="s">
        <v>98</v>
      </c>
      <c r="N718" s="41" t="n">
        <v>500.22</v>
      </c>
      <c r="O718" s="41" t="n">
        <v>4.761904762</v>
      </c>
      <c r="P718" s="41" t="n">
        <v>25.011</v>
      </c>
      <c r="Q718" s="41" t="n">
        <v>4.5</v>
      </c>
    </row>
    <row r="719" customFormat="false" ht="15" hidden="false" customHeight="false" outlineLevel="0" collapsed="false">
      <c r="A719" s="41" t="s">
        <v>897</v>
      </c>
      <c r="B719" s="41" t="s">
        <v>178</v>
      </c>
      <c r="C719" s="41" t="s">
        <v>85</v>
      </c>
      <c r="D719" s="41" t="s">
        <v>104</v>
      </c>
      <c r="E719" s="41" t="s">
        <v>103</v>
      </c>
      <c r="F719" s="41" t="s">
        <v>78</v>
      </c>
      <c r="G719" s="41" t="n">
        <v>11.94</v>
      </c>
      <c r="H719" s="41" t="n">
        <v>3</v>
      </c>
      <c r="I719" s="41" t="n">
        <v>1.791</v>
      </c>
      <c r="J719" s="41" t="n">
        <v>37.611</v>
      </c>
      <c r="K719" s="41" t="s">
        <v>1356</v>
      </c>
      <c r="L719" s="41" t="s">
        <v>1703</v>
      </c>
      <c r="M719" s="41" t="s">
        <v>99</v>
      </c>
      <c r="N719" s="41" t="n">
        <v>35.82</v>
      </c>
      <c r="O719" s="41" t="n">
        <v>4.761904762</v>
      </c>
      <c r="P719" s="41" t="n">
        <v>1.791</v>
      </c>
      <c r="Q719" s="41" t="n">
        <v>8.1</v>
      </c>
    </row>
    <row r="720" customFormat="false" ht="15" hidden="false" customHeight="false" outlineLevel="0" collapsed="false">
      <c r="A720" s="41" t="s">
        <v>898</v>
      </c>
      <c r="B720" s="41" t="s">
        <v>178</v>
      </c>
      <c r="C720" s="41" t="s">
        <v>85</v>
      </c>
      <c r="D720" s="41" t="s">
        <v>105</v>
      </c>
      <c r="E720" s="41" t="s">
        <v>103</v>
      </c>
      <c r="F720" s="41" t="s">
        <v>79</v>
      </c>
      <c r="G720" s="41" t="n">
        <v>45.38</v>
      </c>
      <c r="H720" s="41" t="n">
        <v>3</v>
      </c>
      <c r="I720" s="41" t="n">
        <v>6.807</v>
      </c>
      <c r="J720" s="41" t="n">
        <v>142.947</v>
      </c>
      <c r="K720" s="41" t="s">
        <v>1231</v>
      </c>
      <c r="L720" s="41" t="s">
        <v>1498</v>
      </c>
      <c r="M720" s="41" t="s">
        <v>99</v>
      </c>
      <c r="N720" s="41" t="n">
        <v>136.14</v>
      </c>
      <c r="O720" s="41" t="n">
        <v>4.761904762</v>
      </c>
      <c r="P720" s="41" t="n">
        <v>6.807</v>
      </c>
      <c r="Q720" s="41" t="n">
        <v>7.2</v>
      </c>
    </row>
    <row r="721" customFormat="false" ht="15" hidden="false" customHeight="false" outlineLevel="0" collapsed="false">
      <c r="A721" s="41" t="s">
        <v>899</v>
      </c>
      <c r="B721" s="41" t="s">
        <v>189</v>
      </c>
      <c r="C721" s="41" t="s">
        <v>86</v>
      </c>
      <c r="D721" s="41" t="s">
        <v>104</v>
      </c>
      <c r="E721" s="41" t="s">
        <v>102</v>
      </c>
      <c r="F721" s="41" t="s">
        <v>79</v>
      </c>
      <c r="G721" s="41" t="n">
        <v>17.48</v>
      </c>
      <c r="H721" s="41" t="n">
        <v>6</v>
      </c>
      <c r="I721" s="41" t="n">
        <v>5.244</v>
      </c>
      <c r="J721" s="41" t="n">
        <v>110.124</v>
      </c>
      <c r="K721" s="41" t="s">
        <v>1378</v>
      </c>
      <c r="L721" s="41" t="s">
        <v>1547</v>
      </c>
      <c r="M721" s="41" t="s">
        <v>99</v>
      </c>
      <c r="N721" s="41" t="n">
        <v>104.88</v>
      </c>
      <c r="O721" s="41" t="n">
        <v>4.761904762</v>
      </c>
      <c r="P721" s="41" t="n">
        <v>5.244</v>
      </c>
      <c r="Q721" s="41" t="n">
        <v>6.1</v>
      </c>
    </row>
    <row r="722" customFormat="false" ht="15" hidden="false" customHeight="false" outlineLevel="0" collapsed="false">
      <c r="A722" s="41" t="s">
        <v>900</v>
      </c>
      <c r="B722" s="41" t="s">
        <v>189</v>
      </c>
      <c r="C722" s="41" t="s">
        <v>86</v>
      </c>
      <c r="D722" s="41" t="s">
        <v>105</v>
      </c>
      <c r="E722" s="41" t="s">
        <v>102</v>
      </c>
      <c r="F722" s="41" t="s">
        <v>79</v>
      </c>
      <c r="G722" s="41" t="n">
        <v>25.56</v>
      </c>
      <c r="H722" s="41" t="n">
        <v>7</v>
      </c>
      <c r="I722" s="41" t="n">
        <v>8.946</v>
      </c>
      <c r="J722" s="41" t="n">
        <v>187.866</v>
      </c>
      <c r="K722" s="41" t="s">
        <v>1258</v>
      </c>
      <c r="L722" s="41" t="s">
        <v>1704</v>
      </c>
      <c r="M722" s="41" t="s">
        <v>97</v>
      </c>
      <c r="N722" s="41" t="n">
        <v>178.92</v>
      </c>
      <c r="O722" s="41" t="n">
        <v>4.761904762</v>
      </c>
      <c r="P722" s="41" t="n">
        <v>8.946</v>
      </c>
      <c r="Q722" s="41" t="n">
        <v>7.1</v>
      </c>
    </row>
    <row r="723" customFormat="false" ht="15" hidden="false" customHeight="false" outlineLevel="0" collapsed="false">
      <c r="A723" s="41" t="s">
        <v>901</v>
      </c>
      <c r="B723" s="41" t="s">
        <v>180</v>
      </c>
      <c r="C723" s="41" t="s">
        <v>87</v>
      </c>
      <c r="D723" s="41" t="s">
        <v>104</v>
      </c>
      <c r="E723" s="41" t="s">
        <v>102</v>
      </c>
      <c r="F723" s="41" t="s">
        <v>77</v>
      </c>
      <c r="G723" s="41" t="n">
        <v>90.63</v>
      </c>
      <c r="H723" s="41" t="n">
        <v>9</v>
      </c>
      <c r="I723" s="41" t="n">
        <v>40.7835</v>
      </c>
      <c r="J723" s="41" t="n">
        <v>856.4535</v>
      </c>
      <c r="K723" s="41" t="s">
        <v>1378</v>
      </c>
      <c r="L723" s="41" t="s">
        <v>1582</v>
      </c>
      <c r="M723" s="41" t="s">
        <v>97</v>
      </c>
      <c r="N723" s="41" t="n">
        <v>815.67</v>
      </c>
      <c r="O723" s="41" t="n">
        <v>4.761904762</v>
      </c>
      <c r="P723" s="41" t="n">
        <v>40.7835</v>
      </c>
      <c r="Q723" s="41" t="n">
        <v>5.1</v>
      </c>
    </row>
    <row r="724" customFormat="false" ht="15" hidden="false" customHeight="false" outlineLevel="0" collapsed="false">
      <c r="A724" s="41" t="s">
        <v>902</v>
      </c>
      <c r="B724" s="41" t="s">
        <v>189</v>
      </c>
      <c r="C724" s="41" t="s">
        <v>86</v>
      </c>
      <c r="D724" s="41" t="s">
        <v>105</v>
      </c>
      <c r="E724" s="41" t="s">
        <v>103</v>
      </c>
      <c r="F724" s="41" t="s">
        <v>80</v>
      </c>
      <c r="G724" s="41" t="n">
        <v>44.12</v>
      </c>
      <c r="H724" s="41" t="n">
        <v>3</v>
      </c>
      <c r="I724" s="41" t="n">
        <v>6.618</v>
      </c>
      <c r="J724" s="41" t="n">
        <v>138.978</v>
      </c>
      <c r="K724" s="41" t="s">
        <v>1442</v>
      </c>
      <c r="L724" s="41" t="s">
        <v>1556</v>
      </c>
      <c r="M724" s="41" t="s">
        <v>99</v>
      </c>
      <c r="N724" s="41" t="n">
        <v>132.36</v>
      </c>
      <c r="O724" s="41" t="n">
        <v>4.761904762</v>
      </c>
      <c r="P724" s="41" t="n">
        <v>6.618</v>
      </c>
      <c r="Q724" s="41" t="n">
        <v>7.9</v>
      </c>
    </row>
    <row r="725" customFormat="false" ht="15" hidden="false" customHeight="false" outlineLevel="0" collapsed="false">
      <c r="A725" s="41" t="s">
        <v>903</v>
      </c>
      <c r="B725" s="41" t="s">
        <v>180</v>
      </c>
      <c r="C725" s="41" t="s">
        <v>87</v>
      </c>
      <c r="D725" s="41" t="s">
        <v>104</v>
      </c>
      <c r="E725" s="41" t="s">
        <v>102</v>
      </c>
      <c r="F725" s="41" t="s">
        <v>76</v>
      </c>
      <c r="G725" s="41" t="n">
        <v>36.77</v>
      </c>
      <c r="H725" s="41" t="n">
        <v>7</v>
      </c>
      <c r="I725" s="41" t="n">
        <v>12.8695</v>
      </c>
      <c r="J725" s="41" t="n">
        <v>270.2595</v>
      </c>
      <c r="K725" s="41" t="s">
        <v>1460</v>
      </c>
      <c r="L725" s="41" t="s">
        <v>1705</v>
      </c>
      <c r="M725" s="41" t="s">
        <v>97</v>
      </c>
      <c r="N725" s="41" t="n">
        <v>257.39</v>
      </c>
      <c r="O725" s="41" t="n">
        <v>4.761904762</v>
      </c>
      <c r="P725" s="41" t="n">
        <v>12.8695</v>
      </c>
      <c r="Q725" s="41" t="n">
        <v>7.4</v>
      </c>
    </row>
    <row r="726" customFormat="false" ht="15" hidden="false" customHeight="false" outlineLevel="0" collapsed="false">
      <c r="A726" s="41" t="s">
        <v>904</v>
      </c>
      <c r="B726" s="41" t="s">
        <v>189</v>
      </c>
      <c r="C726" s="41" t="s">
        <v>86</v>
      </c>
      <c r="D726" s="41" t="s">
        <v>104</v>
      </c>
      <c r="E726" s="41" t="s">
        <v>103</v>
      </c>
      <c r="F726" s="41" t="s">
        <v>76</v>
      </c>
      <c r="G726" s="41" t="n">
        <v>23.34</v>
      </c>
      <c r="H726" s="41" t="n">
        <v>4</v>
      </c>
      <c r="I726" s="41" t="n">
        <v>4.668</v>
      </c>
      <c r="J726" s="41" t="n">
        <v>98.028</v>
      </c>
      <c r="K726" s="41" t="s">
        <v>1549</v>
      </c>
      <c r="L726" s="41" t="s">
        <v>1658</v>
      </c>
      <c r="M726" s="41" t="s">
        <v>98</v>
      </c>
      <c r="N726" s="41" t="n">
        <v>93.36</v>
      </c>
      <c r="O726" s="41" t="n">
        <v>4.761904762</v>
      </c>
      <c r="P726" s="41" t="n">
        <v>4.668</v>
      </c>
      <c r="Q726" s="41" t="n">
        <v>7.4</v>
      </c>
    </row>
    <row r="727" customFormat="false" ht="15" hidden="false" customHeight="false" outlineLevel="0" collapsed="false">
      <c r="A727" s="41" t="s">
        <v>905</v>
      </c>
      <c r="B727" s="41" t="s">
        <v>180</v>
      </c>
      <c r="C727" s="41" t="s">
        <v>87</v>
      </c>
      <c r="D727" s="41" t="s">
        <v>104</v>
      </c>
      <c r="E727" s="41" t="s">
        <v>102</v>
      </c>
      <c r="F727" s="41" t="s">
        <v>81</v>
      </c>
      <c r="G727" s="41" t="n">
        <v>28.5</v>
      </c>
      <c r="H727" s="41" t="n">
        <v>8</v>
      </c>
      <c r="I727" s="41" t="n">
        <v>11.4</v>
      </c>
      <c r="J727" s="41" t="n">
        <v>239.4</v>
      </c>
      <c r="K727" s="41" t="s">
        <v>1208</v>
      </c>
      <c r="L727" s="41" t="s">
        <v>1706</v>
      </c>
      <c r="M727" s="41" t="s">
        <v>97</v>
      </c>
      <c r="N727" s="41" t="n">
        <v>228</v>
      </c>
      <c r="O727" s="41" t="n">
        <v>4.761904762</v>
      </c>
      <c r="P727" s="41" t="n">
        <v>11.4</v>
      </c>
      <c r="Q727" s="41" t="n">
        <v>6.6</v>
      </c>
    </row>
    <row r="728" customFormat="false" ht="15" hidden="false" customHeight="false" outlineLevel="0" collapsed="false">
      <c r="A728" s="41" t="s">
        <v>906</v>
      </c>
      <c r="B728" s="41" t="s">
        <v>180</v>
      </c>
      <c r="C728" s="41" t="s">
        <v>87</v>
      </c>
      <c r="D728" s="41" t="s">
        <v>104</v>
      </c>
      <c r="E728" s="41" t="s">
        <v>103</v>
      </c>
      <c r="F728" s="41" t="s">
        <v>80</v>
      </c>
      <c r="G728" s="41" t="n">
        <v>55.57</v>
      </c>
      <c r="H728" s="41" t="n">
        <v>3</v>
      </c>
      <c r="I728" s="41" t="n">
        <v>8.3355</v>
      </c>
      <c r="J728" s="41" t="n">
        <v>175.0455</v>
      </c>
      <c r="K728" s="41" t="s">
        <v>1369</v>
      </c>
      <c r="L728" s="41" t="s">
        <v>1707</v>
      </c>
      <c r="M728" s="41" t="s">
        <v>99</v>
      </c>
      <c r="N728" s="41" t="n">
        <v>166.71</v>
      </c>
      <c r="O728" s="41" t="n">
        <v>4.761904762</v>
      </c>
      <c r="P728" s="41" t="n">
        <v>8.3355</v>
      </c>
      <c r="Q728" s="41" t="n">
        <v>5.9</v>
      </c>
    </row>
    <row r="729" customFormat="false" ht="15" hidden="false" customHeight="false" outlineLevel="0" collapsed="false">
      <c r="A729" s="41" t="s">
        <v>907</v>
      </c>
      <c r="B729" s="41" t="s">
        <v>189</v>
      </c>
      <c r="C729" s="41" t="s">
        <v>86</v>
      </c>
      <c r="D729" s="41" t="s">
        <v>105</v>
      </c>
      <c r="E729" s="41" t="s">
        <v>103</v>
      </c>
      <c r="F729" s="41" t="s">
        <v>77</v>
      </c>
      <c r="G729" s="41" t="n">
        <v>69.74</v>
      </c>
      <c r="H729" s="41" t="n">
        <v>10</v>
      </c>
      <c r="I729" s="41" t="n">
        <v>34.87</v>
      </c>
      <c r="J729" s="41" t="n">
        <v>732.27</v>
      </c>
      <c r="K729" s="41" t="s">
        <v>1227</v>
      </c>
      <c r="L729" s="41" t="s">
        <v>1708</v>
      </c>
      <c r="M729" s="41" t="s">
        <v>99</v>
      </c>
      <c r="N729" s="41" t="n">
        <v>697.4</v>
      </c>
      <c r="O729" s="41" t="n">
        <v>4.761904762</v>
      </c>
      <c r="P729" s="41" t="n">
        <v>34.87</v>
      </c>
      <c r="Q729" s="41" t="n">
        <v>8.9</v>
      </c>
    </row>
    <row r="730" customFormat="false" ht="15" hidden="false" customHeight="false" outlineLevel="0" collapsed="false">
      <c r="A730" s="41" t="s">
        <v>908</v>
      </c>
      <c r="B730" s="41" t="s">
        <v>180</v>
      </c>
      <c r="C730" s="41" t="s">
        <v>87</v>
      </c>
      <c r="D730" s="41" t="s">
        <v>105</v>
      </c>
      <c r="E730" s="41" t="s">
        <v>103</v>
      </c>
      <c r="F730" s="41" t="s">
        <v>79</v>
      </c>
      <c r="G730" s="41" t="n">
        <v>97.26</v>
      </c>
      <c r="H730" s="41" t="n">
        <v>4</v>
      </c>
      <c r="I730" s="41" t="n">
        <v>19.452</v>
      </c>
      <c r="J730" s="41" t="n">
        <v>408.492</v>
      </c>
      <c r="K730" s="41" t="s">
        <v>1263</v>
      </c>
      <c r="L730" s="41" t="s">
        <v>1709</v>
      </c>
      <c r="M730" s="41" t="s">
        <v>98</v>
      </c>
      <c r="N730" s="41" t="n">
        <v>389.04</v>
      </c>
      <c r="O730" s="41" t="n">
        <v>4.761904762</v>
      </c>
      <c r="P730" s="41" t="n">
        <v>19.452</v>
      </c>
      <c r="Q730" s="41" t="n">
        <v>6.8</v>
      </c>
    </row>
    <row r="731" customFormat="false" ht="15" hidden="false" customHeight="false" outlineLevel="0" collapsed="false">
      <c r="A731" s="41" t="s">
        <v>909</v>
      </c>
      <c r="B731" s="41" t="s">
        <v>189</v>
      </c>
      <c r="C731" s="41" t="s">
        <v>86</v>
      </c>
      <c r="D731" s="41" t="s">
        <v>104</v>
      </c>
      <c r="E731" s="41" t="s">
        <v>102</v>
      </c>
      <c r="F731" s="41" t="s">
        <v>80</v>
      </c>
      <c r="G731" s="41" t="n">
        <v>52.18</v>
      </c>
      <c r="H731" s="41" t="n">
        <v>7</v>
      </c>
      <c r="I731" s="41" t="n">
        <v>18.263</v>
      </c>
      <c r="J731" s="41" t="n">
        <v>383.523</v>
      </c>
      <c r="K731" s="41" t="s">
        <v>1210</v>
      </c>
      <c r="L731" s="41" t="s">
        <v>1468</v>
      </c>
      <c r="M731" s="41" t="s">
        <v>97</v>
      </c>
      <c r="N731" s="41" t="n">
        <v>365.26</v>
      </c>
      <c r="O731" s="41" t="n">
        <v>4.761904762</v>
      </c>
      <c r="P731" s="41" t="n">
        <v>18.263</v>
      </c>
      <c r="Q731" s="41" t="n">
        <v>9.3</v>
      </c>
    </row>
    <row r="732" customFormat="false" ht="15" hidden="false" customHeight="false" outlineLevel="0" collapsed="false">
      <c r="A732" s="41" t="s">
        <v>910</v>
      </c>
      <c r="B732" s="41" t="s">
        <v>178</v>
      </c>
      <c r="C732" s="41" t="s">
        <v>85</v>
      </c>
      <c r="D732" s="41" t="s">
        <v>104</v>
      </c>
      <c r="E732" s="41" t="s">
        <v>102</v>
      </c>
      <c r="F732" s="41" t="s">
        <v>79</v>
      </c>
      <c r="G732" s="41" t="n">
        <v>22.32</v>
      </c>
      <c r="H732" s="41" t="n">
        <v>4</v>
      </c>
      <c r="I732" s="41" t="n">
        <v>4.464</v>
      </c>
      <c r="J732" s="41" t="n">
        <v>93.744</v>
      </c>
      <c r="K732" s="41" t="s">
        <v>1339</v>
      </c>
      <c r="L732" s="41" t="s">
        <v>1564</v>
      </c>
      <c r="M732" s="41" t="s">
        <v>99</v>
      </c>
      <c r="N732" s="41" t="n">
        <v>89.28</v>
      </c>
      <c r="O732" s="41" t="n">
        <v>4.761904762</v>
      </c>
      <c r="P732" s="41" t="n">
        <v>4.464</v>
      </c>
      <c r="Q732" s="41" t="n">
        <v>4.4</v>
      </c>
    </row>
    <row r="733" customFormat="false" ht="15" hidden="false" customHeight="false" outlineLevel="0" collapsed="false">
      <c r="A733" s="41" t="s">
        <v>911</v>
      </c>
      <c r="B733" s="41" t="s">
        <v>178</v>
      </c>
      <c r="C733" s="41" t="s">
        <v>85</v>
      </c>
      <c r="D733" s="41" t="s">
        <v>105</v>
      </c>
      <c r="E733" s="41" t="s">
        <v>103</v>
      </c>
      <c r="F733" s="41" t="s">
        <v>81</v>
      </c>
      <c r="G733" s="41" t="n">
        <v>56</v>
      </c>
      <c r="H733" s="41" t="n">
        <v>3</v>
      </c>
      <c r="I733" s="41" t="n">
        <v>8.4</v>
      </c>
      <c r="J733" s="41" t="n">
        <v>176.4</v>
      </c>
      <c r="K733" s="41" t="s">
        <v>1279</v>
      </c>
      <c r="L733" s="41" t="s">
        <v>1566</v>
      </c>
      <c r="M733" s="41" t="s">
        <v>98</v>
      </c>
      <c r="N733" s="41" t="n">
        <v>168</v>
      </c>
      <c r="O733" s="41" t="n">
        <v>4.761904762</v>
      </c>
      <c r="P733" s="41" t="n">
        <v>8.4</v>
      </c>
      <c r="Q733" s="41" t="n">
        <v>4.8</v>
      </c>
    </row>
    <row r="734" customFormat="false" ht="15" hidden="false" customHeight="false" outlineLevel="0" collapsed="false">
      <c r="A734" s="41" t="s">
        <v>912</v>
      </c>
      <c r="B734" s="41" t="s">
        <v>178</v>
      </c>
      <c r="C734" s="41" t="s">
        <v>85</v>
      </c>
      <c r="D734" s="41" t="s">
        <v>104</v>
      </c>
      <c r="E734" s="41" t="s">
        <v>103</v>
      </c>
      <c r="F734" s="41" t="s">
        <v>79</v>
      </c>
      <c r="G734" s="41" t="n">
        <v>19.7</v>
      </c>
      <c r="H734" s="41" t="n">
        <v>1</v>
      </c>
      <c r="I734" s="41" t="n">
        <v>0.985</v>
      </c>
      <c r="J734" s="41" t="n">
        <v>20.685</v>
      </c>
      <c r="K734" s="41" t="s">
        <v>1196</v>
      </c>
      <c r="L734" s="41" t="s">
        <v>1681</v>
      </c>
      <c r="M734" s="41" t="s">
        <v>98</v>
      </c>
      <c r="N734" s="41" t="n">
        <v>19.7</v>
      </c>
      <c r="O734" s="41" t="n">
        <v>4.761904762</v>
      </c>
      <c r="P734" s="41" t="n">
        <v>0.985</v>
      </c>
      <c r="Q734" s="41" t="n">
        <v>9.5</v>
      </c>
    </row>
    <row r="735" customFormat="false" ht="15" hidden="false" customHeight="false" outlineLevel="0" collapsed="false">
      <c r="A735" s="41" t="s">
        <v>913</v>
      </c>
      <c r="B735" s="41" t="s">
        <v>189</v>
      </c>
      <c r="C735" s="41" t="s">
        <v>86</v>
      </c>
      <c r="D735" s="41" t="s">
        <v>105</v>
      </c>
      <c r="E735" s="41" t="s">
        <v>103</v>
      </c>
      <c r="F735" s="41" t="s">
        <v>78</v>
      </c>
      <c r="G735" s="41" t="n">
        <v>75.88</v>
      </c>
      <c r="H735" s="41" t="n">
        <v>7</v>
      </c>
      <c r="I735" s="41" t="n">
        <v>26.558</v>
      </c>
      <c r="J735" s="41" t="n">
        <v>557.718</v>
      </c>
      <c r="K735" s="41" t="s">
        <v>1300</v>
      </c>
      <c r="L735" s="41" t="s">
        <v>1710</v>
      </c>
      <c r="M735" s="41" t="s">
        <v>98</v>
      </c>
      <c r="N735" s="41" t="n">
        <v>531.16</v>
      </c>
      <c r="O735" s="41" t="n">
        <v>4.761904762</v>
      </c>
      <c r="P735" s="41" t="n">
        <v>26.558</v>
      </c>
      <c r="Q735" s="41" t="n">
        <v>8.9</v>
      </c>
    </row>
    <row r="736" customFormat="false" ht="15" hidden="false" customHeight="false" outlineLevel="0" collapsed="false">
      <c r="A736" s="41" t="s">
        <v>914</v>
      </c>
      <c r="B736" s="41" t="s">
        <v>189</v>
      </c>
      <c r="C736" s="41" t="s">
        <v>86</v>
      </c>
      <c r="D736" s="41" t="s">
        <v>104</v>
      </c>
      <c r="E736" s="41" t="s">
        <v>103</v>
      </c>
      <c r="F736" s="41" t="s">
        <v>76</v>
      </c>
      <c r="G736" s="41" t="n">
        <v>53.72</v>
      </c>
      <c r="H736" s="41" t="n">
        <v>1</v>
      </c>
      <c r="I736" s="41" t="n">
        <v>2.686</v>
      </c>
      <c r="J736" s="41" t="n">
        <v>56.406</v>
      </c>
      <c r="K736" s="41" t="s">
        <v>1339</v>
      </c>
      <c r="L736" s="41" t="s">
        <v>1627</v>
      </c>
      <c r="M736" s="41" t="s">
        <v>98</v>
      </c>
      <c r="N736" s="41" t="n">
        <v>53.72</v>
      </c>
      <c r="O736" s="41" t="n">
        <v>4.761904762</v>
      </c>
      <c r="P736" s="41" t="n">
        <v>2.686</v>
      </c>
      <c r="Q736" s="41" t="n">
        <v>6.4</v>
      </c>
    </row>
    <row r="737" customFormat="false" ht="15" hidden="false" customHeight="false" outlineLevel="0" collapsed="false">
      <c r="A737" s="41" t="s">
        <v>915</v>
      </c>
      <c r="B737" s="41" t="s">
        <v>180</v>
      </c>
      <c r="C737" s="41" t="s">
        <v>87</v>
      </c>
      <c r="D737" s="41" t="s">
        <v>104</v>
      </c>
      <c r="E737" s="41" t="s">
        <v>103</v>
      </c>
      <c r="F737" s="41" t="s">
        <v>81</v>
      </c>
      <c r="G737" s="41" t="n">
        <v>81.95</v>
      </c>
      <c r="H737" s="41" t="n">
        <v>10</v>
      </c>
      <c r="I737" s="41" t="n">
        <v>40.975</v>
      </c>
      <c r="J737" s="41" t="n">
        <v>860.475</v>
      </c>
      <c r="K737" s="41" t="s">
        <v>1238</v>
      </c>
      <c r="L737" s="41" t="s">
        <v>1711</v>
      </c>
      <c r="M737" s="41" t="s">
        <v>99</v>
      </c>
      <c r="N737" s="41" t="n">
        <v>819.5</v>
      </c>
      <c r="O737" s="41" t="n">
        <v>4.761904762</v>
      </c>
      <c r="P737" s="41" t="n">
        <v>40.975</v>
      </c>
      <c r="Q737" s="41" t="n">
        <v>6</v>
      </c>
    </row>
    <row r="738" customFormat="false" ht="15" hidden="false" customHeight="false" outlineLevel="0" collapsed="false">
      <c r="A738" s="41" t="s">
        <v>916</v>
      </c>
      <c r="B738" s="41" t="s">
        <v>180</v>
      </c>
      <c r="C738" s="41" t="s">
        <v>87</v>
      </c>
      <c r="D738" s="41" t="s">
        <v>104</v>
      </c>
      <c r="E738" s="41" t="s">
        <v>102</v>
      </c>
      <c r="F738" s="41" t="s">
        <v>80</v>
      </c>
      <c r="G738" s="41" t="n">
        <v>81.2</v>
      </c>
      <c r="H738" s="41" t="n">
        <v>7</v>
      </c>
      <c r="I738" s="41" t="n">
        <v>28.42</v>
      </c>
      <c r="J738" s="41" t="n">
        <v>596.82</v>
      </c>
      <c r="K738" s="41" t="s">
        <v>1253</v>
      </c>
      <c r="L738" s="41" t="s">
        <v>1542</v>
      </c>
      <c r="M738" s="41" t="s">
        <v>99</v>
      </c>
      <c r="N738" s="41" t="n">
        <v>568.4</v>
      </c>
      <c r="O738" s="41" t="n">
        <v>4.761904762</v>
      </c>
      <c r="P738" s="41" t="n">
        <v>28.42</v>
      </c>
      <c r="Q738" s="41" t="n">
        <v>8.1</v>
      </c>
    </row>
    <row r="739" customFormat="false" ht="15" hidden="false" customHeight="false" outlineLevel="0" collapsed="false">
      <c r="A739" s="41" t="s">
        <v>917</v>
      </c>
      <c r="B739" s="41" t="s">
        <v>180</v>
      </c>
      <c r="C739" s="41" t="s">
        <v>87</v>
      </c>
      <c r="D739" s="41" t="s">
        <v>105</v>
      </c>
      <c r="E739" s="41" t="s">
        <v>103</v>
      </c>
      <c r="F739" s="41" t="s">
        <v>78</v>
      </c>
      <c r="G739" s="41" t="n">
        <v>58.76</v>
      </c>
      <c r="H739" s="41" t="n">
        <v>10</v>
      </c>
      <c r="I739" s="41" t="n">
        <v>29.38</v>
      </c>
      <c r="J739" s="41" t="n">
        <v>616.98</v>
      </c>
      <c r="K739" s="41" t="s">
        <v>1392</v>
      </c>
      <c r="L739" s="41" t="s">
        <v>1712</v>
      </c>
      <c r="M739" s="41" t="s">
        <v>98</v>
      </c>
      <c r="N739" s="41" t="n">
        <v>587.6</v>
      </c>
      <c r="O739" s="41" t="n">
        <v>4.761904762</v>
      </c>
      <c r="P739" s="41" t="n">
        <v>29.38</v>
      </c>
      <c r="Q739" s="41" t="n">
        <v>9</v>
      </c>
    </row>
    <row r="740" customFormat="false" ht="15" hidden="false" customHeight="false" outlineLevel="0" collapsed="false">
      <c r="A740" s="41" t="s">
        <v>918</v>
      </c>
      <c r="B740" s="41" t="s">
        <v>189</v>
      </c>
      <c r="C740" s="41" t="s">
        <v>86</v>
      </c>
      <c r="D740" s="41" t="s">
        <v>104</v>
      </c>
      <c r="E740" s="41" t="s">
        <v>103</v>
      </c>
      <c r="F740" s="41" t="s">
        <v>78</v>
      </c>
      <c r="G740" s="41" t="n">
        <v>91.56</v>
      </c>
      <c r="H740" s="41" t="n">
        <v>8</v>
      </c>
      <c r="I740" s="41" t="n">
        <v>36.624</v>
      </c>
      <c r="J740" s="41" t="n">
        <v>769.104</v>
      </c>
      <c r="K740" s="41" t="s">
        <v>1313</v>
      </c>
      <c r="L740" s="41" t="s">
        <v>1552</v>
      </c>
      <c r="M740" s="41" t="s">
        <v>98</v>
      </c>
      <c r="N740" s="41" t="n">
        <v>732.48</v>
      </c>
      <c r="O740" s="41" t="n">
        <v>4.761904762</v>
      </c>
      <c r="P740" s="41" t="n">
        <v>36.624</v>
      </c>
      <c r="Q740" s="41" t="n">
        <v>6</v>
      </c>
    </row>
    <row r="741" customFormat="false" ht="15" hidden="false" customHeight="false" outlineLevel="0" collapsed="false">
      <c r="A741" s="41" t="s">
        <v>919</v>
      </c>
      <c r="B741" s="41" t="s">
        <v>178</v>
      </c>
      <c r="C741" s="41" t="s">
        <v>85</v>
      </c>
      <c r="D741" s="41" t="s">
        <v>105</v>
      </c>
      <c r="E741" s="41" t="s">
        <v>103</v>
      </c>
      <c r="F741" s="41" t="s">
        <v>80</v>
      </c>
      <c r="G741" s="41" t="n">
        <v>93.96</v>
      </c>
      <c r="H741" s="41" t="n">
        <v>9</v>
      </c>
      <c r="I741" s="41" t="n">
        <v>42.282</v>
      </c>
      <c r="J741" s="41" t="n">
        <v>887.922</v>
      </c>
      <c r="K741" s="41" t="s">
        <v>1446</v>
      </c>
      <c r="L741" s="41" t="s">
        <v>1353</v>
      </c>
      <c r="M741" s="41" t="s">
        <v>97</v>
      </c>
      <c r="N741" s="41" t="n">
        <v>845.64</v>
      </c>
      <c r="O741" s="41" t="n">
        <v>4.761904762</v>
      </c>
      <c r="P741" s="41" t="n">
        <v>42.282</v>
      </c>
      <c r="Q741" s="41" t="n">
        <v>9.8</v>
      </c>
    </row>
    <row r="742" customFormat="false" ht="15" hidden="false" customHeight="false" outlineLevel="0" collapsed="false">
      <c r="A742" s="41" t="s">
        <v>920</v>
      </c>
      <c r="B742" s="41" t="s">
        <v>180</v>
      </c>
      <c r="C742" s="41" t="s">
        <v>87</v>
      </c>
      <c r="D742" s="41" t="s">
        <v>105</v>
      </c>
      <c r="E742" s="41" t="s">
        <v>103</v>
      </c>
      <c r="F742" s="41" t="s">
        <v>80</v>
      </c>
      <c r="G742" s="41" t="n">
        <v>55.61</v>
      </c>
      <c r="H742" s="41" t="n">
        <v>7</v>
      </c>
      <c r="I742" s="41" t="n">
        <v>19.4635</v>
      </c>
      <c r="J742" s="41" t="n">
        <v>408.7335</v>
      </c>
      <c r="K742" s="41" t="s">
        <v>1253</v>
      </c>
      <c r="L742" s="41" t="s">
        <v>1713</v>
      </c>
      <c r="M742" s="41" t="s">
        <v>97</v>
      </c>
      <c r="N742" s="41" t="n">
        <v>389.27</v>
      </c>
      <c r="O742" s="41" t="n">
        <v>4.761904762</v>
      </c>
      <c r="P742" s="41" t="n">
        <v>19.4635</v>
      </c>
      <c r="Q742" s="41" t="n">
        <v>8.5</v>
      </c>
    </row>
    <row r="743" customFormat="false" ht="15" hidden="false" customHeight="false" outlineLevel="0" collapsed="false">
      <c r="A743" s="41" t="s">
        <v>921</v>
      </c>
      <c r="B743" s="41" t="s">
        <v>180</v>
      </c>
      <c r="C743" s="41" t="s">
        <v>87</v>
      </c>
      <c r="D743" s="41" t="s">
        <v>105</v>
      </c>
      <c r="E743" s="41" t="s">
        <v>103</v>
      </c>
      <c r="F743" s="41" t="s">
        <v>76</v>
      </c>
      <c r="G743" s="41" t="n">
        <v>84.83</v>
      </c>
      <c r="H743" s="41" t="n">
        <v>1</v>
      </c>
      <c r="I743" s="41" t="n">
        <v>4.2415</v>
      </c>
      <c r="J743" s="41" t="n">
        <v>89.0715</v>
      </c>
      <c r="K743" s="41" t="s">
        <v>1438</v>
      </c>
      <c r="L743" s="41" t="s">
        <v>1714</v>
      </c>
      <c r="M743" s="41" t="s">
        <v>98</v>
      </c>
      <c r="N743" s="41" t="n">
        <v>84.83</v>
      </c>
      <c r="O743" s="41" t="n">
        <v>4.761904762</v>
      </c>
      <c r="P743" s="41" t="n">
        <v>4.2415</v>
      </c>
      <c r="Q743" s="41" t="n">
        <v>8.8</v>
      </c>
    </row>
    <row r="744" customFormat="false" ht="15" hidden="false" customHeight="false" outlineLevel="0" collapsed="false">
      <c r="A744" s="41" t="s">
        <v>922</v>
      </c>
      <c r="B744" s="41" t="s">
        <v>178</v>
      </c>
      <c r="C744" s="41" t="s">
        <v>85</v>
      </c>
      <c r="D744" s="41" t="s">
        <v>104</v>
      </c>
      <c r="E744" s="41" t="s">
        <v>102</v>
      </c>
      <c r="F744" s="41" t="s">
        <v>77</v>
      </c>
      <c r="G744" s="41" t="n">
        <v>71.63</v>
      </c>
      <c r="H744" s="41" t="n">
        <v>2</v>
      </c>
      <c r="I744" s="41" t="n">
        <v>7.163</v>
      </c>
      <c r="J744" s="41" t="n">
        <v>150.423</v>
      </c>
      <c r="K744" s="41" t="s">
        <v>1212</v>
      </c>
      <c r="L744" s="41" t="s">
        <v>1646</v>
      </c>
      <c r="M744" s="41" t="s">
        <v>98</v>
      </c>
      <c r="N744" s="41" t="n">
        <v>143.26</v>
      </c>
      <c r="O744" s="41" t="n">
        <v>4.761904762</v>
      </c>
      <c r="P744" s="41" t="n">
        <v>7.163</v>
      </c>
      <c r="Q744" s="41" t="n">
        <v>8.8</v>
      </c>
    </row>
    <row r="745" customFormat="false" ht="15" hidden="false" customHeight="false" outlineLevel="0" collapsed="false">
      <c r="A745" s="41" t="s">
        <v>923</v>
      </c>
      <c r="B745" s="41" t="s">
        <v>178</v>
      </c>
      <c r="C745" s="41" t="s">
        <v>85</v>
      </c>
      <c r="D745" s="41" t="s">
        <v>104</v>
      </c>
      <c r="E745" s="41" t="s">
        <v>103</v>
      </c>
      <c r="F745" s="41" t="s">
        <v>80</v>
      </c>
      <c r="G745" s="41" t="n">
        <v>37.69</v>
      </c>
      <c r="H745" s="41" t="n">
        <v>2</v>
      </c>
      <c r="I745" s="41" t="n">
        <v>3.769</v>
      </c>
      <c r="J745" s="41" t="n">
        <v>79.149</v>
      </c>
      <c r="K745" s="41" t="s">
        <v>1206</v>
      </c>
      <c r="L745" s="41" t="s">
        <v>1676</v>
      </c>
      <c r="M745" s="41" t="s">
        <v>98</v>
      </c>
      <c r="N745" s="41" t="n">
        <v>75.38</v>
      </c>
      <c r="O745" s="41" t="n">
        <v>4.761904762</v>
      </c>
      <c r="P745" s="41" t="n">
        <v>3.769</v>
      </c>
      <c r="Q745" s="41" t="n">
        <v>9.5</v>
      </c>
    </row>
    <row r="746" customFormat="false" ht="15" hidden="false" customHeight="false" outlineLevel="0" collapsed="false">
      <c r="A746" s="41" t="s">
        <v>924</v>
      </c>
      <c r="B746" s="41" t="s">
        <v>180</v>
      </c>
      <c r="C746" s="41" t="s">
        <v>87</v>
      </c>
      <c r="D746" s="41" t="s">
        <v>104</v>
      </c>
      <c r="E746" s="41" t="s">
        <v>102</v>
      </c>
      <c r="F746" s="41" t="s">
        <v>77</v>
      </c>
      <c r="G746" s="41" t="n">
        <v>31.67</v>
      </c>
      <c r="H746" s="41" t="n">
        <v>8</v>
      </c>
      <c r="I746" s="41" t="n">
        <v>12.668</v>
      </c>
      <c r="J746" s="41" t="n">
        <v>266.028</v>
      </c>
      <c r="K746" s="41" t="s">
        <v>1326</v>
      </c>
      <c r="L746" s="41" t="s">
        <v>1219</v>
      </c>
      <c r="M746" s="41" t="s">
        <v>99</v>
      </c>
      <c r="N746" s="41" t="n">
        <v>253.36</v>
      </c>
      <c r="O746" s="41" t="n">
        <v>4.761904762</v>
      </c>
      <c r="P746" s="41" t="n">
        <v>12.668</v>
      </c>
      <c r="Q746" s="41" t="n">
        <v>5.6</v>
      </c>
    </row>
    <row r="747" customFormat="false" ht="15" hidden="false" customHeight="false" outlineLevel="0" collapsed="false">
      <c r="A747" s="41" t="s">
        <v>925</v>
      </c>
      <c r="B747" s="41" t="s">
        <v>180</v>
      </c>
      <c r="C747" s="41" t="s">
        <v>87</v>
      </c>
      <c r="D747" s="41" t="s">
        <v>104</v>
      </c>
      <c r="E747" s="41" t="s">
        <v>102</v>
      </c>
      <c r="F747" s="41" t="s">
        <v>76</v>
      </c>
      <c r="G747" s="41" t="n">
        <v>38.42</v>
      </c>
      <c r="H747" s="41" t="n">
        <v>1</v>
      </c>
      <c r="I747" s="41" t="n">
        <v>1.921</v>
      </c>
      <c r="J747" s="41" t="n">
        <v>40.341</v>
      </c>
      <c r="K747" s="41" t="s">
        <v>1258</v>
      </c>
      <c r="L747" s="41" t="s">
        <v>1715</v>
      </c>
      <c r="M747" s="41" t="s">
        <v>97</v>
      </c>
      <c r="N747" s="41" t="n">
        <v>38.42</v>
      </c>
      <c r="O747" s="41" t="n">
        <v>4.761904762</v>
      </c>
      <c r="P747" s="41" t="n">
        <v>1.921</v>
      </c>
      <c r="Q747" s="41" t="n">
        <v>8.6</v>
      </c>
    </row>
    <row r="748" customFormat="false" ht="15" hidden="false" customHeight="false" outlineLevel="0" collapsed="false">
      <c r="A748" s="41" t="s">
        <v>926</v>
      </c>
      <c r="B748" s="41" t="s">
        <v>189</v>
      </c>
      <c r="C748" s="41" t="s">
        <v>86</v>
      </c>
      <c r="D748" s="41" t="s">
        <v>104</v>
      </c>
      <c r="E748" s="41" t="s">
        <v>103</v>
      </c>
      <c r="F748" s="41" t="s">
        <v>79</v>
      </c>
      <c r="G748" s="41" t="n">
        <v>65.23</v>
      </c>
      <c r="H748" s="41" t="n">
        <v>10</v>
      </c>
      <c r="I748" s="41" t="n">
        <v>32.615</v>
      </c>
      <c r="J748" s="41" t="n">
        <v>684.915</v>
      </c>
      <c r="K748" s="41" t="s">
        <v>1369</v>
      </c>
      <c r="L748" s="41" t="s">
        <v>1583</v>
      </c>
      <c r="M748" s="41" t="s">
        <v>99</v>
      </c>
      <c r="N748" s="41" t="n">
        <v>652.3</v>
      </c>
      <c r="O748" s="41" t="n">
        <v>4.761904762</v>
      </c>
      <c r="P748" s="41" t="n">
        <v>32.615</v>
      </c>
      <c r="Q748" s="41" t="n">
        <v>5.2</v>
      </c>
    </row>
    <row r="749" customFormat="false" ht="15" hidden="false" customHeight="false" outlineLevel="0" collapsed="false">
      <c r="A749" s="41" t="s">
        <v>927</v>
      </c>
      <c r="B749" s="41" t="s">
        <v>180</v>
      </c>
      <c r="C749" s="41" t="s">
        <v>87</v>
      </c>
      <c r="D749" s="41" t="s">
        <v>104</v>
      </c>
      <c r="E749" s="41" t="s">
        <v>102</v>
      </c>
      <c r="F749" s="41" t="s">
        <v>80</v>
      </c>
      <c r="G749" s="41" t="n">
        <v>10.53</v>
      </c>
      <c r="H749" s="41" t="n">
        <v>5</v>
      </c>
      <c r="I749" s="41" t="n">
        <v>2.6325</v>
      </c>
      <c r="J749" s="41" t="n">
        <v>55.2825</v>
      </c>
      <c r="K749" s="41" t="s">
        <v>1404</v>
      </c>
      <c r="L749" s="41" t="s">
        <v>1400</v>
      </c>
      <c r="M749" s="41" t="s">
        <v>99</v>
      </c>
      <c r="N749" s="41" t="n">
        <v>52.65</v>
      </c>
      <c r="O749" s="41" t="n">
        <v>4.761904762</v>
      </c>
      <c r="P749" s="41" t="n">
        <v>2.6325</v>
      </c>
      <c r="Q749" s="41" t="n">
        <v>5.8</v>
      </c>
    </row>
    <row r="750" customFormat="false" ht="15" hidden="false" customHeight="false" outlineLevel="0" collapsed="false">
      <c r="A750" s="41" t="s">
        <v>928</v>
      </c>
      <c r="B750" s="41" t="s">
        <v>189</v>
      </c>
      <c r="C750" s="41" t="s">
        <v>86</v>
      </c>
      <c r="D750" s="41" t="s">
        <v>104</v>
      </c>
      <c r="E750" s="41" t="s">
        <v>102</v>
      </c>
      <c r="F750" s="41" t="s">
        <v>80</v>
      </c>
      <c r="G750" s="41" t="n">
        <v>12.29</v>
      </c>
      <c r="H750" s="41" t="n">
        <v>9</v>
      </c>
      <c r="I750" s="41" t="n">
        <v>5.5305</v>
      </c>
      <c r="J750" s="41" t="n">
        <v>116.1405</v>
      </c>
      <c r="K750" s="41" t="s">
        <v>1338</v>
      </c>
      <c r="L750" s="41" t="s">
        <v>1466</v>
      </c>
      <c r="M750" s="41" t="s">
        <v>99</v>
      </c>
      <c r="N750" s="41" t="n">
        <v>110.61</v>
      </c>
      <c r="O750" s="41" t="n">
        <v>4.761904762</v>
      </c>
      <c r="P750" s="41" t="n">
        <v>5.5305</v>
      </c>
      <c r="Q750" s="41" t="n">
        <v>8</v>
      </c>
    </row>
    <row r="751" customFormat="false" ht="15" hidden="false" customHeight="false" outlineLevel="0" collapsed="false">
      <c r="A751" s="41" t="s">
        <v>929</v>
      </c>
      <c r="B751" s="41" t="s">
        <v>180</v>
      </c>
      <c r="C751" s="41" t="s">
        <v>87</v>
      </c>
      <c r="D751" s="41" t="s">
        <v>104</v>
      </c>
      <c r="E751" s="41" t="s">
        <v>103</v>
      </c>
      <c r="F751" s="41" t="s">
        <v>81</v>
      </c>
      <c r="G751" s="41" t="n">
        <v>81.23</v>
      </c>
      <c r="H751" s="41" t="n">
        <v>7</v>
      </c>
      <c r="I751" s="41" t="n">
        <v>28.4305</v>
      </c>
      <c r="J751" s="41" t="n">
        <v>597.0405</v>
      </c>
      <c r="K751" s="41" t="s">
        <v>1218</v>
      </c>
      <c r="L751" s="41" t="s">
        <v>1716</v>
      </c>
      <c r="M751" s="41" t="s">
        <v>97</v>
      </c>
      <c r="N751" s="41" t="n">
        <v>568.61</v>
      </c>
      <c r="O751" s="41" t="n">
        <v>4.761904762</v>
      </c>
      <c r="P751" s="41" t="n">
        <v>28.4305</v>
      </c>
      <c r="Q751" s="41" t="n">
        <v>9</v>
      </c>
    </row>
    <row r="752" customFormat="false" ht="15" hidden="false" customHeight="false" outlineLevel="0" collapsed="false">
      <c r="A752" s="41" t="s">
        <v>930</v>
      </c>
      <c r="B752" s="41" t="s">
        <v>189</v>
      </c>
      <c r="C752" s="41" t="s">
        <v>86</v>
      </c>
      <c r="D752" s="41" t="s">
        <v>104</v>
      </c>
      <c r="E752" s="41" t="s">
        <v>102</v>
      </c>
      <c r="F752" s="41" t="s">
        <v>79</v>
      </c>
      <c r="G752" s="41" t="n">
        <v>22.32</v>
      </c>
      <c r="H752" s="41" t="n">
        <v>4</v>
      </c>
      <c r="I752" s="41" t="n">
        <v>4.464</v>
      </c>
      <c r="J752" s="41" t="n">
        <v>93.744</v>
      </c>
      <c r="K752" s="41" t="s">
        <v>1494</v>
      </c>
      <c r="L752" s="41" t="s">
        <v>1717</v>
      </c>
      <c r="M752" s="41" t="s">
        <v>98</v>
      </c>
      <c r="N752" s="41" t="n">
        <v>89.28</v>
      </c>
      <c r="O752" s="41" t="n">
        <v>4.761904762</v>
      </c>
      <c r="P752" s="41" t="n">
        <v>4.464</v>
      </c>
      <c r="Q752" s="41" t="n">
        <v>4.1</v>
      </c>
    </row>
    <row r="753" customFormat="false" ht="15" hidden="false" customHeight="false" outlineLevel="0" collapsed="false">
      <c r="A753" s="41" t="s">
        <v>931</v>
      </c>
      <c r="B753" s="41" t="s">
        <v>178</v>
      </c>
      <c r="C753" s="41" t="s">
        <v>85</v>
      </c>
      <c r="D753" s="41" t="s">
        <v>105</v>
      </c>
      <c r="E753" s="41" t="s">
        <v>102</v>
      </c>
      <c r="F753" s="41" t="s">
        <v>76</v>
      </c>
      <c r="G753" s="41" t="n">
        <v>27.28</v>
      </c>
      <c r="H753" s="41" t="n">
        <v>5</v>
      </c>
      <c r="I753" s="41" t="n">
        <v>6.82</v>
      </c>
      <c r="J753" s="41" t="n">
        <v>143.22</v>
      </c>
      <c r="K753" s="41" t="s">
        <v>1272</v>
      </c>
      <c r="L753" s="41" t="s">
        <v>1630</v>
      </c>
      <c r="M753" s="41" t="s">
        <v>99</v>
      </c>
      <c r="N753" s="41" t="n">
        <v>136.4</v>
      </c>
      <c r="O753" s="41" t="n">
        <v>4.761904762</v>
      </c>
      <c r="P753" s="41" t="n">
        <v>6.82</v>
      </c>
      <c r="Q753" s="41" t="n">
        <v>8.6</v>
      </c>
    </row>
    <row r="754" customFormat="false" ht="15" hidden="false" customHeight="false" outlineLevel="0" collapsed="false">
      <c r="A754" s="41" t="s">
        <v>932</v>
      </c>
      <c r="B754" s="41" t="s">
        <v>178</v>
      </c>
      <c r="C754" s="41" t="s">
        <v>85</v>
      </c>
      <c r="D754" s="41" t="s">
        <v>104</v>
      </c>
      <c r="E754" s="41" t="s">
        <v>102</v>
      </c>
      <c r="F754" s="41" t="s">
        <v>78</v>
      </c>
      <c r="G754" s="41" t="n">
        <v>17.42</v>
      </c>
      <c r="H754" s="41" t="n">
        <v>10</v>
      </c>
      <c r="I754" s="41" t="n">
        <v>8.71</v>
      </c>
      <c r="J754" s="41" t="n">
        <v>182.91</v>
      </c>
      <c r="K754" s="41" t="s">
        <v>1386</v>
      </c>
      <c r="L754" s="41" t="s">
        <v>1718</v>
      </c>
      <c r="M754" s="41" t="s">
        <v>98</v>
      </c>
      <c r="N754" s="41" t="n">
        <v>174.2</v>
      </c>
      <c r="O754" s="41" t="n">
        <v>4.761904762</v>
      </c>
      <c r="P754" s="41" t="n">
        <v>8.71</v>
      </c>
      <c r="Q754" s="41" t="n">
        <v>7</v>
      </c>
    </row>
    <row r="755" customFormat="false" ht="15" hidden="false" customHeight="false" outlineLevel="0" collapsed="false">
      <c r="A755" s="41" t="s">
        <v>933</v>
      </c>
      <c r="B755" s="41" t="s">
        <v>189</v>
      </c>
      <c r="C755" s="41" t="s">
        <v>86</v>
      </c>
      <c r="D755" s="41" t="s">
        <v>105</v>
      </c>
      <c r="E755" s="41" t="s">
        <v>103</v>
      </c>
      <c r="F755" s="41" t="s">
        <v>80</v>
      </c>
      <c r="G755" s="41" t="n">
        <v>73.28</v>
      </c>
      <c r="H755" s="41" t="n">
        <v>5</v>
      </c>
      <c r="I755" s="41" t="n">
        <v>18.32</v>
      </c>
      <c r="J755" s="41" t="n">
        <v>384.72</v>
      </c>
      <c r="K755" s="41" t="s">
        <v>1300</v>
      </c>
      <c r="L755" s="41" t="s">
        <v>1448</v>
      </c>
      <c r="M755" s="41" t="s">
        <v>98</v>
      </c>
      <c r="N755" s="41" t="n">
        <v>366.4</v>
      </c>
      <c r="O755" s="41" t="n">
        <v>4.761904762</v>
      </c>
      <c r="P755" s="41" t="n">
        <v>18.32</v>
      </c>
      <c r="Q755" s="41" t="n">
        <v>8.4</v>
      </c>
    </row>
    <row r="756" customFormat="false" ht="15" hidden="false" customHeight="false" outlineLevel="0" collapsed="false">
      <c r="A756" s="41" t="s">
        <v>934</v>
      </c>
      <c r="B756" s="41" t="s">
        <v>180</v>
      </c>
      <c r="C756" s="41" t="s">
        <v>87</v>
      </c>
      <c r="D756" s="41" t="s">
        <v>104</v>
      </c>
      <c r="E756" s="41" t="s">
        <v>102</v>
      </c>
      <c r="F756" s="41" t="s">
        <v>79</v>
      </c>
      <c r="G756" s="41" t="n">
        <v>84.87</v>
      </c>
      <c r="H756" s="41" t="n">
        <v>3</v>
      </c>
      <c r="I756" s="41" t="n">
        <v>12.7305</v>
      </c>
      <c r="J756" s="41" t="n">
        <v>267.3405</v>
      </c>
      <c r="K756" s="41" t="s">
        <v>1240</v>
      </c>
      <c r="L756" s="41" t="s">
        <v>1199</v>
      </c>
      <c r="M756" s="41" t="s">
        <v>98</v>
      </c>
      <c r="N756" s="41" t="n">
        <v>254.61</v>
      </c>
      <c r="O756" s="41" t="n">
        <v>4.761904762</v>
      </c>
      <c r="P756" s="41" t="n">
        <v>12.7305</v>
      </c>
      <c r="Q756" s="41" t="n">
        <v>7.4</v>
      </c>
    </row>
    <row r="757" customFormat="false" ht="15" hidden="false" customHeight="false" outlineLevel="0" collapsed="false">
      <c r="A757" s="41" t="s">
        <v>935</v>
      </c>
      <c r="B757" s="41" t="s">
        <v>178</v>
      </c>
      <c r="C757" s="41" t="s">
        <v>85</v>
      </c>
      <c r="D757" s="41" t="s">
        <v>105</v>
      </c>
      <c r="E757" s="41" t="s">
        <v>102</v>
      </c>
      <c r="F757" s="41" t="s">
        <v>79</v>
      </c>
      <c r="G757" s="41" t="n">
        <v>97.29</v>
      </c>
      <c r="H757" s="41" t="n">
        <v>8</v>
      </c>
      <c r="I757" s="41" t="n">
        <v>38.916</v>
      </c>
      <c r="J757" s="41" t="n">
        <v>817.236</v>
      </c>
      <c r="K757" s="41" t="s">
        <v>1210</v>
      </c>
      <c r="L757" s="41" t="s">
        <v>1372</v>
      </c>
      <c r="M757" s="41" t="s">
        <v>99</v>
      </c>
      <c r="N757" s="41" t="n">
        <v>778.32</v>
      </c>
      <c r="O757" s="41" t="n">
        <v>4.761904762</v>
      </c>
      <c r="P757" s="41" t="n">
        <v>38.916</v>
      </c>
      <c r="Q757" s="41" t="n">
        <v>6.2</v>
      </c>
    </row>
    <row r="758" customFormat="false" ht="15" hidden="false" customHeight="false" outlineLevel="0" collapsed="false">
      <c r="A758" s="41" t="s">
        <v>936</v>
      </c>
      <c r="B758" s="41" t="s">
        <v>189</v>
      </c>
      <c r="C758" s="41" t="s">
        <v>86</v>
      </c>
      <c r="D758" s="41" t="s">
        <v>104</v>
      </c>
      <c r="E758" s="41" t="s">
        <v>102</v>
      </c>
      <c r="F758" s="41" t="s">
        <v>78</v>
      </c>
      <c r="G758" s="41" t="n">
        <v>35.74</v>
      </c>
      <c r="H758" s="41" t="n">
        <v>8</v>
      </c>
      <c r="I758" s="41" t="n">
        <v>14.296</v>
      </c>
      <c r="J758" s="41" t="n">
        <v>300.216</v>
      </c>
      <c r="K758" s="41" t="s">
        <v>1231</v>
      </c>
      <c r="L758" s="41" t="s">
        <v>1582</v>
      </c>
      <c r="M758" s="41" t="s">
        <v>98</v>
      </c>
      <c r="N758" s="41" t="n">
        <v>285.92</v>
      </c>
      <c r="O758" s="41" t="n">
        <v>4.761904762</v>
      </c>
      <c r="P758" s="41" t="n">
        <v>14.296</v>
      </c>
      <c r="Q758" s="41" t="n">
        <v>4.9</v>
      </c>
    </row>
    <row r="759" customFormat="false" ht="15" hidden="false" customHeight="false" outlineLevel="0" collapsed="false">
      <c r="A759" s="41" t="s">
        <v>937</v>
      </c>
      <c r="B759" s="41" t="s">
        <v>178</v>
      </c>
      <c r="C759" s="41" t="s">
        <v>85</v>
      </c>
      <c r="D759" s="41" t="s">
        <v>105</v>
      </c>
      <c r="E759" s="41" t="s">
        <v>102</v>
      </c>
      <c r="F759" s="41" t="s">
        <v>80</v>
      </c>
      <c r="G759" s="41" t="n">
        <v>96.52</v>
      </c>
      <c r="H759" s="41" t="n">
        <v>6</v>
      </c>
      <c r="I759" s="41" t="n">
        <v>28.956</v>
      </c>
      <c r="J759" s="41" t="n">
        <v>608.076</v>
      </c>
      <c r="K759" s="41" t="s">
        <v>1460</v>
      </c>
      <c r="L759" s="41" t="s">
        <v>1678</v>
      </c>
      <c r="M759" s="41" t="s">
        <v>97</v>
      </c>
      <c r="N759" s="41" t="n">
        <v>579.12</v>
      </c>
      <c r="O759" s="41" t="n">
        <v>4.761904762</v>
      </c>
      <c r="P759" s="41" t="n">
        <v>28.956</v>
      </c>
      <c r="Q759" s="41" t="n">
        <v>4.5</v>
      </c>
    </row>
    <row r="760" customFormat="false" ht="15" hidden="false" customHeight="false" outlineLevel="0" collapsed="false">
      <c r="A760" s="41" t="s">
        <v>938</v>
      </c>
      <c r="B760" s="41" t="s">
        <v>178</v>
      </c>
      <c r="C760" s="41" t="s">
        <v>85</v>
      </c>
      <c r="D760" s="41" t="s">
        <v>104</v>
      </c>
      <c r="E760" s="41" t="s">
        <v>103</v>
      </c>
      <c r="F760" s="41" t="s">
        <v>76</v>
      </c>
      <c r="G760" s="41" t="n">
        <v>18.85</v>
      </c>
      <c r="H760" s="41" t="n">
        <v>10</v>
      </c>
      <c r="I760" s="41" t="n">
        <v>9.425</v>
      </c>
      <c r="J760" s="41" t="n">
        <v>197.925</v>
      </c>
      <c r="K760" s="41" t="s">
        <v>1265</v>
      </c>
      <c r="L760" s="41" t="s">
        <v>1470</v>
      </c>
      <c r="M760" s="41" t="s">
        <v>98</v>
      </c>
      <c r="N760" s="41" t="n">
        <v>188.5</v>
      </c>
      <c r="O760" s="41" t="n">
        <v>4.761904762</v>
      </c>
      <c r="P760" s="41" t="n">
        <v>9.425</v>
      </c>
      <c r="Q760" s="41" t="n">
        <v>5.6</v>
      </c>
    </row>
    <row r="761" customFormat="false" ht="15" hidden="false" customHeight="false" outlineLevel="0" collapsed="false">
      <c r="A761" s="41" t="s">
        <v>939</v>
      </c>
      <c r="B761" s="41" t="s">
        <v>178</v>
      </c>
      <c r="C761" s="41" t="s">
        <v>85</v>
      </c>
      <c r="D761" s="41" t="s">
        <v>105</v>
      </c>
      <c r="E761" s="41" t="s">
        <v>102</v>
      </c>
      <c r="F761" s="41" t="s">
        <v>76</v>
      </c>
      <c r="G761" s="41" t="n">
        <v>55.39</v>
      </c>
      <c r="H761" s="41" t="n">
        <v>4</v>
      </c>
      <c r="I761" s="41" t="n">
        <v>11.078</v>
      </c>
      <c r="J761" s="41" t="n">
        <v>232.638</v>
      </c>
      <c r="K761" s="41" t="s">
        <v>1198</v>
      </c>
      <c r="L761" s="41" t="s">
        <v>1603</v>
      </c>
      <c r="M761" s="41" t="s">
        <v>98</v>
      </c>
      <c r="N761" s="41" t="n">
        <v>221.56</v>
      </c>
      <c r="O761" s="41" t="n">
        <v>4.761904762</v>
      </c>
      <c r="P761" s="41" t="n">
        <v>11.078</v>
      </c>
      <c r="Q761" s="41" t="n">
        <v>8</v>
      </c>
    </row>
    <row r="762" customFormat="false" ht="15" hidden="false" customHeight="false" outlineLevel="0" collapsed="false">
      <c r="A762" s="41" t="s">
        <v>940</v>
      </c>
      <c r="B762" s="41" t="s">
        <v>189</v>
      </c>
      <c r="C762" s="41" t="s">
        <v>86</v>
      </c>
      <c r="D762" s="41" t="s">
        <v>104</v>
      </c>
      <c r="E762" s="41" t="s">
        <v>102</v>
      </c>
      <c r="F762" s="41" t="s">
        <v>76</v>
      </c>
      <c r="G762" s="41" t="n">
        <v>77.2</v>
      </c>
      <c r="H762" s="41" t="n">
        <v>10</v>
      </c>
      <c r="I762" s="41" t="n">
        <v>38.6</v>
      </c>
      <c r="J762" s="41" t="n">
        <v>810.6</v>
      </c>
      <c r="K762" s="41" t="s">
        <v>1305</v>
      </c>
      <c r="L762" s="41" t="s">
        <v>1710</v>
      </c>
      <c r="M762" s="41" t="s">
        <v>99</v>
      </c>
      <c r="N762" s="41" t="n">
        <v>772</v>
      </c>
      <c r="O762" s="41" t="n">
        <v>4.761904762</v>
      </c>
      <c r="P762" s="41" t="n">
        <v>38.6</v>
      </c>
      <c r="Q762" s="41" t="n">
        <v>5.6</v>
      </c>
    </row>
    <row r="763" customFormat="false" ht="15" hidden="false" customHeight="false" outlineLevel="0" collapsed="false">
      <c r="A763" s="41" t="s">
        <v>941</v>
      </c>
      <c r="B763" s="41" t="s">
        <v>189</v>
      </c>
      <c r="C763" s="41" t="s">
        <v>86</v>
      </c>
      <c r="D763" s="41" t="s">
        <v>105</v>
      </c>
      <c r="E763" s="41" t="s">
        <v>103</v>
      </c>
      <c r="F763" s="41" t="s">
        <v>78</v>
      </c>
      <c r="G763" s="41" t="n">
        <v>72.13</v>
      </c>
      <c r="H763" s="41" t="n">
        <v>10</v>
      </c>
      <c r="I763" s="41" t="n">
        <v>36.065</v>
      </c>
      <c r="J763" s="41" t="n">
        <v>757.365</v>
      </c>
      <c r="K763" s="41" t="s">
        <v>1454</v>
      </c>
      <c r="L763" s="41" t="s">
        <v>1560</v>
      </c>
      <c r="M763" s="41" t="s">
        <v>99</v>
      </c>
      <c r="N763" s="41" t="n">
        <v>721.3</v>
      </c>
      <c r="O763" s="41" t="n">
        <v>4.761904762</v>
      </c>
      <c r="P763" s="41" t="n">
        <v>36.065</v>
      </c>
      <c r="Q763" s="41" t="n">
        <v>4.2</v>
      </c>
    </row>
    <row r="764" customFormat="false" ht="15" hidden="false" customHeight="false" outlineLevel="0" collapsed="false">
      <c r="A764" s="41" t="s">
        <v>942</v>
      </c>
      <c r="B764" s="41" t="s">
        <v>178</v>
      </c>
      <c r="C764" s="41" t="s">
        <v>85</v>
      </c>
      <c r="D764" s="41" t="s">
        <v>104</v>
      </c>
      <c r="E764" s="41" t="s">
        <v>102</v>
      </c>
      <c r="F764" s="41" t="s">
        <v>79</v>
      </c>
      <c r="G764" s="41" t="n">
        <v>63.88</v>
      </c>
      <c r="H764" s="41" t="n">
        <v>8</v>
      </c>
      <c r="I764" s="41" t="n">
        <v>25.552</v>
      </c>
      <c r="J764" s="41" t="n">
        <v>536.592</v>
      </c>
      <c r="K764" s="41" t="s">
        <v>1284</v>
      </c>
      <c r="L764" s="41" t="s">
        <v>1719</v>
      </c>
      <c r="M764" s="41" t="s">
        <v>98</v>
      </c>
      <c r="N764" s="41" t="n">
        <v>511.04</v>
      </c>
      <c r="O764" s="41" t="n">
        <v>4.761904762</v>
      </c>
      <c r="P764" s="41" t="n">
        <v>25.552</v>
      </c>
      <c r="Q764" s="41" t="n">
        <v>9.9</v>
      </c>
    </row>
    <row r="765" customFormat="false" ht="15" hidden="false" customHeight="false" outlineLevel="0" collapsed="false">
      <c r="A765" s="41" t="s">
        <v>943</v>
      </c>
      <c r="B765" s="41" t="s">
        <v>178</v>
      </c>
      <c r="C765" s="41" t="s">
        <v>85</v>
      </c>
      <c r="D765" s="41" t="s">
        <v>104</v>
      </c>
      <c r="E765" s="41" t="s">
        <v>102</v>
      </c>
      <c r="F765" s="41" t="s">
        <v>81</v>
      </c>
      <c r="G765" s="41" t="n">
        <v>10.69</v>
      </c>
      <c r="H765" s="41" t="n">
        <v>5</v>
      </c>
      <c r="I765" s="41" t="n">
        <v>2.6725</v>
      </c>
      <c r="J765" s="41" t="n">
        <v>56.1225</v>
      </c>
      <c r="K765" s="41" t="s">
        <v>1338</v>
      </c>
      <c r="L765" s="41" t="s">
        <v>1654</v>
      </c>
      <c r="M765" s="41" t="s">
        <v>98</v>
      </c>
      <c r="N765" s="41" t="n">
        <v>53.45</v>
      </c>
      <c r="O765" s="41" t="n">
        <v>4.761904762</v>
      </c>
      <c r="P765" s="41" t="n">
        <v>2.6725</v>
      </c>
      <c r="Q765" s="41" t="n">
        <v>7.6</v>
      </c>
    </row>
    <row r="766" customFormat="false" ht="15" hidden="false" customHeight="false" outlineLevel="0" collapsed="false">
      <c r="A766" s="41" t="s">
        <v>944</v>
      </c>
      <c r="B766" s="41" t="s">
        <v>178</v>
      </c>
      <c r="C766" s="41" t="s">
        <v>85</v>
      </c>
      <c r="D766" s="41" t="s">
        <v>104</v>
      </c>
      <c r="E766" s="41" t="s">
        <v>103</v>
      </c>
      <c r="F766" s="41" t="s">
        <v>81</v>
      </c>
      <c r="G766" s="41" t="n">
        <v>55.5</v>
      </c>
      <c r="H766" s="41" t="n">
        <v>4</v>
      </c>
      <c r="I766" s="41" t="n">
        <v>11.1</v>
      </c>
      <c r="J766" s="41" t="n">
        <v>233.1</v>
      </c>
      <c r="K766" s="41" t="s">
        <v>1284</v>
      </c>
      <c r="L766" s="41" t="s">
        <v>1314</v>
      </c>
      <c r="M766" s="41" t="s">
        <v>99</v>
      </c>
      <c r="N766" s="41" t="n">
        <v>222</v>
      </c>
      <c r="O766" s="41" t="n">
        <v>4.761904762</v>
      </c>
      <c r="P766" s="41" t="n">
        <v>11.1</v>
      </c>
      <c r="Q766" s="41" t="n">
        <v>6.6</v>
      </c>
    </row>
    <row r="767" customFormat="false" ht="15" hidden="false" customHeight="false" outlineLevel="0" collapsed="false">
      <c r="A767" s="41" t="s">
        <v>945</v>
      </c>
      <c r="B767" s="41" t="s">
        <v>189</v>
      </c>
      <c r="C767" s="41" t="s">
        <v>86</v>
      </c>
      <c r="D767" s="41" t="s">
        <v>105</v>
      </c>
      <c r="E767" s="41" t="s">
        <v>102</v>
      </c>
      <c r="F767" s="41" t="s">
        <v>80</v>
      </c>
      <c r="G767" s="41" t="n">
        <v>95.46</v>
      </c>
      <c r="H767" s="41" t="n">
        <v>8</v>
      </c>
      <c r="I767" s="41" t="n">
        <v>38.184</v>
      </c>
      <c r="J767" s="41" t="n">
        <v>801.864</v>
      </c>
      <c r="K767" s="41" t="s">
        <v>1227</v>
      </c>
      <c r="L767" s="41" t="s">
        <v>1397</v>
      </c>
      <c r="M767" s="41" t="s">
        <v>98</v>
      </c>
      <c r="N767" s="41" t="n">
        <v>763.68</v>
      </c>
      <c r="O767" s="41" t="n">
        <v>4.761904762</v>
      </c>
      <c r="P767" s="41" t="n">
        <v>38.184</v>
      </c>
      <c r="Q767" s="41" t="n">
        <v>4.7</v>
      </c>
    </row>
    <row r="768" customFormat="false" ht="15" hidden="false" customHeight="false" outlineLevel="0" collapsed="false">
      <c r="A768" s="41" t="s">
        <v>946</v>
      </c>
      <c r="B768" s="41" t="s">
        <v>180</v>
      </c>
      <c r="C768" s="41" t="s">
        <v>87</v>
      </c>
      <c r="D768" s="41" t="s">
        <v>105</v>
      </c>
      <c r="E768" s="41" t="s">
        <v>102</v>
      </c>
      <c r="F768" s="41" t="s">
        <v>79</v>
      </c>
      <c r="G768" s="41" t="n">
        <v>76.06</v>
      </c>
      <c r="H768" s="41" t="n">
        <v>3</v>
      </c>
      <c r="I768" s="41" t="n">
        <v>11.409</v>
      </c>
      <c r="J768" s="41" t="n">
        <v>239.589</v>
      </c>
      <c r="K768" s="41" t="s">
        <v>1188</v>
      </c>
      <c r="L768" s="41" t="s">
        <v>1720</v>
      </c>
      <c r="M768" s="41" t="s">
        <v>99</v>
      </c>
      <c r="N768" s="41" t="n">
        <v>228.18</v>
      </c>
      <c r="O768" s="41" t="n">
        <v>4.761904762</v>
      </c>
      <c r="P768" s="41" t="n">
        <v>11.409</v>
      </c>
      <c r="Q768" s="41" t="n">
        <v>9.8</v>
      </c>
    </row>
    <row r="769" customFormat="false" ht="15" hidden="false" customHeight="false" outlineLevel="0" collapsed="false">
      <c r="A769" s="41" t="s">
        <v>947</v>
      </c>
      <c r="B769" s="41" t="s">
        <v>189</v>
      </c>
      <c r="C769" s="41" t="s">
        <v>86</v>
      </c>
      <c r="D769" s="41" t="s">
        <v>105</v>
      </c>
      <c r="E769" s="41" t="s">
        <v>103</v>
      </c>
      <c r="F769" s="41" t="s">
        <v>77</v>
      </c>
      <c r="G769" s="41" t="n">
        <v>13.69</v>
      </c>
      <c r="H769" s="41" t="n">
        <v>6</v>
      </c>
      <c r="I769" s="41" t="n">
        <v>4.107</v>
      </c>
      <c r="J769" s="41" t="n">
        <v>86.247</v>
      </c>
      <c r="K769" s="41" t="s">
        <v>1418</v>
      </c>
      <c r="L769" s="41" t="s">
        <v>1721</v>
      </c>
      <c r="M769" s="41" t="s">
        <v>97</v>
      </c>
      <c r="N769" s="41" t="n">
        <v>82.14</v>
      </c>
      <c r="O769" s="41" t="n">
        <v>4.761904762</v>
      </c>
      <c r="P769" s="41" t="n">
        <v>4.107</v>
      </c>
      <c r="Q769" s="41" t="n">
        <v>6.3</v>
      </c>
    </row>
    <row r="770" customFormat="false" ht="15" hidden="false" customHeight="false" outlineLevel="0" collapsed="false">
      <c r="A770" s="41" t="s">
        <v>948</v>
      </c>
      <c r="B770" s="41" t="s">
        <v>189</v>
      </c>
      <c r="C770" s="41" t="s">
        <v>86</v>
      </c>
      <c r="D770" s="41" t="s">
        <v>105</v>
      </c>
      <c r="E770" s="41" t="s">
        <v>102</v>
      </c>
      <c r="F770" s="41" t="s">
        <v>78</v>
      </c>
      <c r="G770" s="41" t="n">
        <v>95.64</v>
      </c>
      <c r="H770" s="41" t="n">
        <v>4</v>
      </c>
      <c r="I770" s="41" t="n">
        <v>19.128</v>
      </c>
      <c r="J770" s="41" t="n">
        <v>401.688</v>
      </c>
      <c r="K770" s="41" t="s">
        <v>1263</v>
      </c>
      <c r="L770" s="41" t="s">
        <v>1641</v>
      </c>
      <c r="M770" s="41" t="s">
        <v>97</v>
      </c>
      <c r="N770" s="41" t="n">
        <v>382.56</v>
      </c>
      <c r="O770" s="41" t="n">
        <v>4.761904762</v>
      </c>
      <c r="P770" s="41" t="n">
        <v>19.128</v>
      </c>
      <c r="Q770" s="41" t="n">
        <v>7.9</v>
      </c>
    </row>
    <row r="771" customFormat="false" ht="15" hidden="false" customHeight="false" outlineLevel="0" collapsed="false">
      <c r="A771" s="41" t="s">
        <v>949</v>
      </c>
      <c r="B771" s="41" t="s">
        <v>178</v>
      </c>
      <c r="C771" s="41" t="s">
        <v>85</v>
      </c>
      <c r="D771" s="41" t="s">
        <v>105</v>
      </c>
      <c r="E771" s="41" t="s">
        <v>102</v>
      </c>
      <c r="F771" s="41" t="s">
        <v>80</v>
      </c>
      <c r="G771" s="41" t="n">
        <v>11.43</v>
      </c>
      <c r="H771" s="41" t="n">
        <v>6</v>
      </c>
      <c r="I771" s="41" t="n">
        <v>3.429</v>
      </c>
      <c r="J771" s="41" t="n">
        <v>72.009</v>
      </c>
      <c r="K771" s="41" t="s">
        <v>1218</v>
      </c>
      <c r="L771" s="41" t="s">
        <v>1266</v>
      </c>
      <c r="M771" s="41" t="s">
        <v>97</v>
      </c>
      <c r="N771" s="41" t="n">
        <v>68.58</v>
      </c>
      <c r="O771" s="41" t="n">
        <v>4.761904762</v>
      </c>
      <c r="P771" s="41" t="n">
        <v>3.429</v>
      </c>
      <c r="Q771" s="41" t="n">
        <v>7.7</v>
      </c>
    </row>
    <row r="772" customFormat="false" ht="15" hidden="false" customHeight="false" outlineLevel="0" collapsed="false">
      <c r="A772" s="41" t="s">
        <v>950</v>
      </c>
      <c r="B772" s="41" t="s">
        <v>189</v>
      </c>
      <c r="C772" s="41" t="s">
        <v>86</v>
      </c>
      <c r="D772" s="41" t="s">
        <v>104</v>
      </c>
      <c r="E772" s="41" t="s">
        <v>102</v>
      </c>
      <c r="F772" s="41" t="s">
        <v>77</v>
      </c>
      <c r="G772" s="41" t="n">
        <v>95.54</v>
      </c>
      <c r="H772" s="41" t="n">
        <v>4</v>
      </c>
      <c r="I772" s="41" t="n">
        <v>19.108</v>
      </c>
      <c r="J772" s="41" t="n">
        <v>401.268</v>
      </c>
      <c r="K772" s="41" t="s">
        <v>1463</v>
      </c>
      <c r="L772" s="41" t="s">
        <v>1722</v>
      </c>
      <c r="M772" s="41" t="s">
        <v>98</v>
      </c>
      <c r="N772" s="41" t="n">
        <v>382.16</v>
      </c>
      <c r="O772" s="41" t="n">
        <v>4.761904762</v>
      </c>
      <c r="P772" s="41" t="n">
        <v>19.108</v>
      </c>
      <c r="Q772" s="41" t="n">
        <v>4.5</v>
      </c>
    </row>
    <row r="773" customFormat="false" ht="15" hidden="false" customHeight="false" outlineLevel="0" collapsed="false">
      <c r="A773" s="41" t="s">
        <v>951</v>
      </c>
      <c r="B773" s="41" t="s">
        <v>180</v>
      </c>
      <c r="C773" s="41" t="s">
        <v>87</v>
      </c>
      <c r="D773" s="41" t="s">
        <v>104</v>
      </c>
      <c r="E773" s="41" t="s">
        <v>102</v>
      </c>
      <c r="F773" s="41" t="s">
        <v>81</v>
      </c>
      <c r="G773" s="41" t="n">
        <v>85.87</v>
      </c>
      <c r="H773" s="41" t="n">
        <v>7</v>
      </c>
      <c r="I773" s="41" t="n">
        <v>30.0545</v>
      </c>
      <c r="J773" s="41" t="n">
        <v>631.1445</v>
      </c>
      <c r="K773" s="41" t="s">
        <v>1265</v>
      </c>
      <c r="L773" s="41" t="s">
        <v>1280</v>
      </c>
      <c r="M773" s="41" t="s">
        <v>99</v>
      </c>
      <c r="N773" s="41" t="n">
        <v>601.09</v>
      </c>
      <c r="O773" s="41" t="n">
        <v>4.761904762</v>
      </c>
      <c r="P773" s="41" t="n">
        <v>30.0545</v>
      </c>
      <c r="Q773" s="41" t="n">
        <v>8</v>
      </c>
    </row>
    <row r="774" customFormat="false" ht="15" hidden="false" customHeight="false" outlineLevel="0" collapsed="false">
      <c r="A774" s="41" t="s">
        <v>952</v>
      </c>
      <c r="B774" s="41" t="s">
        <v>180</v>
      </c>
      <c r="C774" s="41" t="s">
        <v>87</v>
      </c>
      <c r="D774" s="41" t="s">
        <v>104</v>
      </c>
      <c r="E774" s="41" t="s">
        <v>102</v>
      </c>
      <c r="F774" s="41" t="s">
        <v>77</v>
      </c>
      <c r="G774" s="41" t="n">
        <v>67.99</v>
      </c>
      <c r="H774" s="41" t="n">
        <v>7</v>
      </c>
      <c r="I774" s="41" t="n">
        <v>23.7965</v>
      </c>
      <c r="J774" s="41" t="n">
        <v>499.7265</v>
      </c>
      <c r="K774" s="41" t="s">
        <v>1231</v>
      </c>
      <c r="L774" s="41" t="s">
        <v>1723</v>
      </c>
      <c r="M774" s="41" t="s">
        <v>98</v>
      </c>
      <c r="N774" s="41" t="n">
        <v>475.93</v>
      </c>
      <c r="O774" s="41" t="n">
        <v>4.761904762</v>
      </c>
      <c r="P774" s="41" t="n">
        <v>23.7965</v>
      </c>
      <c r="Q774" s="41" t="n">
        <v>5.7</v>
      </c>
    </row>
    <row r="775" customFormat="false" ht="15" hidden="false" customHeight="false" outlineLevel="0" collapsed="false">
      <c r="A775" s="41" t="s">
        <v>953</v>
      </c>
      <c r="B775" s="41" t="s">
        <v>180</v>
      </c>
      <c r="C775" s="41" t="s">
        <v>87</v>
      </c>
      <c r="D775" s="41" t="s">
        <v>105</v>
      </c>
      <c r="E775" s="41" t="s">
        <v>102</v>
      </c>
      <c r="F775" s="41" t="s">
        <v>76</v>
      </c>
      <c r="G775" s="41" t="n">
        <v>52.42</v>
      </c>
      <c r="H775" s="41" t="n">
        <v>1</v>
      </c>
      <c r="I775" s="41" t="n">
        <v>2.621</v>
      </c>
      <c r="J775" s="41" t="n">
        <v>55.041</v>
      </c>
      <c r="K775" s="41" t="s">
        <v>1208</v>
      </c>
      <c r="L775" s="41" t="s">
        <v>1687</v>
      </c>
      <c r="M775" s="41" t="s">
        <v>99</v>
      </c>
      <c r="N775" s="41" t="n">
        <v>52.42</v>
      </c>
      <c r="O775" s="41" t="n">
        <v>4.761904762</v>
      </c>
      <c r="P775" s="41" t="n">
        <v>2.621</v>
      </c>
      <c r="Q775" s="41" t="n">
        <v>6.3</v>
      </c>
    </row>
    <row r="776" customFormat="false" ht="15" hidden="false" customHeight="false" outlineLevel="0" collapsed="false">
      <c r="A776" s="41" t="s">
        <v>954</v>
      </c>
      <c r="B776" s="41" t="s">
        <v>180</v>
      </c>
      <c r="C776" s="41" t="s">
        <v>87</v>
      </c>
      <c r="D776" s="41" t="s">
        <v>104</v>
      </c>
      <c r="E776" s="41" t="s">
        <v>103</v>
      </c>
      <c r="F776" s="41" t="s">
        <v>76</v>
      </c>
      <c r="G776" s="41" t="n">
        <v>65.65</v>
      </c>
      <c r="H776" s="41" t="n">
        <v>2</v>
      </c>
      <c r="I776" s="41" t="n">
        <v>6.565</v>
      </c>
      <c r="J776" s="41" t="n">
        <v>137.865</v>
      </c>
      <c r="K776" s="41" t="s">
        <v>1256</v>
      </c>
      <c r="L776" s="41" t="s">
        <v>1521</v>
      </c>
      <c r="M776" s="41" t="s">
        <v>97</v>
      </c>
      <c r="N776" s="41" t="n">
        <v>131.3</v>
      </c>
      <c r="O776" s="41" t="n">
        <v>4.761904762</v>
      </c>
      <c r="P776" s="41" t="n">
        <v>6.565</v>
      </c>
      <c r="Q776" s="41" t="n">
        <v>6</v>
      </c>
    </row>
    <row r="777" customFormat="false" ht="15" hidden="false" customHeight="false" outlineLevel="0" collapsed="false">
      <c r="A777" s="41" t="s">
        <v>955</v>
      </c>
      <c r="B777" s="41" t="s">
        <v>189</v>
      </c>
      <c r="C777" s="41" t="s">
        <v>86</v>
      </c>
      <c r="D777" s="41" t="s">
        <v>105</v>
      </c>
      <c r="E777" s="41" t="s">
        <v>102</v>
      </c>
      <c r="F777" s="41" t="s">
        <v>76</v>
      </c>
      <c r="G777" s="41" t="n">
        <v>28.86</v>
      </c>
      <c r="H777" s="41" t="n">
        <v>5</v>
      </c>
      <c r="I777" s="41" t="n">
        <v>7.215</v>
      </c>
      <c r="J777" s="41" t="n">
        <v>151.515</v>
      </c>
      <c r="K777" s="41" t="s">
        <v>1308</v>
      </c>
      <c r="L777" s="41" t="s">
        <v>1445</v>
      </c>
      <c r="M777" s="41" t="s">
        <v>99</v>
      </c>
      <c r="N777" s="41" t="n">
        <v>144.3</v>
      </c>
      <c r="O777" s="41" t="n">
        <v>4.761904762</v>
      </c>
      <c r="P777" s="41" t="n">
        <v>7.215</v>
      </c>
      <c r="Q777" s="41" t="n">
        <v>8</v>
      </c>
    </row>
    <row r="778" customFormat="false" ht="15" hidden="false" customHeight="false" outlineLevel="0" collapsed="false">
      <c r="A778" s="41" t="s">
        <v>956</v>
      </c>
      <c r="B778" s="41" t="s">
        <v>180</v>
      </c>
      <c r="C778" s="41" t="s">
        <v>87</v>
      </c>
      <c r="D778" s="41" t="s">
        <v>104</v>
      </c>
      <c r="E778" s="41" t="s">
        <v>103</v>
      </c>
      <c r="F778" s="41" t="s">
        <v>81</v>
      </c>
      <c r="G778" s="41" t="n">
        <v>65.31</v>
      </c>
      <c r="H778" s="41" t="n">
        <v>7</v>
      </c>
      <c r="I778" s="41" t="n">
        <v>22.8585</v>
      </c>
      <c r="J778" s="41" t="n">
        <v>480.0285</v>
      </c>
      <c r="K778" s="41" t="s">
        <v>1227</v>
      </c>
      <c r="L778" s="41" t="s">
        <v>1724</v>
      </c>
      <c r="M778" s="41" t="s">
        <v>99</v>
      </c>
      <c r="N778" s="41" t="n">
        <v>457.17</v>
      </c>
      <c r="O778" s="41" t="n">
        <v>4.761904762</v>
      </c>
      <c r="P778" s="41" t="n">
        <v>22.8585</v>
      </c>
      <c r="Q778" s="41" t="n">
        <v>4.2</v>
      </c>
    </row>
    <row r="779" customFormat="false" ht="15" hidden="false" customHeight="false" outlineLevel="0" collapsed="false">
      <c r="A779" s="41" t="s">
        <v>957</v>
      </c>
      <c r="B779" s="41" t="s">
        <v>189</v>
      </c>
      <c r="C779" s="41" t="s">
        <v>86</v>
      </c>
      <c r="D779" s="41" t="s">
        <v>105</v>
      </c>
      <c r="E779" s="41" t="s">
        <v>103</v>
      </c>
      <c r="F779" s="41" t="s">
        <v>77</v>
      </c>
      <c r="G779" s="41" t="n">
        <v>93.38</v>
      </c>
      <c r="H779" s="41" t="n">
        <v>1</v>
      </c>
      <c r="I779" s="41" t="n">
        <v>4.669</v>
      </c>
      <c r="J779" s="41" t="n">
        <v>98.049</v>
      </c>
      <c r="K779" s="41" t="s">
        <v>1411</v>
      </c>
      <c r="L779" s="41" t="s">
        <v>1539</v>
      </c>
      <c r="M779" s="41" t="s">
        <v>97</v>
      </c>
      <c r="N779" s="41" t="n">
        <v>93.38</v>
      </c>
      <c r="O779" s="41" t="n">
        <v>4.761904762</v>
      </c>
      <c r="P779" s="41" t="n">
        <v>4.669</v>
      </c>
      <c r="Q779" s="41" t="n">
        <v>9.6</v>
      </c>
    </row>
    <row r="780" customFormat="false" ht="15" hidden="false" customHeight="false" outlineLevel="0" collapsed="false">
      <c r="A780" s="41" t="s">
        <v>958</v>
      </c>
      <c r="B780" s="41" t="s">
        <v>180</v>
      </c>
      <c r="C780" s="41" t="s">
        <v>87</v>
      </c>
      <c r="D780" s="41" t="s">
        <v>104</v>
      </c>
      <c r="E780" s="41" t="s">
        <v>103</v>
      </c>
      <c r="F780" s="41" t="s">
        <v>77</v>
      </c>
      <c r="G780" s="41" t="n">
        <v>25.25</v>
      </c>
      <c r="H780" s="41" t="n">
        <v>5</v>
      </c>
      <c r="I780" s="41" t="n">
        <v>6.3125</v>
      </c>
      <c r="J780" s="41" t="n">
        <v>132.5625</v>
      </c>
      <c r="K780" s="41" t="s">
        <v>1446</v>
      </c>
      <c r="L780" s="41" t="s">
        <v>1725</v>
      </c>
      <c r="M780" s="41" t="s">
        <v>97</v>
      </c>
      <c r="N780" s="41" t="n">
        <v>126.25</v>
      </c>
      <c r="O780" s="41" t="n">
        <v>4.761904762</v>
      </c>
      <c r="P780" s="41" t="n">
        <v>6.3125</v>
      </c>
      <c r="Q780" s="41" t="n">
        <v>6.1</v>
      </c>
    </row>
    <row r="781" customFormat="false" ht="15" hidden="false" customHeight="false" outlineLevel="0" collapsed="false">
      <c r="A781" s="41" t="s">
        <v>959</v>
      </c>
      <c r="B781" s="41" t="s">
        <v>189</v>
      </c>
      <c r="C781" s="41" t="s">
        <v>86</v>
      </c>
      <c r="D781" s="41" t="s">
        <v>104</v>
      </c>
      <c r="E781" s="41" t="s">
        <v>103</v>
      </c>
      <c r="F781" s="41" t="s">
        <v>78</v>
      </c>
      <c r="G781" s="41" t="n">
        <v>87.87</v>
      </c>
      <c r="H781" s="41" t="n">
        <v>9</v>
      </c>
      <c r="I781" s="41" t="n">
        <v>39.5415</v>
      </c>
      <c r="J781" s="41" t="n">
        <v>830.3715</v>
      </c>
      <c r="K781" s="41" t="s">
        <v>1454</v>
      </c>
      <c r="L781" s="41" t="s">
        <v>1726</v>
      </c>
      <c r="M781" s="41" t="s">
        <v>98</v>
      </c>
      <c r="N781" s="41" t="n">
        <v>790.83</v>
      </c>
      <c r="O781" s="41" t="n">
        <v>4.761904762</v>
      </c>
      <c r="P781" s="41" t="n">
        <v>39.5415</v>
      </c>
      <c r="Q781" s="41" t="n">
        <v>5.6</v>
      </c>
    </row>
    <row r="782" customFormat="false" ht="15" hidden="false" customHeight="false" outlineLevel="0" collapsed="false">
      <c r="A782" s="41" t="s">
        <v>960</v>
      </c>
      <c r="B782" s="41" t="s">
        <v>180</v>
      </c>
      <c r="C782" s="41" t="s">
        <v>87</v>
      </c>
      <c r="D782" s="41" t="s">
        <v>105</v>
      </c>
      <c r="E782" s="41" t="s">
        <v>103</v>
      </c>
      <c r="F782" s="41" t="s">
        <v>81</v>
      </c>
      <c r="G782" s="41" t="n">
        <v>21.8</v>
      </c>
      <c r="H782" s="41" t="n">
        <v>8</v>
      </c>
      <c r="I782" s="41" t="n">
        <v>8.72</v>
      </c>
      <c r="J782" s="41" t="n">
        <v>183.12</v>
      </c>
      <c r="K782" s="41" t="s">
        <v>1563</v>
      </c>
      <c r="L782" s="41" t="s">
        <v>1493</v>
      </c>
      <c r="M782" s="41" t="s">
        <v>97</v>
      </c>
      <c r="N782" s="41" t="n">
        <v>174.4</v>
      </c>
      <c r="O782" s="41" t="n">
        <v>4.761904762</v>
      </c>
      <c r="P782" s="41" t="n">
        <v>8.72</v>
      </c>
      <c r="Q782" s="41" t="n">
        <v>8.3</v>
      </c>
    </row>
    <row r="783" customFormat="false" ht="15" hidden="false" customHeight="false" outlineLevel="0" collapsed="false">
      <c r="A783" s="41" t="s">
        <v>961</v>
      </c>
      <c r="B783" s="41" t="s">
        <v>178</v>
      </c>
      <c r="C783" s="41" t="s">
        <v>85</v>
      </c>
      <c r="D783" s="41" t="s">
        <v>105</v>
      </c>
      <c r="E783" s="41" t="s">
        <v>102</v>
      </c>
      <c r="F783" s="41" t="s">
        <v>77</v>
      </c>
      <c r="G783" s="41" t="n">
        <v>94.76</v>
      </c>
      <c r="H783" s="41" t="n">
        <v>4</v>
      </c>
      <c r="I783" s="41" t="n">
        <v>18.952</v>
      </c>
      <c r="J783" s="41" t="n">
        <v>397.992</v>
      </c>
      <c r="K783" s="41" t="s">
        <v>1305</v>
      </c>
      <c r="L783" s="41" t="s">
        <v>1702</v>
      </c>
      <c r="M783" s="41" t="s">
        <v>98</v>
      </c>
      <c r="N783" s="41" t="n">
        <v>379.04</v>
      </c>
      <c r="O783" s="41" t="n">
        <v>4.761904762</v>
      </c>
      <c r="P783" s="41" t="n">
        <v>18.952</v>
      </c>
      <c r="Q783" s="41" t="n">
        <v>7.8</v>
      </c>
    </row>
    <row r="784" customFormat="false" ht="15" hidden="false" customHeight="false" outlineLevel="0" collapsed="false">
      <c r="A784" s="41" t="s">
        <v>962</v>
      </c>
      <c r="B784" s="41" t="s">
        <v>178</v>
      </c>
      <c r="C784" s="41" t="s">
        <v>85</v>
      </c>
      <c r="D784" s="41" t="s">
        <v>104</v>
      </c>
      <c r="E784" s="41" t="s">
        <v>102</v>
      </c>
      <c r="F784" s="41" t="s">
        <v>79</v>
      </c>
      <c r="G784" s="41" t="n">
        <v>30.62</v>
      </c>
      <c r="H784" s="41" t="n">
        <v>1</v>
      </c>
      <c r="I784" s="41" t="n">
        <v>1.531</v>
      </c>
      <c r="J784" s="41" t="n">
        <v>32.151</v>
      </c>
      <c r="K784" s="41" t="s">
        <v>1352</v>
      </c>
      <c r="L784" s="41" t="s">
        <v>1612</v>
      </c>
      <c r="M784" s="41" t="s">
        <v>99</v>
      </c>
      <c r="N784" s="41" t="n">
        <v>30.62</v>
      </c>
      <c r="O784" s="41" t="n">
        <v>4.761904762</v>
      </c>
      <c r="P784" s="41" t="n">
        <v>1.531</v>
      </c>
      <c r="Q784" s="41" t="n">
        <v>4.1</v>
      </c>
    </row>
    <row r="785" customFormat="false" ht="15" hidden="false" customHeight="false" outlineLevel="0" collapsed="false">
      <c r="A785" s="41" t="s">
        <v>963</v>
      </c>
      <c r="B785" s="41" t="s">
        <v>180</v>
      </c>
      <c r="C785" s="41" t="s">
        <v>87</v>
      </c>
      <c r="D785" s="41" t="s">
        <v>105</v>
      </c>
      <c r="E785" s="41" t="s">
        <v>102</v>
      </c>
      <c r="F785" s="41" t="s">
        <v>80</v>
      </c>
      <c r="G785" s="41" t="n">
        <v>44.01</v>
      </c>
      <c r="H785" s="41" t="n">
        <v>8</v>
      </c>
      <c r="I785" s="41" t="n">
        <v>17.604</v>
      </c>
      <c r="J785" s="41" t="n">
        <v>369.684</v>
      </c>
      <c r="K785" s="41" t="s">
        <v>1192</v>
      </c>
      <c r="L785" s="41" t="s">
        <v>1234</v>
      </c>
      <c r="M785" s="41" t="s">
        <v>97</v>
      </c>
      <c r="N785" s="41" t="n">
        <v>352.08</v>
      </c>
      <c r="O785" s="41" t="n">
        <v>4.761904762</v>
      </c>
      <c r="P785" s="41" t="n">
        <v>17.604</v>
      </c>
      <c r="Q785" s="41" t="n">
        <v>8.8</v>
      </c>
    </row>
    <row r="786" customFormat="false" ht="15" hidden="false" customHeight="false" outlineLevel="0" collapsed="false">
      <c r="A786" s="41" t="s">
        <v>964</v>
      </c>
      <c r="B786" s="41" t="s">
        <v>180</v>
      </c>
      <c r="C786" s="41" t="s">
        <v>87</v>
      </c>
      <c r="D786" s="41" t="s">
        <v>104</v>
      </c>
      <c r="E786" s="41" t="s">
        <v>102</v>
      </c>
      <c r="F786" s="41" t="s">
        <v>81</v>
      </c>
      <c r="G786" s="41" t="n">
        <v>10.16</v>
      </c>
      <c r="H786" s="41" t="n">
        <v>5</v>
      </c>
      <c r="I786" s="41" t="n">
        <v>2.54</v>
      </c>
      <c r="J786" s="41" t="n">
        <v>53.34</v>
      </c>
      <c r="K786" s="41" t="s">
        <v>1202</v>
      </c>
      <c r="L786" s="41" t="s">
        <v>1189</v>
      </c>
      <c r="M786" s="41" t="s">
        <v>98</v>
      </c>
      <c r="N786" s="41" t="n">
        <v>50.8</v>
      </c>
      <c r="O786" s="41" t="n">
        <v>4.761904762</v>
      </c>
      <c r="P786" s="41" t="n">
        <v>2.54</v>
      </c>
      <c r="Q786" s="41" t="n">
        <v>4.1</v>
      </c>
    </row>
    <row r="787" customFormat="false" ht="15" hidden="false" customHeight="false" outlineLevel="0" collapsed="false">
      <c r="A787" s="41" t="s">
        <v>965</v>
      </c>
      <c r="B787" s="41" t="s">
        <v>178</v>
      </c>
      <c r="C787" s="41" t="s">
        <v>85</v>
      </c>
      <c r="D787" s="41" t="s">
        <v>105</v>
      </c>
      <c r="E787" s="41" t="s">
        <v>103</v>
      </c>
      <c r="F787" s="41" t="s">
        <v>78</v>
      </c>
      <c r="G787" s="41" t="n">
        <v>74.58</v>
      </c>
      <c r="H787" s="41" t="n">
        <v>7</v>
      </c>
      <c r="I787" s="41" t="n">
        <v>26.103</v>
      </c>
      <c r="J787" s="41" t="n">
        <v>548.163</v>
      </c>
      <c r="K787" s="41" t="s">
        <v>1549</v>
      </c>
      <c r="L787" s="41" t="s">
        <v>1727</v>
      </c>
      <c r="M787" s="41" t="s">
        <v>99</v>
      </c>
      <c r="N787" s="41" t="n">
        <v>522.06</v>
      </c>
      <c r="O787" s="41" t="n">
        <v>4.761904762</v>
      </c>
      <c r="P787" s="41" t="n">
        <v>26.103</v>
      </c>
      <c r="Q787" s="41" t="n">
        <v>9</v>
      </c>
    </row>
    <row r="788" customFormat="false" ht="15" hidden="false" customHeight="false" outlineLevel="0" collapsed="false">
      <c r="A788" s="41" t="s">
        <v>966</v>
      </c>
      <c r="B788" s="41" t="s">
        <v>180</v>
      </c>
      <c r="C788" s="41" t="s">
        <v>87</v>
      </c>
      <c r="D788" s="41" t="s">
        <v>105</v>
      </c>
      <c r="E788" s="41" t="s">
        <v>103</v>
      </c>
      <c r="F788" s="41" t="s">
        <v>78</v>
      </c>
      <c r="G788" s="41" t="n">
        <v>71.89</v>
      </c>
      <c r="H788" s="41" t="n">
        <v>8</v>
      </c>
      <c r="I788" s="41" t="n">
        <v>28.756</v>
      </c>
      <c r="J788" s="41" t="n">
        <v>603.876</v>
      </c>
      <c r="K788" s="41" t="s">
        <v>1563</v>
      </c>
      <c r="L788" s="41" t="s">
        <v>1728</v>
      </c>
      <c r="M788" s="41" t="s">
        <v>98</v>
      </c>
      <c r="N788" s="41" t="n">
        <v>575.12</v>
      </c>
      <c r="O788" s="41" t="n">
        <v>4.761904762</v>
      </c>
      <c r="P788" s="41" t="n">
        <v>28.756</v>
      </c>
      <c r="Q788" s="41" t="n">
        <v>5.5</v>
      </c>
    </row>
    <row r="789" customFormat="false" ht="15" hidden="false" customHeight="false" outlineLevel="0" collapsed="false">
      <c r="A789" s="41" t="s">
        <v>967</v>
      </c>
      <c r="B789" s="41" t="s">
        <v>180</v>
      </c>
      <c r="C789" s="41" t="s">
        <v>87</v>
      </c>
      <c r="D789" s="41" t="s">
        <v>105</v>
      </c>
      <c r="E789" s="41" t="s">
        <v>102</v>
      </c>
      <c r="F789" s="41" t="s">
        <v>81</v>
      </c>
      <c r="G789" s="41" t="n">
        <v>10.99</v>
      </c>
      <c r="H789" s="41" t="n">
        <v>5</v>
      </c>
      <c r="I789" s="41" t="n">
        <v>2.7475</v>
      </c>
      <c r="J789" s="41" t="n">
        <v>57.6975</v>
      </c>
      <c r="K789" s="41" t="s">
        <v>1319</v>
      </c>
      <c r="L789" s="41" t="s">
        <v>1663</v>
      </c>
      <c r="M789" s="41" t="s">
        <v>99</v>
      </c>
      <c r="N789" s="41" t="n">
        <v>54.95</v>
      </c>
      <c r="O789" s="41" t="n">
        <v>4.761904762</v>
      </c>
      <c r="P789" s="41" t="n">
        <v>2.7475</v>
      </c>
      <c r="Q789" s="41" t="n">
        <v>9.3</v>
      </c>
    </row>
    <row r="790" customFormat="false" ht="15" hidden="false" customHeight="false" outlineLevel="0" collapsed="false">
      <c r="A790" s="41" t="s">
        <v>968</v>
      </c>
      <c r="B790" s="41" t="s">
        <v>180</v>
      </c>
      <c r="C790" s="41" t="s">
        <v>87</v>
      </c>
      <c r="D790" s="41" t="s">
        <v>104</v>
      </c>
      <c r="E790" s="41" t="s">
        <v>103</v>
      </c>
      <c r="F790" s="41" t="s">
        <v>81</v>
      </c>
      <c r="G790" s="41" t="n">
        <v>60.47</v>
      </c>
      <c r="H790" s="41" t="n">
        <v>3</v>
      </c>
      <c r="I790" s="41" t="n">
        <v>9.0705</v>
      </c>
      <c r="J790" s="41" t="n">
        <v>190.4805</v>
      </c>
      <c r="K790" s="41" t="s">
        <v>1438</v>
      </c>
      <c r="L790" s="41" t="s">
        <v>1290</v>
      </c>
      <c r="M790" s="41" t="s">
        <v>99</v>
      </c>
      <c r="N790" s="41" t="n">
        <v>181.41</v>
      </c>
      <c r="O790" s="41" t="n">
        <v>4.761904762</v>
      </c>
      <c r="P790" s="41" t="n">
        <v>9.0705</v>
      </c>
      <c r="Q790" s="41" t="n">
        <v>5.6</v>
      </c>
    </row>
    <row r="791" customFormat="false" ht="15" hidden="false" customHeight="false" outlineLevel="0" collapsed="false">
      <c r="A791" s="41" t="s">
        <v>969</v>
      </c>
      <c r="B791" s="41" t="s">
        <v>178</v>
      </c>
      <c r="C791" s="41" t="s">
        <v>85</v>
      </c>
      <c r="D791" s="41" t="s">
        <v>105</v>
      </c>
      <c r="E791" s="41" t="s">
        <v>103</v>
      </c>
      <c r="F791" s="41" t="s">
        <v>77</v>
      </c>
      <c r="G791" s="41" t="n">
        <v>58.91</v>
      </c>
      <c r="H791" s="41" t="n">
        <v>7</v>
      </c>
      <c r="I791" s="41" t="n">
        <v>20.6185</v>
      </c>
      <c r="J791" s="41" t="n">
        <v>432.9885</v>
      </c>
      <c r="K791" s="41" t="s">
        <v>1256</v>
      </c>
      <c r="L791" s="41" t="s">
        <v>1729</v>
      </c>
      <c r="M791" s="41" t="s">
        <v>98</v>
      </c>
      <c r="N791" s="41" t="n">
        <v>412.37</v>
      </c>
      <c r="O791" s="41" t="n">
        <v>4.761904762</v>
      </c>
      <c r="P791" s="41" t="n">
        <v>20.6185</v>
      </c>
      <c r="Q791" s="41" t="n">
        <v>9.7</v>
      </c>
    </row>
    <row r="792" customFormat="false" ht="15" hidden="false" customHeight="false" outlineLevel="0" collapsed="false">
      <c r="A792" s="41" t="s">
        <v>970</v>
      </c>
      <c r="B792" s="41" t="s">
        <v>178</v>
      </c>
      <c r="C792" s="41" t="s">
        <v>85</v>
      </c>
      <c r="D792" s="41" t="s">
        <v>105</v>
      </c>
      <c r="E792" s="41" t="s">
        <v>103</v>
      </c>
      <c r="F792" s="41" t="s">
        <v>79</v>
      </c>
      <c r="G792" s="41" t="n">
        <v>46.41</v>
      </c>
      <c r="H792" s="41" t="n">
        <v>1</v>
      </c>
      <c r="I792" s="41" t="n">
        <v>2.3205</v>
      </c>
      <c r="J792" s="41" t="n">
        <v>48.7305</v>
      </c>
      <c r="K792" s="41" t="s">
        <v>1192</v>
      </c>
      <c r="L792" s="41" t="s">
        <v>1730</v>
      </c>
      <c r="M792" s="41" t="s">
        <v>99</v>
      </c>
      <c r="N792" s="41" t="n">
        <v>46.41</v>
      </c>
      <c r="O792" s="41" t="n">
        <v>4.761904762</v>
      </c>
      <c r="P792" s="41" t="n">
        <v>2.3205</v>
      </c>
      <c r="Q792" s="41" t="n">
        <v>4</v>
      </c>
    </row>
    <row r="793" customFormat="false" ht="15" hidden="false" customHeight="false" outlineLevel="0" collapsed="false">
      <c r="A793" s="41" t="s">
        <v>971</v>
      </c>
      <c r="B793" s="41" t="s">
        <v>180</v>
      </c>
      <c r="C793" s="41" t="s">
        <v>87</v>
      </c>
      <c r="D793" s="41" t="s">
        <v>104</v>
      </c>
      <c r="E793" s="41" t="s">
        <v>103</v>
      </c>
      <c r="F793" s="41" t="s">
        <v>81</v>
      </c>
      <c r="G793" s="41" t="n">
        <v>68.55</v>
      </c>
      <c r="H793" s="41" t="n">
        <v>4</v>
      </c>
      <c r="I793" s="41" t="n">
        <v>13.71</v>
      </c>
      <c r="J793" s="41" t="n">
        <v>287.91</v>
      </c>
      <c r="K793" s="41" t="s">
        <v>1288</v>
      </c>
      <c r="L793" s="41" t="s">
        <v>1546</v>
      </c>
      <c r="M793" s="41" t="s">
        <v>99</v>
      </c>
      <c r="N793" s="41" t="n">
        <v>274.2</v>
      </c>
      <c r="O793" s="41" t="n">
        <v>4.761904762</v>
      </c>
      <c r="P793" s="41" t="n">
        <v>13.71</v>
      </c>
      <c r="Q793" s="41" t="n">
        <v>9.2</v>
      </c>
    </row>
    <row r="794" customFormat="false" ht="15" hidden="false" customHeight="false" outlineLevel="0" collapsed="false">
      <c r="A794" s="41" t="s">
        <v>972</v>
      </c>
      <c r="B794" s="41" t="s">
        <v>189</v>
      </c>
      <c r="C794" s="41" t="s">
        <v>86</v>
      </c>
      <c r="D794" s="41" t="s">
        <v>105</v>
      </c>
      <c r="E794" s="41" t="s">
        <v>102</v>
      </c>
      <c r="F794" s="41" t="s">
        <v>80</v>
      </c>
      <c r="G794" s="41" t="n">
        <v>97.37</v>
      </c>
      <c r="H794" s="41" t="n">
        <v>10</v>
      </c>
      <c r="I794" s="41" t="n">
        <v>48.685</v>
      </c>
      <c r="J794" s="41" t="n">
        <v>1022.385</v>
      </c>
      <c r="K794" s="41" t="s">
        <v>1218</v>
      </c>
      <c r="L794" s="41" t="s">
        <v>1384</v>
      </c>
      <c r="M794" s="41" t="s">
        <v>99</v>
      </c>
      <c r="N794" s="41" t="n">
        <v>973.7</v>
      </c>
      <c r="O794" s="41" t="n">
        <v>4.761904762</v>
      </c>
      <c r="P794" s="41" t="n">
        <v>48.685</v>
      </c>
      <c r="Q794" s="41" t="n">
        <v>4.9</v>
      </c>
    </row>
    <row r="795" customFormat="false" ht="15" hidden="false" customHeight="false" outlineLevel="0" collapsed="false">
      <c r="A795" s="41" t="s">
        <v>973</v>
      </c>
      <c r="B795" s="41" t="s">
        <v>178</v>
      </c>
      <c r="C795" s="41" t="s">
        <v>85</v>
      </c>
      <c r="D795" s="41" t="s">
        <v>104</v>
      </c>
      <c r="E795" s="41" t="s">
        <v>103</v>
      </c>
      <c r="F795" s="41" t="s">
        <v>78</v>
      </c>
      <c r="G795" s="41" t="n">
        <v>92.6</v>
      </c>
      <c r="H795" s="41" t="n">
        <v>7</v>
      </c>
      <c r="I795" s="41" t="n">
        <v>32.41</v>
      </c>
      <c r="J795" s="41" t="n">
        <v>680.61</v>
      </c>
      <c r="K795" s="41" t="s">
        <v>1265</v>
      </c>
      <c r="L795" s="41" t="s">
        <v>1570</v>
      </c>
      <c r="M795" s="41" t="s">
        <v>99</v>
      </c>
      <c r="N795" s="41" t="n">
        <v>648.2</v>
      </c>
      <c r="O795" s="41" t="n">
        <v>4.761904762</v>
      </c>
      <c r="P795" s="41" t="n">
        <v>32.41</v>
      </c>
      <c r="Q795" s="41" t="n">
        <v>9.3</v>
      </c>
    </row>
    <row r="796" customFormat="false" ht="15" hidden="false" customHeight="false" outlineLevel="0" collapsed="false">
      <c r="A796" s="41" t="s">
        <v>974</v>
      </c>
      <c r="B796" s="41" t="s">
        <v>178</v>
      </c>
      <c r="C796" s="41" t="s">
        <v>85</v>
      </c>
      <c r="D796" s="41" t="s">
        <v>105</v>
      </c>
      <c r="E796" s="41" t="s">
        <v>102</v>
      </c>
      <c r="F796" s="41" t="s">
        <v>78</v>
      </c>
      <c r="G796" s="41" t="n">
        <v>46.61</v>
      </c>
      <c r="H796" s="41" t="n">
        <v>2</v>
      </c>
      <c r="I796" s="41" t="n">
        <v>4.661</v>
      </c>
      <c r="J796" s="41" t="n">
        <v>97.881</v>
      </c>
      <c r="K796" s="41" t="s">
        <v>1463</v>
      </c>
      <c r="L796" s="41" t="s">
        <v>1250</v>
      </c>
      <c r="M796" s="41" t="s">
        <v>99</v>
      </c>
      <c r="N796" s="41" t="n">
        <v>93.22</v>
      </c>
      <c r="O796" s="41" t="n">
        <v>4.761904762</v>
      </c>
      <c r="P796" s="41" t="n">
        <v>4.661</v>
      </c>
      <c r="Q796" s="41" t="n">
        <v>6.6</v>
      </c>
    </row>
    <row r="797" customFormat="false" ht="15" hidden="false" customHeight="false" outlineLevel="0" collapsed="false">
      <c r="A797" s="41" t="s">
        <v>975</v>
      </c>
      <c r="B797" s="41" t="s">
        <v>189</v>
      </c>
      <c r="C797" s="41" t="s">
        <v>86</v>
      </c>
      <c r="D797" s="41" t="s">
        <v>105</v>
      </c>
      <c r="E797" s="41" t="s">
        <v>103</v>
      </c>
      <c r="F797" s="41" t="s">
        <v>79</v>
      </c>
      <c r="G797" s="41" t="n">
        <v>27.18</v>
      </c>
      <c r="H797" s="41" t="n">
        <v>2</v>
      </c>
      <c r="I797" s="41" t="n">
        <v>2.718</v>
      </c>
      <c r="J797" s="41" t="n">
        <v>57.078</v>
      </c>
      <c r="K797" s="41" t="s">
        <v>1229</v>
      </c>
      <c r="L797" s="41" t="s">
        <v>1731</v>
      </c>
      <c r="M797" s="41" t="s">
        <v>98</v>
      </c>
      <c r="N797" s="41" t="n">
        <v>54.36</v>
      </c>
      <c r="O797" s="41" t="n">
        <v>4.761904762</v>
      </c>
      <c r="P797" s="41" t="n">
        <v>2.718</v>
      </c>
      <c r="Q797" s="41" t="n">
        <v>4.3</v>
      </c>
    </row>
    <row r="798" customFormat="false" ht="15" hidden="false" customHeight="false" outlineLevel="0" collapsed="false">
      <c r="A798" s="41" t="s">
        <v>976</v>
      </c>
      <c r="B798" s="41" t="s">
        <v>180</v>
      </c>
      <c r="C798" s="41" t="s">
        <v>87</v>
      </c>
      <c r="D798" s="41" t="s">
        <v>104</v>
      </c>
      <c r="E798" s="41" t="s">
        <v>102</v>
      </c>
      <c r="F798" s="41" t="s">
        <v>80</v>
      </c>
      <c r="G798" s="41" t="n">
        <v>60.87</v>
      </c>
      <c r="H798" s="41" t="n">
        <v>1</v>
      </c>
      <c r="I798" s="41" t="n">
        <v>3.0435</v>
      </c>
      <c r="J798" s="41" t="n">
        <v>63.9135</v>
      </c>
      <c r="K798" s="41" t="s">
        <v>1300</v>
      </c>
      <c r="L798" s="41" t="s">
        <v>1254</v>
      </c>
      <c r="M798" s="41" t="s">
        <v>97</v>
      </c>
      <c r="N798" s="41" t="n">
        <v>60.87</v>
      </c>
      <c r="O798" s="41" t="n">
        <v>4.761904762</v>
      </c>
      <c r="P798" s="41" t="n">
        <v>3.0435</v>
      </c>
      <c r="Q798" s="41" t="n">
        <v>5.5</v>
      </c>
    </row>
    <row r="799" customFormat="false" ht="15" hidden="false" customHeight="false" outlineLevel="0" collapsed="false">
      <c r="A799" s="41" t="s">
        <v>977</v>
      </c>
      <c r="B799" s="41" t="s">
        <v>178</v>
      </c>
      <c r="C799" s="41" t="s">
        <v>85</v>
      </c>
      <c r="D799" s="41" t="s">
        <v>104</v>
      </c>
      <c r="E799" s="41" t="s">
        <v>102</v>
      </c>
      <c r="F799" s="41" t="s">
        <v>77</v>
      </c>
      <c r="G799" s="41" t="n">
        <v>24.49</v>
      </c>
      <c r="H799" s="41" t="n">
        <v>10</v>
      </c>
      <c r="I799" s="41" t="n">
        <v>12.245</v>
      </c>
      <c r="J799" s="41" t="n">
        <v>257.145</v>
      </c>
      <c r="K799" s="41" t="s">
        <v>1386</v>
      </c>
      <c r="L799" s="41" t="s">
        <v>1729</v>
      </c>
      <c r="M799" s="41" t="s">
        <v>97</v>
      </c>
      <c r="N799" s="41" t="n">
        <v>244.9</v>
      </c>
      <c r="O799" s="41" t="n">
        <v>4.761904762</v>
      </c>
      <c r="P799" s="41" t="n">
        <v>12.245</v>
      </c>
      <c r="Q799" s="41" t="n">
        <v>8.1</v>
      </c>
    </row>
    <row r="800" customFormat="false" ht="15" hidden="false" customHeight="false" outlineLevel="0" collapsed="false">
      <c r="A800" s="41" t="s">
        <v>978</v>
      </c>
      <c r="B800" s="41" t="s">
        <v>189</v>
      </c>
      <c r="C800" s="41" t="s">
        <v>86</v>
      </c>
      <c r="D800" s="41" t="s">
        <v>105</v>
      </c>
      <c r="E800" s="41" t="s">
        <v>103</v>
      </c>
      <c r="F800" s="41" t="s">
        <v>81</v>
      </c>
      <c r="G800" s="41" t="n">
        <v>92.78</v>
      </c>
      <c r="H800" s="41" t="n">
        <v>1</v>
      </c>
      <c r="I800" s="41" t="n">
        <v>4.639</v>
      </c>
      <c r="J800" s="41" t="n">
        <v>97.419</v>
      </c>
      <c r="K800" s="41" t="s">
        <v>1229</v>
      </c>
      <c r="L800" s="41" t="s">
        <v>1419</v>
      </c>
      <c r="M800" s="41" t="s">
        <v>99</v>
      </c>
      <c r="N800" s="41" t="n">
        <v>92.78</v>
      </c>
      <c r="O800" s="41" t="n">
        <v>4.761904762</v>
      </c>
      <c r="P800" s="41" t="n">
        <v>4.639</v>
      </c>
      <c r="Q800" s="41" t="n">
        <v>9.8</v>
      </c>
    </row>
    <row r="801" customFormat="false" ht="15" hidden="false" customHeight="false" outlineLevel="0" collapsed="false">
      <c r="A801" s="41" t="s">
        <v>979</v>
      </c>
      <c r="B801" s="41" t="s">
        <v>180</v>
      </c>
      <c r="C801" s="41" t="s">
        <v>87</v>
      </c>
      <c r="D801" s="41" t="s">
        <v>104</v>
      </c>
      <c r="E801" s="41" t="s">
        <v>103</v>
      </c>
      <c r="F801" s="41" t="s">
        <v>80</v>
      </c>
      <c r="G801" s="41" t="n">
        <v>86.69</v>
      </c>
      <c r="H801" s="41" t="n">
        <v>5</v>
      </c>
      <c r="I801" s="41" t="n">
        <v>21.6725</v>
      </c>
      <c r="J801" s="41" t="n">
        <v>455.1225</v>
      </c>
      <c r="K801" s="41" t="s">
        <v>1305</v>
      </c>
      <c r="L801" s="41" t="s">
        <v>1732</v>
      </c>
      <c r="M801" s="41" t="s">
        <v>98</v>
      </c>
      <c r="N801" s="41" t="n">
        <v>433.45</v>
      </c>
      <c r="O801" s="41" t="n">
        <v>4.761904762</v>
      </c>
      <c r="P801" s="41" t="n">
        <v>21.6725</v>
      </c>
      <c r="Q801" s="41" t="n">
        <v>9.4</v>
      </c>
    </row>
    <row r="802" customFormat="false" ht="15" hidden="false" customHeight="false" outlineLevel="0" collapsed="false">
      <c r="A802" s="41" t="s">
        <v>980</v>
      </c>
      <c r="B802" s="41" t="s">
        <v>189</v>
      </c>
      <c r="C802" s="41" t="s">
        <v>86</v>
      </c>
      <c r="D802" s="41" t="s">
        <v>105</v>
      </c>
      <c r="E802" s="41" t="s">
        <v>103</v>
      </c>
      <c r="F802" s="41" t="s">
        <v>77</v>
      </c>
      <c r="G802" s="41" t="n">
        <v>23.01</v>
      </c>
      <c r="H802" s="41" t="n">
        <v>6</v>
      </c>
      <c r="I802" s="41" t="n">
        <v>6.903</v>
      </c>
      <c r="J802" s="41" t="n">
        <v>144.963</v>
      </c>
      <c r="K802" s="41" t="s">
        <v>1313</v>
      </c>
      <c r="L802" s="41" t="s">
        <v>1733</v>
      </c>
      <c r="M802" s="41" t="s">
        <v>98</v>
      </c>
      <c r="N802" s="41" t="n">
        <v>138.06</v>
      </c>
      <c r="O802" s="41" t="n">
        <v>4.761904762</v>
      </c>
      <c r="P802" s="41" t="n">
        <v>6.903</v>
      </c>
      <c r="Q802" s="41" t="n">
        <v>7.9</v>
      </c>
    </row>
    <row r="803" customFormat="false" ht="15" hidden="false" customHeight="false" outlineLevel="0" collapsed="false">
      <c r="A803" s="41" t="s">
        <v>981</v>
      </c>
      <c r="B803" s="41" t="s">
        <v>180</v>
      </c>
      <c r="C803" s="41" t="s">
        <v>87</v>
      </c>
      <c r="D803" s="41" t="s">
        <v>104</v>
      </c>
      <c r="E803" s="41" t="s">
        <v>102</v>
      </c>
      <c r="F803" s="41" t="s">
        <v>78</v>
      </c>
      <c r="G803" s="41" t="n">
        <v>30.2</v>
      </c>
      <c r="H803" s="41" t="n">
        <v>8</v>
      </c>
      <c r="I803" s="41" t="n">
        <v>12.08</v>
      </c>
      <c r="J803" s="41" t="n">
        <v>253.68</v>
      </c>
      <c r="K803" s="41" t="s">
        <v>1192</v>
      </c>
      <c r="L803" s="41" t="s">
        <v>1432</v>
      </c>
      <c r="M803" s="41" t="s">
        <v>98</v>
      </c>
      <c r="N803" s="41" t="n">
        <v>241.6</v>
      </c>
      <c r="O803" s="41" t="n">
        <v>4.761904762</v>
      </c>
      <c r="P803" s="41" t="n">
        <v>12.08</v>
      </c>
      <c r="Q803" s="41" t="n">
        <v>5.1</v>
      </c>
    </row>
    <row r="804" customFormat="false" ht="15" hidden="false" customHeight="false" outlineLevel="0" collapsed="false">
      <c r="A804" s="41" t="s">
        <v>982</v>
      </c>
      <c r="B804" s="41" t="s">
        <v>180</v>
      </c>
      <c r="C804" s="41" t="s">
        <v>87</v>
      </c>
      <c r="D804" s="41" t="s">
        <v>104</v>
      </c>
      <c r="E804" s="41" t="s">
        <v>103</v>
      </c>
      <c r="F804" s="41" t="s">
        <v>79</v>
      </c>
      <c r="G804" s="41" t="n">
        <v>67.39</v>
      </c>
      <c r="H804" s="41" t="n">
        <v>7</v>
      </c>
      <c r="I804" s="41" t="n">
        <v>23.5865</v>
      </c>
      <c r="J804" s="41" t="n">
        <v>495.3165</v>
      </c>
      <c r="K804" s="41" t="s">
        <v>1253</v>
      </c>
      <c r="L804" s="41" t="s">
        <v>1193</v>
      </c>
      <c r="M804" s="41" t="s">
        <v>98</v>
      </c>
      <c r="N804" s="41" t="n">
        <v>471.73</v>
      </c>
      <c r="O804" s="41" t="n">
        <v>4.761904762</v>
      </c>
      <c r="P804" s="41" t="n">
        <v>23.5865</v>
      </c>
      <c r="Q804" s="41" t="n">
        <v>6.9</v>
      </c>
    </row>
    <row r="805" customFormat="false" ht="15" hidden="false" customHeight="false" outlineLevel="0" collapsed="false">
      <c r="A805" s="41" t="s">
        <v>983</v>
      </c>
      <c r="B805" s="41" t="s">
        <v>178</v>
      </c>
      <c r="C805" s="41" t="s">
        <v>85</v>
      </c>
      <c r="D805" s="41" t="s">
        <v>104</v>
      </c>
      <c r="E805" s="41" t="s">
        <v>102</v>
      </c>
      <c r="F805" s="41" t="s">
        <v>79</v>
      </c>
      <c r="G805" s="41" t="n">
        <v>48.96</v>
      </c>
      <c r="H805" s="41" t="n">
        <v>9</v>
      </c>
      <c r="I805" s="41" t="n">
        <v>22.032</v>
      </c>
      <c r="J805" s="41" t="n">
        <v>462.672</v>
      </c>
      <c r="K805" s="41" t="s">
        <v>1261</v>
      </c>
      <c r="L805" s="41" t="s">
        <v>1342</v>
      </c>
      <c r="M805" s="41" t="s">
        <v>97</v>
      </c>
      <c r="N805" s="41" t="n">
        <v>440.64</v>
      </c>
      <c r="O805" s="41" t="n">
        <v>4.761904762</v>
      </c>
      <c r="P805" s="41" t="n">
        <v>22.032</v>
      </c>
      <c r="Q805" s="41" t="n">
        <v>8</v>
      </c>
    </row>
    <row r="806" customFormat="false" ht="15" hidden="false" customHeight="false" outlineLevel="0" collapsed="false">
      <c r="A806" s="41" t="s">
        <v>984</v>
      </c>
      <c r="B806" s="41" t="s">
        <v>189</v>
      </c>
      <c r="C806" s="41" t="s">
        <v>86</v>
      </c>
      <c r="D806" s="41" t="s">
        <v>104</v>
      </c>
      <c r="E806" s="41" t="s">
        <v>102</v>
      </c>
      <c r="F806" s="41" t="s">
        <v>78</v>
      </c>
      <c r="G806" s="41" t="n">
        <v>75.59</v>
      </c>
      <c r="H806" s="41" t="n">
        <v>9</v>
      </c>
      <c r="I806" s="41" t="n">
        <v>34.0155</v>
      </c>
      <c r="J806" s="41" t="n">
        <v>714.3255</v>
      </c>
      <c r="K806" s="41" t="s">
        <v>1321</v>
      </c>
      <c r="L806" s="41" t="s">
        <v>1559</v>
      </c>
      <c r="M806" s="41" t="s">
        <v>97</v>
      </c>
      <c r="N806" s="41" t="n">
        <v>680.31</v>
      </c>
      <c r="O806" s="41" t="n">
        <v>4.761904762</v>
      </c>
      <c r="P806" s="41" t="n">
        <v>34.0155</v>
      </c>
      <c r="Q806" s="41" t="n">
        <v>8</v>
      </c>
    </row>
    <row r="807" customFormat="false" ht="15" hidden="false" customHeight="false" outlineLevel="0" collapsed="false">
      <c r="A807" s="41" t="s">
        <v>985</v>
      </c>
      <c r="B807" s="41" t="s">
        <v>178</v>
      </c>
      <c r="C807" s="41" t="s">
        <v>85</v>
      </c>
      <c r="D807" s="41" t="s">
        <v>105</v>
      </c>
      <c r="E807" s="41" t="s">
        <v>102</v>
      </c>
      <c r="F807" s="41" t="s">
        <v>80</v>
      </c>
      <c r="G807" s="41" t="n">
        <v>77.47</v>
      </c>
      <c r="H807" s="41" t="n">
        <v>4</v>
      </c>
      <c r="I807" s="41" t="n">
        <v>15.494</v>
      </c>
      <c r="J807" s="41" t="n">
        <v>325.374</v>
      </c>
      <c r="K807" s="41" t="s">
        <v>1486</v>
      </c>
      <c r="L807" s="41" t="s">
        <v>1616</v>
      </c>
      <c r="M807" s="41" t="s">
        <v>97</v>
      </c>
      <c r="N807" s="41" t="n">
        <v>309.88</v>
      </c>
      <c r="O807" s="41" t="n">
        <v>4.761904762</v>
      </c>
      <c r="P807" s="41" t="n">
        <v>15.494</v>
      </c>
      <c r="Q807" s="41" t="n">
        <v>4.2</v>
      </c>
    </row>
    <row r="808" customFormat="false" ht="15" hidden="false" customHeight="false" outlineLevel="0" collapsed="false">
      <c r="A808" s="41" t="s">
        <v>986</v>
      </c>
      <c r="B808" s="41" t="s">
        <v>178</v>
      </c>
      <c r="C808" s="41" t="s">
        <v>85</v>
      </c>
      <c r="D808" s="41" t="s">
        <v>105</v>
      </c>
      <c r="E808" s="41" t="s">
        <v>102</v>
      </c>
      <c r="F808" s="41" t="s">
        <v>77</v>
      </c>
      <c r="G808" s="41" t="n">
        <v>93.18</v>
      </c>
      <c r="H808" s="41" t="n">
        <v>2</v>
      </c>
      <c r="I808" s="41" t="n">
        <v>9.318</v>
      </c>
      <c r="J808" s="41" t="n">
        <v>195.678</v>
      </c>
      <c r="K808" s="41" t="s">
        <v>1360</v>
      </c>
      <c r="L808" s="41" t="s">
        <v>1734</v>
      </c>
      <c r="M808" s="41" t="s">
        <v>99</v>
      </c>
      <c r="N808" s="41" t="n">
        <v>186.36</v>
      </c>
      <c r="O808" s="41" t="n">
        <v>4.761904762</v>
      </c>
      <c r="P808" s="41" t="n">
        <v>9.318</v>
      </c>
      <c r="Q808" s="41" t="n">
        <v>8.5</v>
      </c>
    </row>
    <row r="809" customFormat="false" ht="15" hidden="false" customHeight="false" outlineLevel="0" collapsed="false">
      <c r="A809" s="41" t="s">
        <v>987</v>
      </c>
      <c r="B809" s="41" t="s">
        <v>178</v>
      </c>
      <c r="C809" s="41" t="s">
        <v>85</v>
      </c>
      <c r="D809" s="41" t="s">
        <v>105</v>
      </c>
      <c r="E809" s="41" t="s">
        <v>102</v>
      </c>
      <c r="F809" s="41" t="s">
        <v>78</v>
      </c>
      <c r="G809" s="41" t="n">
        <v>50.23</v>
      </c>
      <c r="H809" s="41" t="n">
        <v>4</v>
      </c>
      <c r="I809" s="41" t="n">
        <v>10.046</v>
      </c>
      <c r="J809" s="41" t="n">
        <v>210.966</v>
      </c>
      <c r="K809" s="41" t="s">
        <v>1369</v>
      </c>
      <c r="L809" s="41" t="s">
        <v>1735</v>
      </c>
      <c r="M809" s="41" t="s">
        <v>97</v>
      </c>
      <c r="N809" s="41" t="n">
        <v>200.92</v>
      </c>
      <c r="O809" s="41" t="n">
        <v>4.761904762</v>
      </c>
      <c r="P809" s="41" t="n">
        <v>10.046</v>
      </c>
      <c r="Q809" s="41" t="n">
        <v>9</v>
      </c>
    </row>
    <row r="810" customFormat="false" ht="15" hidden="false" customHeight="false" outlineLevel="0" collapsed="false">
      <c r="A810" s="41" t="s">
        <v>988</v>
      </c>
      <c r="B810" s="41" t="s">
        <v>189</v>
      </c>
      <c r="C810" s="41" t="s">
        <v>86</v>
      </c>
      <c r="D810" s="41" t="s">
        <v>105</v>
      </c>
      <c r="E810" s="41" t="s">
        <v>102</v>
      </c>
      <c r="F810" s="41" t="s">
        <v>81</v>
      </c>
      <c r="G810" s="41" t="n">
        <v>17.75</v>
      </c>
      <c r="H810" s="41" t="n">
        <v>1</v>
      </c>
      <c r="I810" s="41" t="n">
        <v>0.8875</v>
      </c>
      <c r="J810" s="41" t="n">
        <v>18.6375</v>
      </c>
      <c r="K810" s="41" t="s">
        <v>1438</v>
      </c>
      <c r="L810" s="41" t="s">
        <v>1710</v>
      </c>
      <c r="M810" s="41" t="s">
        <v>97</v>
      </c>
      <c r="N810" s="41" t="n">
        <v>17.75</v>
      </c>
      <c r="O810" s="41" t="n">
        <v>4.761904762</v>
      </c>
      <c r="P810" s="41" t="n">
        <v>0.8875</v>
      </c>
      <c r="Q810" s="41" t="n">
        <v>8.6</v>
      </c>
    </row>
    <row r="811" customFormat="false" ht="15" hidden="false" customHeight="false" outlineLevel="0" collapsed="false">
      <c r="A811" s="41" t="s">
        <v>989</v>
      </c>
      <c r="B811" s="41" t="s">
        <v>180</v>
      </c>
      <c r="C811" s="41" t="s">
        <v>87</v>
      </c>
      <c r="D811" s="41" t="s">
        <v>105</v>
      </c>
      <c r="E811" s="41" t="s">
        <v>102</v>
      </c>
      <c r="F811" s="41" t="s">
        <v>79</v>
      </c>
      <c r="G811" s="41" t="n">
        <v>62.18</v>
      </c>
      <c r="H811" s="41" t="n">
        <v>10</v>
      </c>
      <c r="I811" s="41" t="n">
        <v>31.09</v>
      </c>
      <c r="J811" s="41" t="n">
        <v>652.89</v>
      </c>
      <c r="K811" s="41" t="s">
        <v>1454</v>
      </c>
      <c r="L811" s="41" t="s">
        <v>1644</v>
      </c>
      <c r="M811" s="41" t="s">
        <v>98</v>
      </c>
      <c r="N811" s="41" t="n">
        <v>621.8</v>
      </c>
      <c r="O811" s="41" t="n">
        <v>4.761904762</v>
      </c>
      <c r="P811" s="41" t="n">
        <v>31.09</v>
      </c>
      <c r="Q811" s="41" t="n">
        <v>6</v>
      </c>
    </row>
    <row r="812" customFormat="false" ht="15" hidden="false" customHeight="false" outlineLevel="0" collapsed="false">
      <c r="A812" s="41" t="s">
        <v>990</v>
      </c>
      <c r="B812" s="41" t="s">
        <v>189</v>
      </c>
      <c r="C812" s="41" t="s">
        <v>86</v>
      </c>
      <c r="D812" s="41" t="s">
        <v>105</v>
      </c>
      <c r="E812" s="41" t="s">
        <v>103</v>
      </c>
      <c r="F812" s="41" t="s">
        <v>81</v>
      </c>
      <c r="G812" s="41" t="n">
        <v>10.75</v>
      </c>
      <c r="H812" s="41" t="n">
        <v>8</v>
      </c>
      <c r="I812" s="41" t="n">
        <v>4.3</v>
      </c>
      <c r="J812" s="41" t="n">
        <v>90.3</v>
      </c>
      <c r="K812" s="41" t="s">
        <v>1229</v>
      </c>
      <c r="L812" s="41" t="s">
        <v>1511</v>
      </c>
      <c r="M812" s="41" t="s">
        <v>98</v>
      </c>
      <c r="N812" s="41" t="n">
        <v>86</v>
      </c>
      <c r="O812" s="41" t="n">
        <v>4.761904762</v>
      </c>
      <c r="P812" s="41" t="n">
        <v>4.3</v>
      </c>
      <c r="Q812" s="41" t="n">
        <v>6.2</v>
      </c>
    </row>
    <row r="813" customFormat="false" ht="15" hidden="false" customHeight="false" outlineLevel="0" collapsed="false">
      <c r="A813" s="41" t="s">
        <v>991</v>
      </c>
      <c r="B813" s="41" t="s">
        <v>178</v>
      </c>
      <c r="C813" s="41" t="s">
        <v>85</v>
      </c>
      <c r="D813" s="41" t="s">
        <v>105</v>
      </c>
      <c r="E813" s="41" t="s">
        <v>102</v>
      </c>
      <c r="F813" s="41" t="s">
        <v>78</v>
      </c>
      <c r="G813" s="41" t="n">
        <v>40.26</v>
      </c>
      <c r="H813" s="41" t="n">
        <v>10</v>
      </c>
      <c r="I813" s="41" t="n">
        <v>20.13</v>
      </c>
      <c r="J813" s="41" t="n">
        <v>422.73</v>
      </c>
      <c r="K813" s="41" t="s">
        <v>1202</v>
      </c>
      <c r="L813" s="41" t="s">
        <v>1457</v>
      </c>
      <c r="M813" s="41" t="s">
        <v>99</v>
      </c>
      <c r="N813" s="41" t="n">
        <v>402.6</v>
      </c>
      <c r="O813" s="41" t="n">
        <v>4.761904762</v>
      </c>
      <c r="P813" s="41" t="n">
        <v>20.13</v>
      </c>
      <c r="Q813" s="41" t="n">
        <v>5</v>
      </c>
    </row>
    <row r="814" customFormat="false" ht="15" hidden="false" customHeight="false" outlineLevel="0" collapsed="false">
      <c r="A814" s="41" t="s">
        <v>992</v>
      </c>
      <c r="B814" s="41" t="s">
        <v>180</v>
      </c>
      <c r="C814" s="41" t="s">
        <v>87</v>
      </c>
      <c r="D814" s="41" t="s">
        <v>104</v>
      </c>
      <c r="E814" s="41" t="s">
        <v>102</v>
      </c>
      <c r="F814" s="41" t="s">
        <v>77</v>
      </c>
      <c r="G814" s="41" t="n">
        <v>64.97</v>
      </c>
      <c r="H814" s="41" t="n">
        <v>5</v>
      </c>
      <c r="I814" s="41" t="n">
        <v>16.2425</v>
      </c>
      <c r="J814" s="41" t="n">
        <v>341.0925</v>
      </c>
      <c r="K814" s="41" t="s">
        <v>1196</v>
      </c>
      <c r="L814" s="41" t="s">
        <v>1570</v>
      </c>
      <c r="M814" s="41" t="s">
        <v>99</v>
      </c>
      <c r="N814" s="41" t="n">
        <v>324.85</v>
      </c>
      <c r="O814" s="41" t="n">
        <v>4.761904762</v>
      </c>
      <c r="P814" s="41" t="n">
        <v>16.2425</v>
      </c>
      <c r="Q814" s="41" t="n">
        <v>6.5</v>
      </c>
    </row>
    <row r="815" customFormat="false" ht="15" hidden="false" customHeight="false" outlineLevel="0" collapsed="false">
      <c r="A815" s="41" t="s">
        <v>993</v>
      </c>
      <c r="B815" s="41" t="s">
        <v>178</v>
      </c>
      <c r="C815" s="41" t="s">
        <v>85</v>
      </c>
      <c r="D815" s="41" t="s">
        <v>105</v>
      </c>
      <c r="E815" s="41" t="s">
        <v>103</v>
      </c>
      <c r="F815" s="41" t="s">
        <v>78</v>
      </c>
      <c r="G815" s="41" t="n">
        <v>95.15</v>
      </c>
      <c r="H815" s="41" t="n">
        <v>1</v>
      </c>
      <c r="I815" s="41" t="n">
        <v>4.7575</v>
      </c>
      <c r="J815" s="41" t="n">
        <v>99.9075</v>
      </c>
      <c r="K815" s="41" t="s">
        <v>1235</v>
      </c>
      <c r="L815" s="41" t="s">
        <v>160</v>
      </c>
      <c r="M815" s="41" t="s">
        <v>97</v>
      </c>
      <c r="N815" s="41" t="n">
        <v>95.15</v>
      </c>
      <c r="O815" s="41" t="n">
        <v>4.761904762</v>
      </c>
      <c r="P815" s="41" t="n">
        <v>4.7575</v>
      </c>
      <c r="Q815" s="41" t="n">
        <v>6</v>
      </c>
    </row>
    <row r="816" customFormat="false" ht="15" hidden="false" customHeight="false" outlineLevel="0" collapsed="false">
      <c r="A816" s="41" t="s">
        <v>994</v>
      </c>
      <c r="B816" s="41" t="s">
        <v>178</v>
      </c>
      <c r="C816" s="41" t="s">
        <v>85</v>
      </c>
      <c r="D816" s="41" t="s">
        <v>104</v>
      </c>
      <c r="E816" s="41" t="s">
        <v>102</v>
      </c>
      <c r="F816" s="41" t="s">
        <v>78</v>
      </c>
      <c r="G816" s="41" t="n">
        <v>48.62</v>
      </c>
      <c r="H816" s="41" t="n">
        <v>8</v>
      </c>
      <c r="I816" s="41" t="n">
        <v>19.448</v>
      </c>
      <c r="J816" s="41" t="n">
        <v>408.408</v>
      </c>
      <c r="K816" s="41" t="s">
        <v>1300</v>
      </c>
      <c r="L816" s="41" t="s">
        <v>1586</v>
      </c>
      <c r="M816" s="41" t="s">
        <v>97</v>
      </c>
      <c r="N816" s="41" t="n">
        <v>388.96</v>
      </c>
      <c r="O816" s="41" t="n">
        <v>4.761904762</v>
      </c>
      <c r="P816" s="41" t="n">
        <v>19.448</v>
      </c>
      <c r="Q816" s="41" t="n">
        <v>5</v>
      </c>
    </row>
    <row r="817" customFormat="false" ht="15" hidden="false" customHeight="false" outlineLevel="0" collapsed="false">
      <c r="A817" s="41" t="s">
        <v>995</v>
      </c>
      <c r="B817" s="41" t="s">
        <v>189</v>
      </c>
      <c r="C817" s="41" t="s">
        <v>86</v>
      </c>
      <c r="D817" s="41" t="s">
        <v>105</v>
      </c>
      <c r="E817" s="41" t="s">
        <v>102</v>
      </c>
      <c r="F817" s="41" t="s">
        <v>76</v>
      </c>
      <c r="G817" s="41" t="n">
        <v>53.21</v>
      </c>
      <c r="H817" s="41" t="n">
        <v>8</v>
      </c>
      <c r="I817" s="41" t="n">
        <v>21.284</v>
      </c>
      <c r="J817" s="41" t="n">
        <v>446.964</v>
      </c>
      <c r="K817" s="41" t="s">
        <v>1494</v>
      </c>
      <c r="L817" s="41" t="s">
        <v>1733</v>
      </c>
      <c r="M817" s="41" t="s">
        <v>98</v>
      </c>
      <c r="N817" s="41" t="n">
        <v>425.68</v>
      </c>
      <c r="O817" s="41" t="n">
        <v>4.761904762</v>
      </c>
      <c r="P817" s="41" t="n">
        <v>21.284</v>
      </c>
      <c r="Q817" s="41" t="n">
        <v>5</v>
      </c>
    </row>
    <row r="818" customFormat="false" ht="15" hidden="false" customHeight="false" outlineLevel="0" collapsed="false">
      <c r="A818" s="41" t="s">
        <v>996</v>
      </c>
      <c r="B818" s="41" t="s">
        <v>180</v>
      </c>
      <c r="C818" s="41" t="s">
        <v>87</v>
      </c>
      <c r="D818" s="41" t="s">
        <v>105</v>
      </c>
      <c r="E818" s="41" t="s">
        <v>102</v>
      </c>
      <c r="F818" s="41" t="s">
        <v>79</v>
      </c>
      <c r="G818" s="41" t="n">
        <v>45.44</v>
      </c>
      <c r="H818" s="41" t="n">
        <v>7</v>
      </c>
      <c r="I818" s="41" t="n">
        <v>15.904</v>
      </c>
      <c r="J818" s="41" t="n">
        <v>333.984</v>
      </c>
      <c r="K818" s="41" t="s">
        <v>1319</v>
      </c>
      <c r="L818" s="41" t="s">
        <v>1232</v>
      </c>
      <c r="M818" s="41" t="s">
        <v>97</v>
      </c>
      <c r="N818" s="41" t="n">
        <v>318.08</v>
      </c>
      <c r="O818" s="41" t="n">
        <v>4.761904762</v>
      </c>
      <c r="P818" s="41" t="n">
        <v>15.904</v>
      </c>
      <c r="Q818" s="41" t="n">
        <v>9.2</v>
      </c>
    </row>
    <row r="819" customFormat="false" ht="15" hidden="false" customHeight="false" outlineLevel="0" collapsed="false">
      <c r="A819" s="41" t="s">
        <v>997</v>
      </c>
      <c r="B819" s="41" t="s">
        <v>178</v>
      </c>
      <c r="C819" s="41" t="s">
        <v>85</v>
      </c>
      <c r="D819" s="41" t="s">
        <v>105</v>
      </c>
      <c r="E819" s="41" t="s">
        <v>103</v>
      </c>
      <c r="F819" s="41" t="s">
        <v>76</v>
      </c>
      <c r="G819" s="41" t="n">
        <v>33.88</v>
      </c>
      <c r="H819" s="41" t="n">
        <v>8</v>
      </c>
      <c r="I819" s="41" t="n">
        <v>13.552</v>
      </c>
      <c r="J819" s="41" t="n">
        <v>284.592</v>
      </c>
      <c r="K819" s="41" t="s">
        <v>1356</v>
      </c>
      <c r="L819" s="41" t="s">
        <v>1514</v>
      </c>
      <c r="M819" s="41" t="s">
        <v>98</v>
      </c>
      <c r="N819" s="41" t="n">
        <v>271.04</v>
      </c>
      <c r="O819" s="41" t="n">
        <v>4.761904762</v>
      </c>
      <c r="P819" s="41" t="n">
        <v>13.552</v>
      </c>
      <c r="Q819" s="41" t="n">
        <v>9.6</v>
      </c>
    </row>
    <row r="820" customFormat="false" ht="15" hidden="false" customHeight="false" outlineLevel="0" collapsed="false">
      <c r="A820" s="41" t="s">
        <v>998</v>
      </c>
      <c r="B820" s="41" t="s">
        <v>189</v>
      </c>
      <c r="C820" s="41" t="s">
        <v>86</v>
      </c>
      <c r="D820" s="41" t="s">
        <v>104</v>
      </c>
      <c r="E820" s="41" t="s">
        <v>103</v>
      </c>
      <c r="F820" s="41" t="s">
        <v>81</v>
      </c>
      <c r="G820" s="41" t="n">
        <v>96.16</v>
      </c>
      <c r="H820" s="41" t="n">
        <v>4</v>
      </c>
      <c r="I820" s="41" t="n">
        <v>19.232</v>
      </c>
      <c r="J820" s="41" t="n">
        <v>403.872</v>
      </c>
      <c r="K820" s="41" t="s">
        <v>1194</v>
      </c>
      <c r="L820" s="41" t="s">
        <v>1627</v>
      </c>
      <c r="M820" s="41" t="s">
        <v>99</v>
      </c>
      <c r="N820" s="41" t="n">
        <v>384.64</v>
      </c>
      <c r="O820" s="41" t="n">
        <v>4.761904762</v>
      </c>
      <c r="P820" s="41" t="n">
        <v>19.232</v>
      </c>
      <c r="Q820" s="41" t="n">
        <v>8.4</v>
      </c>
    </row>
    <row r="821" customFormat="false" ht="15" hidden="false" customHeight="false" outlineLevel="0" collapsed="false">
      <c r="A821" s="41" t="s">
        <v>999</v>
      </c>
      <c r="B821" s="41" t="s">
        <v>189</v>
      </c>
      <c r="C821" s="41" t="s">
        <v>86</v>
      </c>
      <c r="D821" s="41" t="s">
        <v>104</v>
      </c>
      <c r="E821" s="41" t="s">
        <v>103</v>
      </c>
      <c r="F821" s="41" t="s">
        <v>76</v>
      </c>
      <c r="G821" s="41" t="n">
        <v>47.16</v>
      </c>
      <c r="H821" s="41" t="n">
        <v>5</v>
      </c>
      <c r="I821" s="41" t="n">
        <v>11.79</v>
      </c>
      <c r="J821" s="41" t="n">
        <v>247.59</v>
      </c>
      <c r="K821" s="41" t="s">
        <v>1272</v>
      </c>
      <c r="L821" s="41" t="s">
        <v>1295</v>
      </c>
      <c r="M821" s="41" t="s">
        <v>99</v>
      </c>
      <c r="N821" s="41" t="n">
        <v>235.8</v>
      </c>
      <c r="O821" s="41" t="n">
        <v>4.761904762</v>
      </c>
      <c r="P821" s="41" t="n">
        <v>11.79</v>
      </c>
      <c r="Q821" s="41" t="n">
        <v>6</v>
      </c>
    </row>
    <row r="822" customFormat="false" ht="15" hidden="false" customHeight="false" outlineLevel="0" collapsed="false">
      <c r="A822" s="41" t="s">
        <v>1000</v>
      </c>
      <c r="B822" s="41" t="s">
        <v>189</v>
      </c>
      <c r="C822" s="41" t="s">
        <v>86</v>
      </c>
      <c r="D822" s="41" t="s">
        <v>105</v>
      </c>
      <c r="E822" s="41" t="s">
        <v>103</v>
      </c>
      <c r="F822" s="41" t="s">
        <v>78</v>
      </c>
      <c r="G822" s="41" t="n">
        <v>52.89</v>
      </c>
      <c r="H822" s="41" t="n">
        <v>4</v>
      </c>
      <c r="I822" s="41" t="n">
        <v>10.578</v>
      </c>
      <c r="J822" s="41" t="n">
        <v>222.138</v>
      </c>
      <c r="K822" s="41" t="s">
        <v>1198</v>
      </c>
      <c r="L822" s="41" t="s">
        <v>1736</v>
      </c>
      <c r="M822" s="41" t="s">
        <v>98</v>
      </c>
      <c r="N822" s="41" t="n">
        <v>211.56</v>
      </c>
      <c r="O822" s="41" t="n">
        <v>4.761904762</v>
      </c>
      <c r="P822" s="41" t="n">
        <v>10.578</v>
      </c>
      <c r="Q822" s="41" t="n">
        <v>6.7</v>
      </c>
    </row>
    <row r="823" customFormat="false" ht="15" hidden="false" customHeight="false" outlineLevel="0" collapsed="false">
      <c r="A823" s="41" t="s">
        <v>1001</v>
      </c>
      <c r="B823" s="41" t="s">
        <v>178</v>
      </c>
      <c r="C823" s="41" t="s">
        <v>85</v>
      </c>
      <c r="D823" s="41" t="s">
        <v>104</v>
      </c>
      <c r="E823" s="41" t="s">
        <v>102</v>
      </c>
      <c r="F823" s="41" t="s">
        <v>80</v>
      </c>
      <c r="G823" s="41" t="n">
        <v>47.68</v>
      </c>
      <c r="H823" s="41" t="n">
        <v>2</v>
      </c>
      <c r="I823" s="41" t="n">
        <v>4.768</v>
      </c>
      <c r="J823" s="41" t="n">
        <v>100.128</v>
      </c>
      <c r="K823" s="41" t="s">
        <v>1202</v>
      </c>
      <c r="L823" s="41" t="s">
        <v>1737</v>
      </c>
      <c r="M823" s="41" t="s">
        <v>99</v>
      </c>
      <c r="N823" s="41" t="n">
        <v>95.36</v>
      </c>
      <c r="O823" s="41" t="n">
        <v>4.761904762</v>
      </c>
      <c r="P823" s="41" t="n">
        <v>4.768</v>
      </c>
      <c r="Q823" s="41" t="n">
        <v>4.1</v>
      </c>
    </row>
    <row r="824" customFormat="false" ht="15" hidden="false" customHeight="false" outlineLevel="0" collapsed="false">
      <c r="A824" s="41" t="s">
        <v>1002</v>
      </c>
      <c r="B824" s="41" t="s">
        <v>180</v>
      </c>
      <c r="C824" s="41" t="s">
        <v>87</v>
      </c>
      <c r="D824" s="41" t="s">
        <v>104</v>
      </c>
      <c r="E824" s="41" t="s">
        <v>103</v>
      </c>
      <c r="F824" s="41" t="s">
        <v>77</v>
      </c>
      <c r="G824" s="41" t="n">
        <v>10.17</v>
      </c>
      <c r="H824" s="41" t="n">
        <v>1</v>
      </c>
      <c r="I824" s="41" t="n">
        <v>0.5085</v>
      </c>
      <c r="J824" s="41" t="n">
        <v>10.6785</v>
      </c>
      <c r="K824" s="41" t="s">
        <v>1214</v>
      </c>
      <c r="L824" s="41" t="s">
        <v>1602</v>
      </c>
      <c r="M824" s="41" t="s">
        <v>97</v>
      </c>
      <c r="N824" s="41" t="n">
        <v>10.17</v>
      </c>
      <c r="O824" s="41" t="n">
        <v>4.761904762</v>
      </c>
      <c r="P824" s="41" t="n">
        <v>0.5085</v>
      </c>
      <c r="Q824" s="41" t="n">
        <v>5.9</v>
      </c>
    </row>
    <row r="825" customFormat="false" ht="15" hidden="false" customHeight="false" outlineLevel="0" collapsed="false">
      <c r="A825" s="41" t="s">
        <v>1003</v>
      </c>
      <c r="B825" s="41" t="s">
        <v>178</v>
      </c>
      <c r="C825" s="41" t="s">
        <v>85</v>
      </c>
      <c r="D825" s="41" t="s">
        <v>105</v>
      </c>
      <c r="E825" s="41" t="s">
        <v>102</v>
      </c>
      <c r="F825" s="41" t="s">
        <v>81</v>
      </c>
      <c r="G825" s="41" t="n">
        <v>68.71</v>
      </c>
      <c r="H825" s="41" t="n">
        <v>3</v>
      </c>
      <c r="I825" s="41" t="n">
        <v>10.3065</v>
      </c>
      <c r="J825" s="41" t="n">
        <v>216.4365</v>
      </c>
      <c r="K825" s="41" t="s">
        <v>1261</v>
      </c>
      <c r="L825" s="41" t="s">
        <v>1738</v>
      </c>
      <c r="M825" s="41" t="s">
        <v>97</v>
      </c>
      <c r="N825" s="41" t="n">
        <v>206.13</v>
      </c>
      <c r="O825" s="41" t="n">
        <v>4.761904762</v>
      </c>
      <c r="P825" s="41" t="n">
        <v>10.3065</v>
      </c>
      <c r="Q825" s="41" t="n">
        <v>8.7</v>
      </c>
    </row>
    <row r="826" customFormat="false" ht="15" hidden="false" customHeight="false" outlineLevel="0" collapsed="false">
      <c r="A826" s="41" t="s">
        <v>1004</v>
      </c>
      <c r="B826" s="41" t="s">
        <v>189</v>
      </c>
      <c r="C826" s="41" t="s">
        <v>86</v>
      </c>
      <c r="D826" s="41" t="s">
        <v>104</v>
      </c>
      <c r="E826" s="41" t="s">
        <v>102</v>
      </c>
      <c r="F826" s="41" t="s">
        <v>77</v>
      </c>
      <c r="G826" s="41" t="n">
        <v>60.08</v>
      </c>
      <c r="H826" s="41" t="n">
        <v>7</v>
      </c>
      <c r="I826" s="41" t="n">
        <v>21.028</v>
      </c>
      <c r="J826" s="41" t="n">
        <v>441.588</v>
      </c>
      <c r="K826" s="41" t="s">
        <v>1294</v>
      </c>
      <c r="L826" s="41" t="s">
        <v>1412</v>
      </c>
      <c r="M826" s="41" t="s">
        <v>99</v>
      </c>
      <c r="N826" s="41" t="n">
        <v>420.56</v>
      </c>
      <c r="O826" s="41" t="n">
        <v>4.761904762</v>
      </c>
      <c r="P826" s="41" t="n">
        <v>21.028</v>
      </c>
      <c r="Q826" s="41" t="n">
        <v>4.5</v>
      </c>
    </row>
    <row r="827" customFormat="false" ht="15" hidden="false" customHeight="false" outlineLevel="0" collapsed="false">
      <c r="A827" s="41" t="s">
        <v>1005</v>
      </c>
      <c r="B827" s="41" t="s">
        <v>178</v>
      </c>
      <c r="C827" s="41" t="s">
        <v>85</v>
      </c>
      <c r="D827" s="41" t="s">
        <v>104</v>
      </c>
      <c r="E827" s="41" t="s">
        <v>102</v>
      </c>
      <c r="F827" s="41" t="s">
        <v>77</v>
      </c>
      <c r="G827" s="41" t="n">
        <v>22.01</v>
      </c>
      <c r="H827" s="41" t="n">
        <v>4</v>
      </c>
      <c r="I827" s="41" t="n">
        <v>4.402</v>
      </c>
      <c r="J827" s="41" t="n">
        <v>92.442</v>
      </c>
      <c r="K827" s="41" t="s">
        <v>1392</v>
      </c>
      <c r="L827" s="41" t="s">
        <v>1739</v>
      </c>
      <c r="M827" s="41" t="s">
        <v>99</v>
      </c>
      <c r="N827" s="41" t="n">
        <v>88.04</v>
      </c>
      <c r="O827" s="41" t="n">
        <v>4.761904762</v>
      </c>
      <c r="P827" s="41" t="n">
        <v>4.402</v>
      </c>
      <c r="Q827" s="41" t="n">
        <v>6.6</v>
      </c>
    </row>
    <row r="828" customFormat="false" ht="15" hidden="false" customHeight="false" outlineLevel="0" collapsed="false">
      <c r="A828" s="41" t="s">
        <v>1006</v>
      </c>
      <c r="B828" s="41" t="s">
        <v>189</v>
      </c>
      <c r="C828" s="41" t="s">
        <v>86</v>
      </c>
      <c r="D828" s="41" t="s">
        <v>104</v>
      </c>
      <c r="E828" s="41" t="s">
        <v>102</v>
      </c>
      <c r="F828" s="41" t="s">
        <v>81</v>
      </c>
      <c r="G828" s="41" t="n">
        <v>72.11</v>
      </c>
      <c r="H828" s="41" t="n">
        <v>9</v>
      </c>
      <c r="I828" s="41" t="n">
        <v>32.4495</v>
      </c>
      <c r="J828" s="41" t="n">
        <v>681.4395</v>
      </c>
      <c r="K828" s="41" t="s">
        <v>1244</v>
      </c>
      <c r="L828" s="41" t="s">
        <v>1589</v>
      </c>
      <c r="M828" s="41" t="s">
        <v>99</v>
      </c>
      <c r="N828" s="41" t="n">
        <v>648.99</v>
      </c>
      <c r="O828" s="41" t="n">
        <v>4.761904762</v>
      </c>
      <c r="P828" s="41" t="n">
        <v>32.4495</v>
      </c>
      <c r="Q828" s="41" t="n">
        <v>7.7</v>
      </c>
    </row>
    <row r="829" customFormat="false" ht="15" hidden="false" customHeight="false" outlineLevel="0" collapsed="false">
      <c r="A829" s="41" t="s">
        <v>1007</v>
      </c>
      <c r="B829" s="41" t="s">
        <v>178</v>
      </c>
      <c r="C829" s="41" t="s">
        <v>85</v>
      </c>
      <c r="D829" s="41" t="s">
        <v>104</v>
      </c>
      <c r="E829" s="41" t="s">
        <v>103</v>
      </c>
      <c r="F829" s="41" t="s">
        <v>79</v>
      </c>
      <c r="G829" s="41" t="n">
        <v>41.28</v>
      </c>
      <c r="H829" s="41" t="n">
        <v>3</v>
      </c>
      <c r="I829" s="41" t="n">
        <v>6.192</v>
      </c>
      <c r="J829" s="41" t="n">
        <v>130.032</v>
      </c>
      <c r="K829" s="41" t="s">
        <v>1338</v>
      </c>
      <c r="L829" s="41" t="s">
        <v>1320</v>
      </c>
      <c r="M829" s="41" t="s">
        <v>99</v>
      </c>
      <c r="N829" s="41" t="n">
        <v>123.84</v>
      </c>
      <c r="O829" s="41" t="n">
        <v>4.761904762</v>
      </c>
      <c r="P829" s="41" t="n">
        <v>6.192</v>
      </c>
      <c r="Q829" s="41" t="n">
        <v>8.5</v>
      </c>
    </row>
    <row r="830" customFormat="false" ht="15" hidden="false" customHeight="false" outlineLevel="0" collapsed="false">
      <c r="A830" s="41" t="s">
        <v>1008</v>
      </c>
      <c r="B830" s="41" t="s">
        <v>180</v>
      </c>
      <c r="C830" s="41" t="s">
        <v>87</v>
      </c>
      <c r="D830" s="41" t="s">
        <v>105</v>
      </c>
      <c r="E830" s="41" t="s">
        <v>103</v>
      </c>
      <c r="F830" s="41" t="s">
        <v>78</v>
      </c>
      <c r="G830" s="41" t="n">
        <v>64.95</v>
      </c>
      <c r="H830" s="41" t="n">
        <v>10</v>
      </c>
      <c r="I830" s="41" t="n">
        <v>32.475</v>
      </c>
      <c r="J830" s="41" t="n">
        <v>681.975</v>
      </c>
      <c r="K830" s="41" t="s">
        <v>1349</v>
      </c>
      <c r="L830" s="41" t="s">
        <v>1449</v>
      </c>
      <c r="M830" s="41" t="s">
        <v>97</v>
      </c>
      <c r="N830" s="41" t="n">
        <v>649.5</v>
      </c>
      <c r="O830" s="41" t="n">
        <v>4.761904762</v>
      </c>
      <c r="P830" s="41" t="n">
        <v>32.475</v>
      </c>
      <c r="Q830" s="41" t="n">
        <v>5.2</v>
      </c>
    </row>
    <row r="831" customFormat="false" ht="15" hidden="false" customHeight="false" outlineLevel="0" collapsed="false">
      <c r="A831" s="41" t="s">
        <v>1009</v>
      </c>
      <c r="B831" s="41" t="s">
        <v>178</v>
      </c>
      <c r="C831" s="41" t="s">
        <v>85</v>
      </c>
      <c r="D831" s="41" t="s">
        <v>104</v>
      </c>
      <c r="E831" s="41" t="s">
        <v>102</v>
      </c>
      <c r="F831" s="41" t="s">
        <v>78</v>
      </c>
      <c r="G831" s="41" t="n">
        <v>74.22</v>
      </c>
      <c r="H831" s="41" t="n">
        <v>10</v>
      </c>
      <c r="I831" s="41" t="n">
        <v>37.11</v>
      </c>
      <c r="J831" s="41" t="n">
        <v>779.31</v>
      </c>
      <c r="K831" s="41" t="s">
        <v>1222</v>
      </c>
      <c r="L831" s="41" t="s">
        <v>1275</v>
      </c>
      <c r="M831" s="41" t="s">
        <v>99</v>
      </c>
      <c r="N831" s="41" t="n">
        <v>742.2</v>
      </c>
      <c r="O831" s="41" t="n">
        <v>4.761904762</v>
      </c>
      <c r="P831" s="41" t="n">
        <v>37.11</v>
      </c>
      <c r="Q831" s="41" t="n">
        <v>4.3</v>
      </c>
    </row>
    <row r="832" customFormat="false" ht="15" hidden="false" customHeight="false" outlineLevel="0" collapsed="false">
      <c r="A832" s="41" t="s">
        <v>1010</v>
      </c>
      <c r="B832" s="41" t="s">
        <v>178</v>
      </c>
      <c r="C832" s="41" t="s">
        <v>85</v>
      </c>
      <c r="D832" s="41" t="s">
        <v>105</v>
      </c>
      <c r="E832" s="41" t="s">
        <v>103</v>
      </c>
      <c r="F832" s="41" t="s">
        <v>78</v>
      </c>
      <c r="G832" s="41" t="n">
        <v>10.56</v>
      </c>
      <c r="H832" s="41" t="n">
        <v>8</v>
      </c>
      <c r="I832" s="41" t="n">
        <v>4.224</v>
      </c>
      <c r="J832" s="41" t="n">
        <v>88.704</v>
      </c>
      <c r="K832" s="41" t="s">
        <v>1300</v>
      </c>
      <c r="L832" s="41" t="s">
        <v>1524</v>
      </c>
      <c r="M832" s="41" t="s">
        <v>97</v>
      </c>
      <c r="N832" s="41" t="n">
        <v>84.48</v>
      </c>
      <c r="O832" s="41" t="n">
        <v>4.761904762</v>
      </c>
      <c r="P832" s="41" t="n">
        <v>4.224</v>
      </c>
      <c r="Q832" s="41" t="n">
        <v>7.6</v>
      </c>
    </row>
    <row r="833" customFormat="false" ht="15" hidden="false" customHeight="false" outlineLevel="0" collapsed="false">
      <c r="A833" s="41" t="s">
        <v>1011</v>
      </c>
      <c r="B833" s="41" t="s">
        <v>189</v>
      </c>
      <c r="C833" s="41" t="s">
        <v>86</v>
      </c>
      <c r="D833" s="41" t="s">
        <v>105</v>
      </c>
      <c r="E833" s="41" t="s">
        <v>103</v>
      </c>
      <c r="F833" s="41" t="s">
        <v>81</v>
      </c>
      <c r="G833" s="41" t="n">
        <v>62.57</v>
      </c>
      <c r="H833" s="41" t="n">
        <v>4</v>
      </c>
      <c r="I833" s="41" t="n">
        <v>12.514</v>
      </c>
      <c r="J833" s="41" t="n">
        <v>262.794</v>
      </c>
      <c r="K833" s="41" t="s">
        <v>1200</v>
      </c>
      <c r="L833" s="41" t="s">
        <v>1320</v>
      </c>
      <c r="M833" s="41" t="s">
        <v>97</v>
      </c>
      <c r="N833" s="41" t="n">
        <v>250.28</v>
      </c>
      <c r="O833" s="41" t="n">
        <v>4.761904762</v>
      </c>
      <c r="P833" s="41" t="n">
        <v>12.514</v>
      </c>
      <c r="Q833" s="41" t="n">
        <v>9.5</v>
      </c>
    </row>
    <row r="834" customFormat="false" ht="15" hidden="false" customHeight="false" outlineLevel="0" collapsed="false">
      <c r="A834" s="41" t="s">
        <v>1012</v>
      </c>
      <c r="B834" s="41" t="s">
        <v>189</v>
      </c>
      <c r="C834" s="41" t="s">
        <v>86</v>
      </c>
      <c r="D834" s="41" t="s">
        <v>104</v>
      </c>
      <c r="E834" s="41" t="s">
        <v>102</v>
      </c>
      <c r="F834" s="41" t="s">
        <v>77</v>
      </c>
      <c r="G834" s="41" t="n">
        <v>11.85</v>
      </c>
      <c r="H834" s="41" t="n">
        <v>8</v>
      </c>
      <c r="I834" s="41" t="n">
        <v>4.74</v>
      </c>
      <c r="J834" s="41" t="n">
        <v>99.54</v>
      </c>
      <c r="K834" s="41" t="s">
        <v>1311</v>
      </c>
      <c r="L834" s="41" t="s">
        <v>1684</v>
      </c>
      <c r="M834" s="41" t="s">
        <v>97</v>
      </c>
      <c r="N834" s="41" t="n">
        <v>94.8</v>
      </c>
      <c r="O834" s="41" t="n">
        <v>4.761904762</v>
      </c>
      <c r="P834" s="41" t="n">
        <v>4.74</v>
      </c>
      <c r="Q834" s="41" t="n">
        <v>4.1</v>
      </c>
    </row>
    <row r="835" customFormat="false" ht="15" hidden="false" customHeight="false" outlineLevel="0" collapsed="false">
      <c r="A835" s="41" t="s">
        <v>1013</v>
      </c>
      <c r="B835" s="41" t="s">
        <v>178</v>
      </c>
      <c r="C835" s="41" t="s">
        <v>85</v>
      </c>
      <c r="D835" s="41" t="s">
        <v>104</v>
      </c>
      <c r="E835" s="41" t="s">
        <v>103</v>
      </c>
      <c r="F835" s="41" t="s">
        <v>81</v>
      </c>
      <c r="G835" s="41" t="n">
        <v>91.3</v>
      </c>
      <c r="H835" s="41" t="n">
        <v>1</v>
      </c>
      <c r="I835" s="41" t="n">
        <v>4.565</v>
      </c>
      <c r="J835" s="41" t="n">
        <v>95.865</v>
      </c>
      <c r="K835" s="41" t="s">
        <v>1294</v>
      </c>
      <c r="L835" s="41" t="s">
        <v>1275</v>
      </c>
      <c r="M835" s="41" t="s">
        <v>98</v>
      </c>
      <c r="N835" s="41" t="n">
        <v>91.3</v>
      </c>
      <c r="O835" s="41" t="n">
        <v>4.761904762</v>
      </c>
      <c r="P835" s="41" t="n">
        <v>4.565</v>
      </c>
      <c r="Q835" s="41" t="n">
        <v>9.2</v>
      </c>
    </row>
    <row r="836" customFormat="false" ht="15" hidden="false" customHeight="false" outlineLevel="0" collapsed="false">
      <c r="A836" s="41" t="s">
        <v>1014</v>
      </c>
      <c r="B836" s="41" t="s">
        <v>189</v>
      </c>
      <c r="C836" s="41" t="s">
        <v>86</v>
      </c>
      <c r="D836" s="41" t="s">
        <v>104</v>
      </c>
      <c r="E836" s="41" t="s">
        <v>102</v>
      </c>
      <c r="F836" s="41" t="s">
        <v>80</v>
      </c>
      <c r="G836" s="41" t="n">
        <v>40.73</v>
      </c>
      <c r="H836" s="41" t="n">
        <v>7</v>
      </c>
      <c r="I836" s="41" t="n">
        <v>14.2555</v>
      </c>
      <c r="J836" s="41" t="n">
        <v>299.3655</v>
      </c>
      <c r="K836" s="41" t="s">
        <v>1286</v>
      </c>
      <c r="L836" s="41" t="s">
        <v>1740</v>
      </c>
      <c r="M836" s="41" t="s">
        <v>98</v>
      </c>
      <c r="N836" s="41" t="n">
        <v>285.11</v>
      </c>
      <c r="O836" s="41" t="n">
        <v>4.761904762</v>
      </c>
      <c r="P836" s="41" t="n">
        <v>14.2555</v>
      </c>
      <c r="Q836" s="41" t="n">
        <v>5.4</v>
      </c>
    </row>
    <row r="837" customFormat="false" ht="15" hidden="false" customHeight="false" outlineLevel="0" collapsed="false">
      <c r="A837" s="41" t="s">
        <v>1015</v>
      </c>
      <c r="B837" s="41" t="s">
        <v>178</v>
      </c>
      <c r="C837" s="41" t="s">
        <v>85</v>
      </c>
      <c r="D837" s="41" t="s">
        <v>105</v>
      </c>
      <c r="E837" s="41" t="s">
        <v>103</v>
      </c>
      <c r="F837" s="41" t="s">
        <v>79</v>
      </c>
      <c r="G837" s="41" t="n">
        <v>52.38</v>
      </c>
      <c r="H837" s="41" t="n">
        <v>1</v>
      </c>
      <c r="I837" s="41" t="n">
        <v>2.619</v>
      </c>
      <c r="J837" s="41" t="n">
        <v>54.999</v>
      </c>
      <c r="K837" s="41" t="s">
        <v>1338</v>
      </c>
      <c r="L837" s="41" t="s">
        <v>1403</v>
      </c>
      <c r="M837" s="41" t="s">
        <v>97</v>
      </c>
      <c r="N837" s="41" t="n">
        <v>52.38</v>
      </c>
      <c r="O837" s="41" t="n">
        <v>4.761904762</v>
      </c>
      <c r="P837" s="41" t="n">
        <v>2.619</v>
      </c>
      <c r="Q837" s="41" t="n">
        <v>5.8</v>
      </c>
    </row>
    <row r="838" customFormat="false" ht="15" hidden="false" customHeight="false" outlineLevel="0" collapsed="false">
      <c r="A838" s="41" t="s">
        <v>1016</v>
      </c>
      <c r="B838" s="41" t="s">
        <v>178</v>
      </c>
      <c r="C838" s="41" t="s">
        <v>85</v>
      </c>
      <c r="D838" s="41" t="s">
        <v>104</v>
      </c>
      <c r="E838" s="41" t="s">
        <v>103</v>
      </c>
      <c r="F838" s="41" t="s">
        <v>79</v>
      </c>
      <c r="G838" s="41" t="n">
        <v>38.54</v>
      </c>
      <c r="H838" s="41" t="n">
        <v>5</v>
      </c>
      <c r="I838" s="41" t="n">
        <v>9.635</v>
      </c>
      <c r="J838" s="41" t="n">
        <v>202.335</v>
      </c>
      <c r="K838" s="41" t="s">
        <v>1311</v>
      </c>
      <c r="L838" s="41" t="s">
        <v>1498</v>
      </c>
      <c r="M838" s="41" t="s">
        <v>98</v>
      </c>
      <c r="N838" s="41" t="n">
        <v>192.7</v>
      </c>
      <c r="O838" s="41" t="n">
        <v>4.761904762</v>
      </c>
      <c r="P838" s="41" t="n">
        <v>9.635</v>
      </c>
      <c r="Q838" s="41" t="n">
        <v>5.6</v>
      </c>
    </row>
    <row r="839" customFormat="false" ht="15" hidden="false" customHeight="false" outlineLevel="0" collapsed="false">
      <c r="A839" s="41" t="s">
        <v>1017</v>
      </c>
      <c r="B839" s="41" t="s">
        <v>189</v>
      </c>
      <c r="C839" s="41" t="s">
        <v>86</v>
      </c>
      <c r="D839" s="41" t="s">
        <v>105</v>
      </c>
      <c r="E839" s="41" t="s">
        <v>103</v>
      </c>
      <c r="F839" s="41" t="s">
        <v>77</v>
      </c>
      <c r="G839" s="41" t="n">
        <v>44.63</v>
      </c>
      <c r="H839" s="41" t="n">
        <v>6</v>
      </c>
      <c r="I839" s="41" t="n">
        <v>13.389</v>
      </c>
      <c r="J839" s="41" t="n">
        <v>281.169</v>
      </c>
      <c r="K839" s="41" t="s">
        <v>1326</v>
      </c>
      <c r="L839" s="41" t="s">
        <v>1661</v>
      </c>
      <c r="M839" s="41" t="s">
        <v>99</v>
      </c>
      <c r="N839" s="41" t="n">
        <v>267.78</v>
      </c>
      <c r="O839" s="41" t="n">
        <v>4.761904762</v>
      </c>
      <c r="P839" s="41" t="n">
        <v>13.389</v>
      </c>
      <c r="Q839" s="41" t="n">
        <v>5.1</v>
      </c>
    </row>
    <row r="840" customFormat="false" ht="15" hidden="false" customHeight="false" outlineLevel="0" collapsed="false">
      <c r="A840" s="41" t="s">
        <v>1018</v>
      </c>
      <c r="B840" s="41" t="s">
        <v>180</v>
      </c>
      <c r="C840" s="41" t="s">
        <v>87</v>
      </c>
      <c r="D840" s="41" t="s">
        <v>105</v>
      </c>
      <c r="E840" s="41" t="s">
        <v>103</v>
      </c>
      <c r="F840" s="41" t="s">
        <v>78</v>
      </c>
      <c r="G840" s="41" t="n">
        <v>55.87</v>
      </c>
      <c r="H840" s="41" t="n">
        <v>10</v>
      </c>
      <c r="I840" s="41" t="n">
        <v>27.935</v>
      </c>
      <c r="J840" s="41" t="n">
        <v>586.635</v>
      </c>
      <c r="K840" s="41" t="s">
        <v>1218</v>
      </c>
      <c r="L840" s="41" t="s">
        <v>1299</v>
      </c>
      <c r="M840" s="41" t="s">
        <v>97</v>
      </c>
      <c r="N840" s="41" t="n">
        <v>558.7</v>
      </c>
      <c r="O840" s="41" t="n">
        <v>4.761904762</v>
      </c>
      <c r="P840" s="41" t="n">
        <v>27.935</v>
      </c>
      <c r="Q840" s="41" t="n">
        <v>5.8</v>
      </c>
    </row>
    <row r="841" customFormat="false" ht="15" hidden="false" customHeight="false" outlineLevel="0" collapsed="false">
      <c r="A841" s="41" t="s">
        <v>1019</v>
      </c>
      <c r="B841" s="41" t="s">
        <v>180</v>
      </c>
      <c r="C841" s="41" t="s">
        <v>87</v>
      </c>
      <c r="D841" s="41" t="s">
        <v>104</v>
      </c>
      <c r="E841" s="41" t="s">
        <v>102</v>
      </c>
      <c r="F841" s="41" t="s">
        <v>77</v>
      </c>
      <c r="G841" s="41" t="n">
        <v>29.22</v>
      </c>
      <c r="H841" s="41" t="n">
        <v>6</v>
      </c>
      <c r="I841" s="41" t="n">
        <v>8.766</v>
      </c>
      <c r="J841" s="41" t="n">
        <v>184.086</v>
      </c>
      <c r="K841" s="41" t="s">
        <v>1222</v>
      </c>
      <c r="L841" s="41" t="s">
        <v>1606</v>
      </c>
      <c r="M841" s="41" t="s">
        <v>98</v>
      </c>
      <c r="N841" s="41" t="n">
        <v>175.32</v>
      </c>
      <c r="O841" s="41" t="n">
        <v>4.761904762</v>
      </c>
      <c r="P841" s="41" t="n">
        <v>8.766</v>
      </c>
      <c r="Q841" s="41" t="n">
        <v>5</v>
      </c>
    </row>
    <row r="842" customFormat="false" ht="15" hidden="false" customHeight="false" outlineLevel="0" collapsed="false">
      <c r="A842" s="41" t="s">
        <v>1020</v>
      </c>
      <c r="B842" s="41" t="s">
        <v>178</v>
      </c>
      <c r="C842" s="41" t="s">
        <v>85</v>
      </c>
      <c r="D842" s="41" t="s">
        <v>105</v>
      </c>
      <c r="E842" s="41" t="s">
        <v>103</v>
      </c>
      <c r="F842" s="41" t="s">
        <v>79</v>
      </c>
      <c r="G842" s="41" t="n">
        <v>51.94</v>
      </c>
      <c r="H842" s="41" t="n">
        <v>3</v>
      </c>
      <c r="I842" s="41" t="n">
        <v>7.791</v>
      </c>
      <c r="J842" s="41" t="n">
        <v>163.611</v>
      </c>
      <c r="K842" s="41" t="s">
        <v>1288</v>
      </c>
      <c r="L842" s="41" t="s">
        <v>1741</v>
      </c>
      <c r="M842" s="41" t="s">
        <v>97</v>
      </c>
      <c r="N842" s="41" t="n">
        <v>155.82</v>
      </c>
      <c r="O842" s="41" t="n">
        <v>4.761904762</v>
      </c>
      <c r="P842" s="41" t="n">
        <v>7.791</v>
      </c>
      <c r="Q842" s="41" t="n">
        <v>7.9</v>
      </c>
    </row>
    <row r="843" customFormat="false" ht="15" hidden="false" customHeight="false" outlineLevel="0" collapsed="false">
      <c r="A843" s="41" t="s">
        <v>1021</v>
      </c>
      <c r="B843" s="41" t="s">
        <v>189</v>
      </c>
      <c r="C843" s="41" t="s">
        <v>86</v>
      </c>
      <c r="D843" s="41" t="s">
        <v>105</v>
      </c>
      <c r="E843" s="41" t="s">
        <v>103</v>
      </c>
      <c r="F843" s="41" t="s">
        <v>78</v>
      </c>
      <c r="G843" s="41" t="n">
        <v>60.3</v>
      </c>
      <c r="H843" s="41" t="n">
        <v>1</v>
      </c>
      <c r="I843" s="41" t="n">
        <v>3.015</v>
      </c>
      <c r="J843" s="41" t="n">
        <v>63.315</v>
      </c>
      <c r="K843" s="41" t="s">
        <v>1279</v>
      </c>
      <c r="L843" s="41" t="s">
        <v>1443</v>
      </c>
      <c r="M843" s="41" t="s">
        <v>97</v>
      </c>
      <c r="N843" s="41" t="n">
        <v>60.3</v>
      </c>
      <c r="O843" s="41" t="n">
        <v>4.761904762</v>
      </c>
      <c r="P843" s="41" t="n">
        <v>3.015</v>
      </c>
      <c r="Q843" s="41" t="n">
        <v>6</v>
      </c>
    </row>
    <row r="844" customFormat="false" ht="15" hidden="false" customHeight="false" outlineLevel="0" collapsed="false">
      <c r="A844" s="41" t="s">
        <v>1022</v>
      </c>
      <c r="B844" s="41" t="s">
        <v>178</v>
      </c>
      <c r="C844" s="41" t="s">
        <v>85</v>
      </c>
      <c r="D844" s="41" t="s">
        <v>104</v>
      </c>
      <c r="E844" s="41" t="s">
        <v>102</v>
      </c>
      <c r="F844" s="41" t="s">
        <v>77</v>
      </c>
      <c r="G844" s="41" t="n">
        <v>39.47</v>
      </c>
      <c r="H844" s="41" t="n">
        <v>2</v>
      </c>
      <c r="I844" s="41" t="n">
        <v>3.947</v>
      </c>
      <c r="J844" s="41" t="n">
        <v>82.887</v>
      </c>
      <c r="K844" s="41" t="s">
        <v>1233</v>
      </c>
      <c r="L844" s="41" t="s">
        <v>1742</v>
      </c>
      <c r="M844" s="41" t="s">
        <v>99</v>
      </c>
      <c r="N844" s="41" t="n">
        <v>78.94</v>
      </c>
      <c r="O844" s="41" t="n">
        <v>4.761904762</v>
      </c>
      <c r="P844" s="41" t="n">
        <v>3.947</v>
      </c>
      <c r="Q844" s="41" t="n">
        <v>5</v>
      </c>
    </row>
    <row r="845" customFormat="false" ht="15" hidden="false" customHeight="false" outlineLevel="0" collapsed="false">
      <c r="A845" s="41" t="s">
        <v>1023</v>
      </c>
      <c r="B845" s="41" t="s">
        <v>180</v>
      </c>
      <c r="C845" s="41" t="s">
        <v>87</v>
      </c>
      <c r="D845" s="41" t="s">
        <v>104</v>
      </c>
      <c r="E845" s="41" t="s">
        <v>102</v>
      </c>
      <c r="F845" s="41" t="s">
        <v>76</v>
      </c>
      <c r="G845" s="41" t="n">
        <v>14.87</v>
      </c>
      <c r="H845" s="41" t="n">
        <v>2</v>
      </c>
      <c r="I845" s="41" t="n">
        <v>1.487</v>
      </c>
      <c r="J845" s="41" t="n">
        <v>31.227</v>
      </c>
      <c r="K845" s="41" t="s">
        <v>1418</v>
      </c>
      <c r="L845" s="41" t="s">
        <v>1739</v>
      </c>
      <c r="M845" s="41" t="s">
        <v>99</v>
      </c>
      <c r="N845" s="41" t="n">
        <v>29.74</v>
      </c>
      <c r="O845" s="41" t="n">
        <v>4.761904762</v>
      </c>
      <c r="P845" s="41" t="n">
        <v>1.487</v>
      </c>
      <c r="Q845" s="41" t="n">
        <v>8.9</v>
      </c>
    </row>
    <row r="846" customFormat="false" ht="15" hidden="false" customHeight="false" outlineLevel="0" collapsed="false">
      <c r="A846" s="41" t="s">
        <v>1024</v>
      </c>
      <c r="B846" s="41" t="s">
        <v>178</v>
      </c>
      <c r="C846" s="41" t="s">
        <v>85</v>
      </c>
      <c r="D846" s="41" t="s">
        <v>105</v>
      </c>
      <c r="E846" s="41" t="s">
        <v>103</v>
      </c>
      <c r="F846" s="41" t="s">
        <v>79</v>
      </c>
      <c r="G846" s="41" t="n">
        <v>21.32</v>
      </c>
      <c r="H846" s="41" t="n">
        <v>1</v>
      </c>
      <c r="I846" s="41" t="n">
        <v>1.066</v>
      </c>
      <c r="J846" s="41" t="n">
        <v>22.386</v>
      </c>
      <c r="K846" s="41" t="s">
        <v>1317</v>
      </c>
      <c r="L846" s="41" t="s">
        <v>1245</v>
      </c>
      <c r="M846" s="41" t="s">
        <v>97</v>
      </c>
      <c r="N846" s="41" t="n">
        <v>21.32</v>
      </c>
      <c r="O846" s="41" t="n">
        <v>4.761904762</v>
      </c>
      <c r="P846" s="41" t="n">
        <v>1.066</v>
      </c>
      <c r="Q846" s="41" t="n">
        <v>5.9</v>
      </c>
    </row>
    <row r="847" customFormat="false" ht="15" hidden="false" customHeight="false" outlineLevel="0" collapsed="false">
      <c r="A847" s="41" t="s">
        <v>1025</v>
      </c>
      <c r="B847" s="41" t="s">
        <v>178</v>
      </c>
      <c r="C847" s="41" t="s">
        <v>85</v>
      </c>
      <c r="D847" s="41" t="s">
        <v>104</v>
      </c>
      <c r="E847" s="41" t="s">
        <v>103</v>
      </c>
      <c r="F847" s="41" t="s">
        <v>78</v>
      </c>
      <c r="G847" s="41" t="n">
        <v>93.78</v>
      </c>
      <c r="H847" s="41" t="n">
        <v>3</v>
      </c>
      <c r="I847" s="41" t="n">
        <v>14.067</v>
      </c>
      <c r="J847" s="41" t="n">
        <v>295.407</v>
      </c>
      <c r="K847" s="41" t="s">
        <v>1404</v>
      </c>
      <c r="L847" s="41" t="s">
        <v>1353</v>
      </c>
      <c r="M847" s="41" t="s">
        <v>99</v>
      </c>
      <c r="N847" s="41" t="n">
        <v>281.34</v>
      </c>
      <c r="O847" s="41" t="n">
        <v>4.761904762</v>
      </c>
      <c r="P847" s="41" t="n">
        <v>14.067</v>
      </c>
      <c r="Q847" s="41" t="n">
        <v>5.9</v>
      </c>
    </row>
    <row r="848" customFormat="false" ht="15" hidden="false" customHeight="false" outlineLevel="0" collapsed="false">
      <c r="A848" s="41" t="s">
        <v>1026</v>
      </c>
      <c r="B848" s="41" t="s">
        <v>178</v>
      </c>
      <c r="C848" s="41" t="s">
        <v>85</v>
      </c>
      <c r="D848" s="41" t="s">
        <v>104</v>
      </c>
      <c r="E848" s="41" t="s">
        <v>103</v>
      </c>
      <c r="F848" s="41" t="s">
        <v>78</v>
      </c>
      <c r="G848" s="41" t="n">
        <v>73.26</v>
      </c>
      <c r="H848" s="41" t="n">
        <v>1</v>
      </c>
      <c r="I848" s="41" t="n">
        <v>3.663</v>
      </c>
      <c r="J848" s="41" t="n">
        <v>76.923</v>
      </c>
      <c r="K848" s="41" t="s">
        <v>1194</v>
      </c>
      <c r="L848" s="41" t="s">
        <v>1445</v>
      </c>
      <c r="M848" s="41" t="s">
        <v>98</v>
      </c>
      <c r="N848" s="41" t="n">
        <v>73.26</v>
      </c>
      <c r="O848" s="41" t="n">
        <v>4.761904762</v>
      </c>
      <c r="P848" s="41" t="n">
        <v>3.663</v>
      </c>
      <c r="Q848" s="41" t="n">
        <v>9.7</v>
      </c>
    </row>
    <row r="849" customFormat="false" ht="15" hidden="false" customHeight="false" outlineLevel="0" collapsed="false">
      <c r="A849" s="41" t="s">
        <v>1027</v>
      </c>
      <c r="B849" s="41" t="s">
        <v>180</v>
      </c>
      <c r="C849" s="41" t="s">
        <v>87</v>
      </c>
      <c r="D849" s="41" t="s">
        <v>105</v>
      </c>
      <c r="E849" s="41" t="s">
        <v>102</v>
      </c>
      <c r="F849" s="41" t="s">
        <v>77</v>
      </c>
      <c r="G849" s="41" t="n">
        <v>22.38</v>
      </c>
      <c r="H849" s="41" t="n">
        <v>1</v>
      </c>
      <c r="I849" s="41" t="n">
        <v>1.119</v>
      </c>
      <c r="J849" s="41" t="n">
        <v>23.499</v>
      </c>
      <c r="K849" s="41" t="s">
        <v>1404</v>
      </c>
      <c r="L849" s="41" t="s">
        <v>1271</v>
      </c>
      <c r="M849" s="41" t="s">
        <v>99</v>
      </c>
      <c r="N849" s="41" t="n">
        <v>22.38</v>
      </c>
      <c r="O849" s="41" t="n">
        <v>4.761904762</v>
      </c>
      <c r="P849" s="41" t="n">
        <v>1.119</v>
      </c>
      <c r="Q849" s="41" t="n">
        <v>8.6</v>
      </c>
    </row>
    <row r="850" customFormat="false" ht="15" hidden="false" customHeight="false" outlineLevel="0" collapsed="false">
      <c r="A850" s="41" t="s">
        <v>1028</v>
      </c>
      <c r="B850" s="41" t="s">
        <v>180</v>
      </c>
      <c r="C850" s="41" t="s">
        <v>87</v>
      </c>
      <c r="D850" s="41" t="s">
        <v>104</v>
      </c>
      <c r="E850" s="41" t="s">
        <v>102</v>
      </c>
      <c r="F850" s="41" t="s">
        <v>76</v>
      </c>
      <c r="G850" s="41" t="n">
        <v>72.88</v>
      </c>
      <c r="H850" s="41" t="n">
        <v>9</v>
      </c>
      <c r="I850" s="41" t="n">
        <v>32.796</v>
      </c>
      <c r="J850" s="41" t="n">
        <v>688.716</v>
      </c>
      <c r="K850" s="41" t="s">
        <v>1369</v>
      </c>
      <c r="L850" s="41" t="s">
        <v>1642</v>
      </c>
      <c r="M850" s="41" t="s">
        <v>97</v>
      </c>
      <c r="N850" s="41" t="n">
        <v>655.92</v>
      </c>
      <c r="O850" s="41" t="n">
        <v>4.761904762</v>
      </c>
      <c r="P850" s="41" t="n">
        <v>32.796</v>
      </c>
      <c r="Q850" s="41" t="n">
        <v>4</v>
      </c>
    </row>
    <row r="851" customFormat="false" ht="15" hidden="false" customHeight="false" outlineLevel="0" collapsed="false">
      <c r="A851" s="41" t="s">
        <v>1029</v>
      </c>
      <c r="B851" s="41" t="s">
        <v>178</v>
      </c>
      <c r="C851" s="41" t="s">
        <v>85</v>
      </c>
      <c r="D851" s="41" t="s">
        <v>105</v>
      </c>
      <c r="E851" s="41" t="s">
        <v>102</v>
      </c>
      <c r="F851" s="41" t="s">
        <v>79</v>
      </c>
      <c r="G851" s="41" t="n">
        <v>99.1</v>
      </c>
      <c r="H851" s="41" t="n">
        <v>6</v>
      </c>
      <c r="I851" s="41" t="n">
        <v>29.73</v>
      </c>
      <c r="J851" s="41" t="n">
        <v>624.33</v>
      </c>
      <c r="K851" s="41" t="s">
        <v>1356</v>
      </c>
      <c r="L851" s="41" t="s">
        <v>1335</v>
      </c>
      <c r="M851" s="41" t="s">
        <v>97</v>
      </c>
      <c r="N851" s="41" t="n">
        <v>594.6</v>
      </c>
      <c r="O851" s="41" t="n">
        <v>4.761904762</v>
      </c>
      <c r="P851" s="41" t="n">
        <v>29.73</v>
      </c>
      <c r="Q851" s="41" t="n">
        <v>4.2</v>
      </c>
    </row>
    <row r="852" customFormat="false" ht="15" hidden="false" customHeight="false" outlineLevel="0" collapsed="false">
      <c r="A852" s="41" t="s">
        <v>1030</v>
      </c>
      <c r="B852" s="41" t="s">
        <v>178</v>
      </c>
      <c r="C852" s="41" t="s">
        <v>85</v>
      </c>
      <c r="D852" s="41" t="s">
        <v>105</v>
      </c>
      <c r="E852" s="41" t="s">
        <v>103</v>
      </c>
      <c r="F852" s="41" t="s">
        <v>79</v>
      </c>
      <c r="G852" s="41" t="n">
        <v>74.1</v>
      </c>
      <c r="H852" s="41" t="n">
        <v>1</v>
      </c>
      <c r="I852" s="41" t="n">
        <v>3.705</v>
      </c>
      <c r="J852" s="41" t="n">
        <v>77.805</v>
      </c>
      <c r="K852" s="41" t="s">
        <v>1240</v>
      </c>
      <c r="L852" s="41" t="s">
        <v>1743</v>
      </c>
      <c r="M852" s="41" t="s">
        <v>97</v>
      </c>
      <c r="N852" s="41" t="n">
        <v>74.1</v>
      </c>
      <c r="O852" s="41" t="n">
        <v>4.761904762</v>
      </c>
      <c r="P852" s="41" t="n">
        <v>3.705</v>
      </c>
      <c r="Q852" s="41" t="n">
        <v>9.2</v>
      </c>
    </row>
    <row r="853" customFormat="false" ht="15" hidden="false" customHeight="false" outlineLevel="0" collapsed="false">
      <c r="A853" s="41" t="s">
        <v>1031</v>
      </c>
      <c r="B853" s="41" t="s">
        <v>178</v>
      </c>
      <c r="C853" s="41" t="s">
        <v>85</v>
      </c>
      <c r="D853" s="41" t="s">
        <v>105</v>
      </c>
      <c r="E853" s="41" t="s">
        <v>102</v>
      </c>
      <c r="F853" s="41" t="s">
        <v>79</v>
      </c>
      <c r="G853" s="41" t="n">
        <v>98.48</v>
      </c>
      <c r="H853" s="41" t="n">
        <v>2</v>
      </c>
      <c r="I853" s="41" t="n">
        <v>9.848</v>
      </c>
      <c r="J853" s="41" t="n">
        <v>206.808</v>
      </c>
      <c r="K853" s="41" t="s">
        <v>1563</v>
      </c>
      <c r="L853" s="41" t="s">
        <v>1247</v>
      </c>
      <c r="M853" s="41" t="s">
        <v>98</v>
      </c>
      <c r="N853" s="41" t="n">
        <v>196.96</v>
      </c>
      <c r="O853" s="41" t="n">
        <v>4.761904762</v>
      </c>
      <c r="P853" s="41" t="n">
        <v>9.848</v>
      </c>
      <c r="Q853" s="41" t="n">
        <v>9.2</v>
      </c>
    </row>
    <row r="854" customFormat="false" ht="15" hidden="false" customHeight="false" outlineLevel="0" collapsed="false">
      <c r="A854" s="41" t="s">
        <v>1032</v>
      </c>
      <c r="B854" s="41" t="s">
        <v>180</v>
      </c>
      <c r="C854" s="41" t="s">
        <v>87</v>
      </c>
      <c r="D854" s="41" t="s">
        <v>105</v>
      </c>
      <c r="E854" s="41" t="s">
        <v>103</v>
      </c>
      <c r="F854" s="41" t="s">
        <v>81</v>
      </c>
      <c r="G854" s="41" t="n">
        <v>53.19</v>
      </c>
      <c r="H854" s="41" t="n">
        <v>7</v>
      </c>
      <c r="I854" s="41" t="n">
        <v>18.6165</v>
      </c>
      <c r="J854" s="41" t="n">
        <v>390.9465</v>
      </c>
      <c r="K854" s="41" t="s">
        <v>1438</v>
      </c>
      <c r="L854" s="41" t="s">
        <v>1595</v>
      </c>
      <c r="M854" s="41" t="s">
        <v>98</v>
      </c>
      <c r="N854" s="41" t="n">
        <v>372.33</v>
      </c>
      <c r="O854" s="41" t="n">
        <v>4.761904762</v>
      </c>
      <c r="P854" s="41" t="n">
        <v>18.6165</v>
      </c>
      <c r="Q854" s="41" t="n">
        <v>5</v>
      </c>
    </row>
    <row r="855" customFormat="false" ht="15" hidden="false" customHeight="false" outlineLevel="0" collapsed="false">
      <c r="A855" s="41" t="s">
        <v>1033</v>
      </c>
      <c r="B855" s="41" t="s">
        <v>189</v>
      </c>
      <c r="C855" s="41" t="s">
        <v>86</v>
      </c>
      <c r="D855" s="41" t="s">
        <v>105</v>
      </c>
      <c r="E855" s="41" t="s">
        <v>102</v>
      </c>
      <c r="F855" s="41" t="s">
        <v>78</v>
      </c>
      <c r="G855" s="41" t="n">
        <v>52.79</v>
      </c>
      <c r="H855" s="41" t="n">
        <v>10</v>
      </c>
      <c r="I855" s="41" t="n">
        <v>26.395</v>
      </c>
      <c r="J855" s="41" t="n">
        <v>554.295</v>
      </c>
      <c r="K855" s="41" t="s">
        <v>1200</v>
      </c>
      <c r="L855" s="41" t="s">
        <v>1722</v>
      </c>
      <c r="M855" s="41" t="s">
        <v>98</v>
      </c>
      <c r="N855" s="41" t="n">
        <v>527.9</v>
      </c>
      <c r="O855" s="41" t="n">
        <v>4.761904762</v>
      </c>
      <c r="P855" s="41" t="n">
        <v>26.395</v>
      </c>
      <c r="Q855" s="41" t="n">
        <v>10</v>
      </c>
    </row>
    <row r="856" customFormat="false" ht="15" hidden="false" customHeight="false" outlineLevel="0" collapsed="false">
      <c r="A856" s="41" t="s">
        <v>1034</v>
      </c>
      <c r="B856" s="41" t="s">
        <v>178</v>
      </c>
      <c r="C856" s="41" t="s">
        <v>85</v>
      </c>
      <c r="D856" s="41" t="s">
        <v>104</v>
      </c>
      <c r="E856" s="41" t="s">
        <v>102</v>
      </c>
      <c r="F856" s="41" t="s">
        <v>81</v>
      </c>
      <c r="G856" s="41" t="n">
        <v>95.95</v>
      </c>
      <c r="H856" s="41" t="n">
        <v>5</v>
      </c>
      <c r="I856" s="41" t="n">
        <v>23.9875</v>
      </c>
      <c r="J856" s="41" t="n">
        <v>503.7375</v>
      </c>
      <c r="K856" s="41" t="s">
        <v>1319</v>
      </c>
      <c r="L856" s="41" t="s">
        <v>1508</v>
      </c>
      <c r="M856" s="41" t="s">
        <v>98</v>
      </c>
      <c r="N856" s="41" t="n">
        <v>479.75</v>
      </c>
      <c r="O856" s="41" t="n">
        <v>4.761904762</v>
      </c>
      <c r="P856" s="41" t="n">
        <v>23.9875</v>
      </c>
      <c r="Q856" s="41" t="n">
        <v>8.8</v>
      </c>
    </row>
    <row r="857" customFormat="false" ht="15" hidden="false" customHeight="false" outlineLevel="0" collapsed="false">
      <c r="A857" s="41" t="s">
        <v>1035</v>
      </c>
      <c r="B857" s="41" t="s">
        <v>189</v>
      </c>
      <c r="C857" s="41" t="s">
        <v>86</v>
      </c>
      <c r="D857" s="41" t="s">
        <v>105</v>
      </c>
      <c r="E857" s="41" t="s">
        <v>102</v>
      </c>
      <c r="F857" s="41" t="s">
        <v>79</v>
      </c>
      <c r="G857" s="41" t="n">
        <v>36.51</v>
      </c>
      <c r="H857" s="41" t="n">
        <v>9</v>
      </c>
      <c r="I857" s="41" t="n">
        <v>16.4295</v>
      </c>
      <c r="J857" s="41" t="n">
        <v>345.0195</v>
      </c>
      <c r="K857" s="41" t="s">
        <v>1381</v>
      </c>
      <c r="L857" s="41" t="s">
        <v>1464</v>
      </c>
      <c r="M857" s="41" t="s">
        <v>97</v>
      </c>
      <c r="N857" s="41" t="n">
        <v>328.59</v>
      </c>
      <c r="O857" s="41" t="n">
        <v>4.761904762</v>
      </c>
      <c r="P857" s="41" t="n">
        <v>16.4295</v>
      </c>
      <c r="Q857" s="41" t="n">
        <v>4.2</v>
      </c>
    </row>
    <row r="858" customFormat="false" ht="15" hidden="false" customHeight="false" outlineLevel="0" collapsed="false">
      <c r="A858" s="41" t="s">
        <v>1036</v>
      </c>
      <c r="B858" s="41" t="s">
        <v>189</v>
      </c>
      <c r="C858" s="41" t="s">
        <v>86</v>
      </c>
      <c r="D858" s="41" t="s">
        <v>105</v>
      </c>
      <c r="E858" s="41" t="s">
        <v>103</v>
      </c>
      <c r="F858" s="41" t="s">
        <v>76</v>
      </c>
      <c r="G858" s="41" t="n">
        <v>21.12</v>
      </c>
      <c r="H858" s="41" t="n">
        <v>8</v>
      </c>
      <c r="I858" s="41" t="n">
        <v>8.448</v>
      </c>
      <c r="J858" s="41" t="n">
        <v>177.408</v>
      </c>
      <c r="K858" s="41" t="s">
        <v>1222</v>
      </c>
      <c r="L858" s="41" t="s">
        <v>1744</v>
      </c>
      <c r="M858" s="41" t="s">
        <v>97</v>
      </c>
      <c r="N858" s="41" t="n">
        <v>168.96</v>
      </c>
      <c r="O858" s="41" t="n">
        <v>4.761904762</v>
      </c>
      <c r="P858" s="41" t="n">
        <v>8.448</v>
      </c>
      <c r="Q858" s="41" t="n">
        <v>6.3</v>
      </c>
    </row>
    <row r="859" customFormat="false" ht="15" hidden="false" customHeight="false" outlineLevel="0" collapsed="false">
      <c r="A859" s="41" t="s">
        <v>1037</v>
      </c>
      <c r="B859" s="41" t="s">
        <v>178</v>
      </c>
      <c r="C859" s="41" t="s">
        <v>85</v>
      </c>
      <c r="D859" s="41" t="s">
        <v>104</v>
      </c>
      <c r="E859" s="41" t="s">
        <v>102</v>
      </c>
      <c r="F859" s="41" t="s">
        <v>80</v>
      </c>
      <c r="G859" s="41" t="n">
        <v>28.31</v>
      </c>
      <c r="H859" s="41" t="n">
        <v>4</v>
      </c>
      <c r="I859" s="41" t="n">
        <v>5.662</v>
      </c>
      <c r="J859" s="41" t="n">
        <v>118.902</v>
      </c>
      <c r="K859" s="41" t="s">
        <v>1277</v>
      </c>
      <c r="L859" s="41" t="s">
        <v>1745</v>
      </c>
      <c r="M859" s="41" t="s">
        <v>97</v>
      </c>
      <c r="N859" s="41" t="n">
        <v>113.24</v>
      </c>
      <c r="O859" s="41" t="n">
        <v>4.761904762</v>
      </c>
      <c r="P859" s="41" t="n">
        <v>5.662</v>
      </c>
      <c r="Q859" s="41" t="n">
        <v>8.2</v>
      </c>
    </row>
    <row r="860" customFormat="false" ht="15" hidden="false" customHeight="false" outlineLevel="0" collapsed="false">
      <c r="A860" s="41" t="s">
        <v>1038</v>
      </c>
      <c r="B860" s="41" t="s">
        <v>189</v>
      </c>
      <c r="C860" s="41" t="s">
        <v>86</v>
      </c>
      <c r="D860" s="41" t="s">
        <v>105</v>
      </c>
      <c r="E860" s="41" t="s">
        <v>103</v>
      </c>
      <c r="F860" s="41" t="s">
        <v>81</v>
      </c>
      <c r="G860" s="41" t="n">
        <v>57.59</v>
      </c>
      <c r="H860" s="41" t="n">
        <v>6</v>
      </c>
      <c r="I860" s="41" t="n">
        <v>17.277</v>
      </c>
      <c r="J860" s="41" t="n">
        <v>362.817</v>
      </c>
      <c r="K860" s="41" t="s">
        <v>1288</v>
      </c>
      <c r="L860" s="41" t="s">
        <v>1746</v>
      </c>
      <c r="M860" s="41" t="s">
        <v>97</v>
      </c>
      <c r="N860" s="41" t="n">
        <v>345.54</v>
      </c>
      <c r="O860" s="41" t="n">
        <v>4.761904762</v>
      </c>
      <c r="P860" s="41" t="n">
        <v>17.277</v>
      </c>
      <c r="Q860" s="41" t="n">
        <v>5.1</v>
      </c>
    </row>
    <row r="861" customFormat="false" ht="15" hidden="false" customHeight="false" outlineLevel="0" collapsed="false">
      <c r="A861" s="41" t="s">
        <v>1039</v>
      </c>
      <c r="B861" s="41" t="s">
        <v>178</v>
      </c>
      <c r="C861" s="41" t="s">
        <v>85</v>
      </c>
      <c r="D861" s="41" t="s">
        <v>104</v>
      </c>
      <c r="E861" s="41" t="s">
        <v>102</v>
      </c>
      <c r="F861" s="41" t="s">
        <v>76</v>
      </c>
      <c r="G861" s="41" t="n">
        <v>47.63</v>
      </c>
      <c r="H861" s="41" t="n">
        <v>9</v>
      </c>
      <c r="I861" s="41" t="n">
        <v>21.4335</v>
      </c>
      <c r="J861" s="41" t="n">
        <v>450.1035</v>
      </c>
      <c r="K861" s="41" t="s">
        <v>1319</v>
      </c>
      <c r="L861" s="41" t="s">
        <v>1747</v>
      </c>
      <c r="M861" s="41" t="s">
        <v>97</v>
      </c>
      <c r="N861" s="41" t="n">
        <v>428.67</v>
      </c>
      <c r="O861" s="41" t="n">
        <v>4.761904762</v>
      </c>
      <c r="P861" s="41" t="n">
        <v>21.4335</v>
      </c>
      <c r="Q861" s="41" t="n">
        <v>5</v>
      </c>
    </row>
    <row r="862" customFormat="false" ht="15" hidden="false" customHeight="false" outlineLevel="0" collapsed="false">
      <c r="A862" s="41" t="s">
        <v>1040</v>
      </c>
      <c r="B862" s="41" t="s">
        <v>180</v>
      </c>
      <c r="C862" s="41" t="s">
        <v>87</v>
      </c>
      <c r="D862" s="41" t="s">
        <v>104</v>
      </c>
      <c r="E862" s="41" t="s">
        <v>102</v>
      </c>
      <c r="F862" s="41" t="s">
        <v>80</v>
      </c>
      <c r="G862" s="41" t="n">
        <v>86.27</v>
      </c>
      <c r="H862" s="41" t="n">
        <v>1</v>
      </c>
      <c r="I862" s="41" t="n">
        <v>4.3135</v>
      </c>
      <c r="J862" s="41" t="n">
        <v>90.5835</v>
      </c>
      <c r="K862" s="41" t="s">
        <v>1206</v>
      </c>
      <c r="L862" s="41" t="s">
        <v>1254</v>
      </c>
      <c r="M862" s="41" t="s">
        <v>98</v>
      </c>
      <c r="N862" s="41" t="n">
        <v>86.27</v>
      </c>
      <c r="O862" s="41" t="n">
        <v>4.761904762</v>
      </c>
      <c r="P862" s="41" t="n">
        <v>4.3135</v>
      </c>
      <c r="Q862" s="41" t="n">
        <v>7</v>
      </c>
    </row>
    <row r="863" customFormat="false" ht="15" hidden="false" customHeight="false" outlineLevel="0" collapsed="false">
      <c r="A863" s="41" t="s">
        <v>1041</v>
      </c>
      <c r="B863" s="41" t="s">
        <v>178</v>
      </c>
      <c r="C863" s="41" t="s">
        <v>85</v>
      </c>
      <c r="D863" s="41" t="s">
        <v>104</v>
      </c>
      <c r="E863" s="41" t="s">
        <v>103</v>
      </c>
      <c r="F863" s="41" t="s">
        <v>77</v>
      </c>
      <c r="G863" s="41" t="n">
        <v>12.76</v>
      </c>
      <c r="H863" s="41" t="n">
        <v>2</v>
      </c>
      <c r="I863" s="41" t="n">
        <v>1.276</v>
      </c>
      <c r="J863" s="41" t="n">
        <v>26.796</v>
      </c>
      <c r="K863" s="41" t="s">
        <v>1369</v>
      </c>
      <c r="L863" s="41" t="s">
        <v>1457</v>
      </c>
      <c r="M863" s="41" t="s">
        <v>98</v>
      </c>
      <c r="N863" s="41" t="n">
        <v>25.52</v>
      </c>
      <c r="O863" s="41" t="n">
        <v>4.761904762</v>
      </c>
      <c r="P863" s="41" t="n">
        <v>1.276</v>
      </c>
      <c r="Q863" s="41" t="n">
        <v>7.8</v>
      </c>
    </row>
    <row r="864" customFormat="false" ht="15" hidden="false" customHeight="false" outlineLevel="0" collapsed="false">
      <c r="A864" s="41" t="s">
        <v>1042</v>
      </c>
      <c r="B864" s="41" t="s">
        <v>189</v>
      </c>
      <c r="C864" s="41" t="s">
        <v>86</v>
      </c>
      <c r="D864" s="41" t="s">
        <v>105</v>
      </c>
      <c r="E864" s="41" t="s">
        <v>102</v>
      </c>
      <c r="F864" s="41" t="s">
        <v>80</v>
      </c>
      <c r="G864" s="41" t="n">
        <v>11.28</v>
      </c>
      <c r="H864" s="41" t="n">
        <v>9</v>
      </c>
      <c r="I864" s="41" t="n">
        <v>5.076</v>
      </c>
      <c r="J864" s="41" t="n">
        <v>106.596</v>
      </c>
      <c r="K864" s="41" t="s">
        <v>1486</v>
      </c>
      <c r="L864" s="41" t="s">
        <v>1748</v>
      </c>
      <c r="M864" s="41" t="s">
        <v>99</v>
      </c>
      <c r="N864" s="41" t="n">
        <v>101.52</v>
      </c>
      <c r="O864" s="41" t="n">
        <v>4.761904762</v>
      </c>
      <c r="P864" s="41" t="n">
        <v>5.076</v>
      </c>
      <c r="Q864" s="41" t="n">
        <v>4.3</v>
      </c>
    </row>
    <row r="865" customFormat="false" ht="15" hidden="false" customHeight="false" outlineLevel="0" collapsed="false">
      <c r="A865" s="41" t="s">
        <v>1043</v>
      </c>
      <c r="B865" s="41" t="s">
        <v>189</v>
      </c>
      <c r="C865" s="41" t="s">
        <v>86</v>
      </c>
      <c r="D865" s="41" t="s">
        <v>105</v>
      </c>
      <c r="E865" s="41" t="s">
        <v>102</v>
      </c>
      <c r="F865" s="41" t="s">
        <v>80</v>
      </c>
      <c r="G865" s="41" t="n">
        <v>51.07</v>
      </c>
      <c r="H865" s="41" t="n">
        <v>7</v>
      </c>
      <c r="I865" s="41" t="n">
        <v>17.8745</v>
      </c>
      <c r="J865" s="41" t="n">
        <v>375.3645</v>
      </c>
      <c r="K865" s="41" t="s">
        <v>1313</v>
      </c>
      <c r="L865" s="41" t="s">
        <v>1707</v>
      </c>
      <c r="M865" s="41" t="s">
        <v>97</v>
      </c>
      <c r="N865" s="41" t="n">
        <v>357.49</v>
      </c>
      <c r="O865" s="41" t="n">
        <v>4.761904762</v>
      </c>
      <c r="P865" s="41" t="n">
        <v>17.8745</v>
      </c>
      <c r="Q865" s="41" t="n">
        <v>7</v>
      </c>
    </row>
    <row r="866" customFormat="false" ht="15" hidden="false" customHeight="false" outlineLevel="0" collapsed="false">
      <c r="A866" s="41" t="s">
        <v>1044</v>
      </c>
      <c r="B866" s="41" t="s">
        <v>178</v>
      </c>
      <c r="C866" s="41" t="s">
        <v>85</v>
      </c>
      <c r="D866" s="41" t="s">
        <v>104</v>
      </c>
      <c r="E866" s="41" t="s">
        <v>102</v>
      </c>
      <c r="F866" s="41" t="s">
        <v>78</v>
      </c>
      <c r="G866" s="41" t="n">
        <v>79.59</v>
      </c>
      <c r="H866" s="41" t="n">
        <v>3</v>
      </c>
      <c r="I866" s="41" t="n">
        <v>11.9385</v>
      </c>
      <c r="J866" s="41" t="n">
        <v>250.7085</v>
      </c>
      <c r="K866" s="41" t="s">
        <v>1369</v>
      </c>
      <c r="L866" s="41" t="s">
        <v>1351</v>
      </c>
      <c r="M866" s="41" t="s">
        <v>97</v>
      </c>
      <c r="N866" s="41" t="n">
        <v>238.77</v>
      </c>
      <c r="O866" s="41" t="n">
        <v>4.761904762</v>
      </c>
      <c r="P866" s="41" t="n">
        <v>11.9385</v>
      </c>
      <c r="Q866" s="41" t="n">
        <v>6.6</v>
      </c>
    </row>
    <row r="867" customFormat="false" ht="15" hidden="false" customHeight="false" outlineLevel="0" collapsed="false">
      <c r="A867" s="41" t="s">
        <v>1045</v>
      </c>
      <c r="B867" s="41" t="s">
        <v>180</v>
      </c>
      <c r="C867" s="41" t="s">
        <v>87</v>
      </c>
      <c r="D867" s="41" t="s">
        <v>104</v>
      </c>
      <c r="E867" s="41" t="s">
        <v>103</v>
      </c>
      <c r="F867" s="41" t="s">
        <v>81</v>
      </c>
      <c r="G867" s="41" t="n">
        <v>33.81</v>
      </c>
      <c r="H867" s="41" t="n">
        <v>3</v>
      </c>
      <c r="I867" s="41" t="n">
        <v>5.0715</v>
      </c>
      <c r="J867" s="41" t="n">
        <v>106.5015</v>
      </c>
      <c r="K867" s="41" t="s">
        <v>1317</v>
      </c>
      <c r="L867" s="41" t="s">
        <v>1749</v>
      </c>
      <c r="M867" s="41" t="s">
        <v>98</v>
      </c>
      <c r="N867" s="41" t="n">
        <v>101.43</v>
      </c>
      <c r="O867" s="41" t="n">
        <v>4.761904762</v>
      </c>
      <c r="P867" s="41" t="n">
        <v>5.0715</v>
      </c>
      <c r="Q867" s="41" t="n">
        <v>7.3</v>
      </c>
    </row>
    <row r="868" customFormat="false" ht="15" hidden="false" customHeight="false" outlineLevel="0" collapsed="false">
      <c r="A868" s="41" t="s">
        <v>1046</v>
      </c>
      <c r="B868" s="41" t="s">
        <v>189</v>
      </c>
      <c r="C868" s="41" t="s">
        <v>86</v>
      </c>
      <c r="D868" s="41" t="s">
        <v>104</v>
      </c>
      <c r="E868" s="41" t="s">
        <v>103</v>
      </c>
      <c r="F868" s="41" t="s">
        <v>77</v>
      </c>
      <c r="G868" s="41" t="n">
        <v>90.53</v>
      </c>
      <c r="H868" s="41" t="n">
        <v>8</v>
      </c>
      <c r="I868" s="41" t="n">
        <v>36.212</v>
      </c>
      <c r="J868" s="41" t="n">
        <v>760.452</v>
      </c>
      <c r="K868" s="41" t="s">
        <v>1229</v>
      </c>
      <c r="L868" s="41" t="s">
        <v>1750</v>
      </c>
      <c r="M868" s="41" t="s">
        <v>99</v>
      </c>
      <c r="N868" s="41" t="n">
        <v>724.24</v>
      </c>
      <c r="O868" s="41" t="n">
        <v>4.761904762</v>
      </c>
      <c r="P868" s="41" t="n">
        <v>36.212</v>
      </c>
      <c r="Q868" s="41" t="n">
        <v>6.5</v>
      </c>
    </row>
    <row r="869" customFormat="false" ht="15" hidden="false" customHeight="false" outlineLevel="0" collapsed="false">
      <c r="A869" s="41" t="s">
        <v>1047</v>
      </c>
      <c r="B869" s="41" t="s">
        <v>180</v>
      </c>
      <c r="C869" s="41" t="s">
        <v>87</v>
      </c>
      <c r="D869" s="41" t="s">
        <v>104</v>
      </c>
      <c r="E869" s="41" t="s">
        <v>102</v>
      </c>
      <c r="F869" s="41" t="s">
        <v>81</v>
      </c>
      <c r="G869" s="41" t="n">
        <v>62.82</v>
      </c>
      <c r="H869" s="41" t="n">
        <v>2</v>
      </c>
      <c r="I869" s="41" t="n">
        <v>6.282</v>
      </c>
      <c r="J869" s="41" t="n">
        <v>131.922</v>
      </c>
      <c r="K869" s="41" t="s">
        <v>1256</v>
      </c>
      <c r="L869" s="41" t="s">
        <v>1751</v>
      </c>
      <c r="M869" s="41" t="s">
        <v>98</v>
      </c>
      <c r="N869" s="41" t="n">
        <v>125.64</v>
      </c>
      <c r="O869" s="41" t="n">
        <v>4.761904762</v>
      </c>
      <c r="P869" s="41" t="n">
        <v>6.282</v>
      </c>
      <c r="Q869" s="41" t="n">
        <v>4.9</v>
      </c>
    </row>
    <row r="870" customFormat="false" ht="15" hidden="false" customHeight="false" outlineLevel="0" collapsed="false">
      <c r="A870" s="41" t="s">
        <v>1048</v>
      </c>
      <c r="B870" s="41" t="s">
        <v>180</v>
      </c>
      <c r="C870" s="41" t="s">
        <v>87</v>
      </c>
      <c r="D870" s="41" t="s">
        <v>104</v>
      </c>
      <c r="E870" s="41" t="s">
        <v>103</v>
      </c>
      <c r="F870" s="41" t="s">
        <v>76</v>
      </c>
      <c r="G870" s="41" t="n">
        <v>24.31</v>
      </c>
      <c r="H870" s="41" t="n">
        <v>3</v>
      </c>
      <c r="I870" s="41" t="n">
        <v>3.6465</v>
      </c>
      <c r="J870" s="41" t="n">
        <v>76.5765</v>
      </c>
      <c r="K870" s="41" t="s">
        <v>1369</v>
      </c>
      <c r="L870" s="41" t="s">
        <v>1537</v>
      </c>
      <c r="M870" s="41" t="s">
        <v>99</v>
      </c>
      <c r="N870" s="41" t="n">
        <v>72.93</v>
      </c>
      <c r="O870" s="41" t="n">
        <v>4.761904762</v>
      </c>
      <c r="P870" s="41" t="n">
        <v>3.6465</v>
      </c>
      <c r="Q870" s="41" t="n">
        <v>4.3</v>
      </c>
    </row>
    <row r="871" customFormat="false" ht="15" hidden="false" customHeight="false" outlineLevel="0" collapsed="false">
      <c r="A871" s="41" t="s">
        <v>1049</v>
      </c>
      <c r="B871" s="41" t="s">
        <v>178</v>
      </c>
      <c r="C871" s="41" t="s">
        <v>85</v>
      </c>
      <c r="D871" s="41" t="s">
        <v>105</v>
      </c>
      <c r="E871" s="41" t="s">
        <v>103</v>
      </c>
      <c r="F871" s="41" t="s">
        <v>77</v>
      </c>
      <c r="G871" s="41" t="n">
        <v>64.59</v>
      </c>
      <c r="H871" s="41" t="n">
        <v>4</v>
      </c>
      <c r="I871" s="41" t="n">
        <v>12.918</v>
      </c>
      <c r="J871" s="41" t="n">
        <v>271.278</v>
      </c>
      <c r="K871" s="41" t="s">
        <v>1303</v>
      </c>
      <c r="L871" s="41" t="s">
        <v>1752</v>
      </c>
      <c r="M871" s="41" t="s">
        <v>98</v>
      </c>
      <c r="N871" s="41" t="n">
        <v>258.36</v>
      </c>
      <c r="O871" s="41" t="n">
        <v>4.761904762</v>
      </c>
      <c r="P871" s="41" t="n">
        <v>12.918</v>
      </c>
      <c r="Q871" s="41" t="n">
        <v>9.3</v>
      </c>
    </row>
    <row r="872" customFormat="false" ht="15" hidden="false" customHeight="false" outlineLevel="0" collapsed="false">
      <c r="A872" s="41" t="s">
        <v>1050</v>
      </c>
      <c r="B872" s="41" t="s">
        <v>178</v>
      </c>
      <c r="C872" s="41" t="s">
        <v>85</v>
      </c>
      <c r="D872" s="41" t="s">
        <v>104</v>
      </c>
      <c r="E872" s="41" t="s">
        <v>103</v>
      </c>
      <c r="F872" s="41" t="s">
        <v>76</v>
      </c>
      <c r="G872" s="41" t="n">
        <v>24.82</v>
      </c>
      <c r="H872" s="41" t="n">
        <v>7</v>
      </c>
      <c r="I872" s="41" t="n">
        <v>8.687</v>
      </c>
      <c r="J872" s="41" t="n">
        <v>182.427</v>
      </c>
      <c r="K872" s="41" t="s">
        <v>1381</v>
      </c>
      <c r="L872" s="41" t="s">
        <v>1644</v>
      </c>
      <c r="M872" s="41" t="s">
        <v>99</v>
      </c>
      <c r="N872" s="41" t="n">
        <v>173.74</v>
      </c>
      <c r="O872" s="41" t="n">
        <v>4.761904762</v>
      </c>
      <c r="P872" s="41" t="n">
        <v>8.687</v>
      </c>
      <c r="Q872" s="41" t="n">
        <v>7.1</v>
      </c>
    </row>
    <row r="873" customFormat="false" ht="15" hidden="false" customHeight="false" outlineLevel="0" collapsed="false">
      <c r="A873" s="41" t="s">
        <v>1051</v>
      </c>
      <c r="B873" s="41" t="s">
        <v>180</v>
      </c>
      <c r="C873" s="41" t="s">
        <v>87</v>
      </c>
      <c r="D873" s="41" t="s">
        <v>105</v>
      </c>
      <c r="E873" s="41" t="s">
        <v>103</v>
      </c>
      <c r="F873" s="41" t="s">
        <v>79</v>
      </c>
      <c r="G873" s="41" t="n">
        <v>56.5</v>
      </c>
      <c r="H873" s="41" t="n">
        <v>1</v>
      </c>
      <c r="I873" s="41" t="n">
        <v>2.825</v>
      </c>
      <c r="J873" s="41" t="n">
        <v>59.325</v>
      </c>
      <c r="K873" s="41" t="s">
        <v>1296</v>
      </c>
      <c r="L873" s="41" t="s">
        <v>1753</v>
      </c>
      <c r="M873" s="41" t="s">
        <v>98</v>
      </c>
      <c r="N873" s="41" t="n">
        <v>56.5</v>
      </c>
      <c r="O873" s="41" t="n">
        <v>4.761904762</v>
      </c>
      <c r="P873" s="41" t="n">
        <v>2.825</v>
      </c>
      <c r="Q873" s="41" t="n">
        <v>9.6</v>
      </c>
    </row>
    <row r="874" customFormat="false" ht="15" hidden="false" customHeight="false" outlineLevel="0" collapsed="false">
      <c r="A874" s="41" t="s">
        <v>1052</v>
      </c>
      <c r="B874" s="41" t="s">
        <v>189</v>
      </c>
      <c r="C874" s="41" t="s">
        <v>86</v>
      </c>
      <c r="D874" s="41" t="s">
        <v>104</v>
      </c>
      <c r="E874" s="41" t="s">
        <v>102</v>
      </c>
      <c r="F874" s="41" t="s">
        <v>78</v>
      </c>
      <c r="G874" s="41" t="n">
        <v>21.43</v>
      </c>
      <c r="H874" s="41" t="n">
        <v>10</v>
      </c>
      <c r="I874" s="41" t="n">
        <v>10.715</v>
      </c>
      <c r="J874" s="41" t="n">
        <v>225.015</v>
      </c>
      <c r="K874" s="41" t="s">
        <v>1244</v>
      </c>
      <c r="L874" s="41" t="s">
        <v>1422</v>
      </c>
      <c r="M874" s="41" t="s">
        <v>97</v>
      </c>
      <c r="N874" s="41" t="n">
        <v>214.3</v>
      </c>
      <c r="O874" s="41" t="n">
        <v>4.761904762</v>
      </c>
      <c r="P874" s="41" t="n">
        <v>10.715</v>
      </c>
      <c r="Q874" s="41" t="n">
        <v>6.2</v>
      </c>
    </row>
    <row r="875" customFormat="false" ht="15" hidden="false" customHeight="false" outlineLevel="0" collapsed="false">
      <c r="A875" s="41" t="s">
        <v>1053</v>
      </c>
      <c r="B875" s="41" t="s">
        <v>178</v>
      </c>
      <c r="C875" s="41" t="s">
        <v>85</v>
      </c>
      <c r="D875" s="41" t="s">
        <v>104</v>
      </c>
      <c r="E875" s="41" t="s">
        <v>103</v>
      </c>
      <c r="F875" s="41" t="s">
        <v>77</v>
      </c>
      <c r="G875" s="41" t="n">
        <v>89.06</v>
      </c>
      <c r="H875" s="41" t="n">
        <v>6</v>
      </c>
      <c r="I875" s="41" t="n">
        <v>26.718</v>
      </c>
      <c r="J875" s="41" t="n">
        <v>561.078</v>
      </c>
      <c r="K875" s="41" t="s">
        <v>1378</v>
      </c>
      <c r="L875" s="41" t="s">
        <v>1364</v>
      </c>
      <c r="M875" s="41" t="s">
        <v>97</v>
      </c>
      <c r="N875" s="41" t="n">
        <v>534.36</v>
      </c>
      <c r="O875" s="41" t="n">
        <v>4.761904762</v>
      </c>
      <c r="P875" s="41" t="n">
        <v>26.718</v>
      </c>
      <c r="Q875" s="41" t="n">
        <v>9.9</v>
      </c>
    </row>
    <row r="876" customFormat="false" ht="15" hidden="false" customHeight="false" outlineLevel="0" collapsed="false">
      <c r="A876" s="41" t="s">
        <v>1054</v>
      </c>
      <c r="B876" s="41" t="s">
        <v>178</v>
      </c>
      <c r="C876" s="41" t="s">
        <v>85</v>
      </c>
      <c r="D876" s="41" t="s">
        <v>104</v>
      </c>
      <c r="E876" s="41" t="s">
        <v>103</v>
      </c>
      <c r="F876" s="41" t="s">
        <v>80</v>
      </c>
      <c r="G876" s="41" t="n">
        <v>23.29</v>
      </c>
      <c r="H876" s="41" t="n">
        <v>4</v>
      </c>
      <c r="I876" s="41" t="n">
        <v>4.658</v>
      </c>
      <c r="J876" s="41" t="n">
        <v>97.818</v>
      </c>
      <c r="K876" s="41" t="s">
        <v>1270</v>
      </c>
      <c r="L876" s="41" t="s">
        <v>1678</v>
      </c>
      <c r="M876" s="41" t="s">
        <v>99</v>
      </c>
      <c r="N876" s="41" t="n">
        <v>93.16</v>
      </c>
      <c r="O876" s="41" t="n">
        <v>4.761904762</v>
      </c>
      <c r="P876" s="41" t="n">
        <v>4.658</v>
      </c>
      <c r="Q876" s="41" t="n">
        <v>5.9</v>
      </c>
    </row>
    <row r="877" customFormat="false" ht="15" hidden="false" customHeight="false" outlineLevel="0" collapsed="false">
      <c r="A877" s="41" t="s">
        <v>1055</v>
      </c>
      <c r="B877" s="41" t="s">
        <v>180</v>
      </c>
      <c r="C877" s="41" t="s">
        <v>87</v>
      </c>
      <c r="D877" s="41" t="s">
        <v>105</v>
      </c>
      <c r="E877" s="41" t="s">
        <v>103</v>
      </c>
      <c r="F877" s="41" t="s">
        <v>80</v>
      </c>
      <c r="G877" s="41" t="n">
        <v>65.26</v>
      </c>
      <c r="H877" s="41" t="n">
        <v>8</v>
      </c>
      <c r="I877" s="41" t="n">
        <v>26.104</v>
      </c>
      <c r="J877" s="41" t="n">
        <v>548.184</v>
      </c>
      <c r="K877" s="41" t="s">
        <v>1229</v>
      </c>
      <c r="L877" s="41" t="s">
        <v>1482</v>
      </c>
      <c r="M877" s="41" t="s">
        <v>98</v>
      </c>
      <c r="N877" s="41" t="n">
        <v>522.08</v>
      </c>
      <c r="O877" s="41" t="n">
        <v>4.761904762</v>
      </c>
      <c r="P877" s="41" t="n">
        <v>26.104</v>
      </c>
      <c r="Q877" s="41" t="n">
        <v>6.3</v>
      </c>
    </row>
    <row r="878" customFormat="false" ht="15" hidden="false" customHeight="false" outlineLevel="0" collapsed="false">
      <c r="A878" s="41" t="s">
        <v>1056</v>
      </c>
      <c r="B878" s="41" t="s">
        <v>180</v>
      </c>
      <c r="C878" s="41" t="s">
        <v>87</v>
      </c>
      <c r="D878" s="41" t="s">
        <v>104</v>
      </c>
      <c r="E878" s="41" t="s">
        <v>103</v>
      </c>
      <c r="F878" s="41" t="s">
        <v>79</v>
      </c>
      <c r="G878" s="41" t="n">
        <v>52.35</v>
      </c>
      <c r="H878" s="41" t="n">
        <v>1</v>
      </c>
      <c r="I878" s="41" t="n">
        <v>2.6175</v>
      </c>
      <c r="J878" s="41" t="n">
        <v>54.9675</v>
      </c>
      <c r="K878" s="41" t="s">
        <v>1212</v>
      </c>
      <c r="L878" s="41" t="s">
        <v>1708</v>
      </c>
      <c r="M878" s="41" t="s">
        <v>97</v>
      </c>
      <c r="N878" s="41" t="n">
        <v>52.35</v>
      </c>
      <c r="O878" s="41" t="n">
        <v>4.761904762</v>
      </c>
      <c r="P878" s="41" t="n">
        <v>2.6175</v>
      </c>
      <c r="Q878" s="41" t="n">
        <v>4</v>
      </c>
    </row>
    <row r="879" customFormat="false" ht="15" hidden="false" customHeight="false" outlineLevel="0" collapsed="false">
      <c r="A879" s="41" t="s">
        <v>1057</v>
      </c>
      <c r="B879" s="41" t="s">
        <v>189</v>
      </c>
      <c r="C879" s="41" t="s">
        <v>86</v>
      </c>
      <c r="D879" s="41" t="s">
        <v>104</v>
      </c>
      <c r="E879" s="41" t="s">
        <v>103</v>
      </c>
      <c r="F879" s="41" t="s">
        <v>78</v>
      </c>
      <c r="G879" s="41" t="n">
        <v>39.75</v>
      </c>
      <c r="H879" s="41" t="n">
        <v>1</v>
      </c>
      <c r="I879" s="41" t="n">
        <v>1.9875</v>
      </c>
      <c r="J879" s="41" t="n">
        <v>41.7375</v>
      </c>
      <c r="K879" s="41" t="s">
        <v>1200</v>
      </c>
      <c r="L879" s="41" t="s">
        <v>1348</v>
      </c>
      <c r="M879" s="41" t="s">
        <v>97</v>
      </c>
      <c r="N879" s="41" t="n">
        <v>39.75</v>
      </c>
      <c r="O879" s="41" t="n">
        <v>4.761904762</v>
      </c>
      <c r="P879" s="41" t="n">
        <v>1.9875</v>
      </c>
      <c r="Q879" s="41" t="n">
        <v>6.1</v>
      </c>
    </row>
    <row r="880" customFormat="false" ht="15" hidden="false" customHeight="false" outlineLevel="0" collapsed="false">
      <c r="A880" s="41" t="s">
        <v>1058</v>
      </c>
      <c r="B880" s="41" t="s">
        <v>178</v>
      </c>
      <c r="C880" s="41" t="s">
        <v>85</v>
      </c>
      <c r="D880" s="41" t="s">
        <v>105</v>
      </c>
      <c r="E880" s="41" t="s">
        <v>102</v>
      </c>
      <c r="F880" s="41" t="s">
        <v>78</v>
      </c>
      <c r="G880" s="41" t="n">
        <v>90.02</v>
      </c>
      <c r="H880" s="41" t="n">
        <v>8</v>
      </c>
      <c r="I880" s="41" t="n">
        <v>36.008</v>
      </c>
      <c r="J880" s="41" t="n">
        <v>756.168</v>
      </c>
      <c r="K880" s="41" t="s">
        <v>1416</v>
      </c>
      <c r="L880" s="41" t="s">
        <v>1665</v>
      </c>
      <c r="M880" s="41" t="s">
        <v>99</v>
      </c>
      <c r="N880" s="41" t="n">
        <v>720.16</v>
      </c>
      <c r="O880" s="41" t="n">
        <v>4.761904762</v>
      </c>
      <c r="P880" s="41" t="n">
        <v>36.008</v>
      </c>
      <c r="Q880" s="41" t="n">
        <v>4.5</v>
      </c>
    </row>
    <row r="881" customFormat="false" ht="15" hidden="false" customHeight="false" outlineLevel="0" collapsed="false">
      <c r="A881" s="41" t="s">
        <v>1059</v>
      </c>
      <c r="B881" s="41" t="s">
        <v>189</v>
      </c>
      <c r="C881" s="41" t="s">
        <v>86</v>
      </c>
      <c r="D881" s="41" t="s">
        <v>104</v>
      </c>
      <c r="E881" s="41" t="s">
        <v>102</v>
      </c>
      <c r="F881" s="41" t="s">
        <v>78</v>
      </c>
      <c r="G881" s="41" t="n">
        <v>12.1</v>
      </c>
      <c r="H881" s="41" t="n">
        <v>8</v>
      </c>
      <c r="I881" s="41" t="n">
        <v>4.84</v>
      </c>
      <c r="J881" s="41" t="n">
        <v>101.64</v>
      </c>
      <c r="K881" s="41" t="s">
        <v>1356</v>
      </c>
      <c r="L881" s="41" t="s">
        <v>1322</v>
      </c>
      <c r="M881" s="41" t="s">
        <v>98</v>
      </c>
      <c r="N881" s="41" t="n">
        <v>96.8</v>
      </c>
      <c r="O881" s="41" t="n">
        <v>4.761904762</v>
      </c>
      <c r="P881" s="41" t="n">
        <v>4.84</v>
      </c>
      <c r="Q881" s="41" t="n">
        <v>8.6</v>
      </c>
    </row>
    <row r="882" customFormat="false" ht="15" hidden="false" customHeight="false" outlineLevel="0" collapsed="false">
      <c r="A882" s="41" t="s">
        <v>1060</v>
      </c>
      <c r="B882" s="41" t="s">
        <v>189</v>
      </c>
      <c r="C882" s="41" t="s">
        <v>86</v>
      </c>
      <c r="D882" s="41" t="s">
        <v>104</v>
      </c>
      <c r="E882" s="41" t="s">
        <v>102</v>
      </c>
      <c r="F882" s="41" t="s">
        <v>76</v>
      </c>
      <c r="G882" s="41" t="n">
        <v>33.21</v>
      </c>
      <c r="H882" s="41" t="n">
        <v>10</v>
      </c>
      <c r="I882" s="41" t="n">
        <v>16.605</v>
      </c>
      <c r="J882" s="41" t="n">
        <v>348.705</v>
      </c>
      <c r="K882" s="41" t="s">
        <v>1369</v>
      </c>
      <c r="L882" s="41" t="s">
        <v>1754</v>
      </c>
      <c r="M882" s="41" t="s">
        <v>98</v>
      </c>
      <c r="N882" s="41" t="n">
        <v>332.1</v>
      </c>
      <c r="O882" s="41" t="n">
        <v>4.761904762</v>
      </c>
      <c r="P882" s="41" t="n">
        <v>16.605</v>
      </c>
      <c r="Q882" s="41" t="n">
        <v>6</v>
      </c>
    </row>
    <row r="883" customFormat="false" ht="15" hidden="false" customHeight="false" outlineLevel="0" collapsed="false">
      <c r="A883" s="41" t="s">
        <v>1061</v>
      </c>
      <c r="B883" s="41" t="s">
        <v>180</v>
      </c>
      <c r="C883" s="41" t="s">
        <v>87</v>
      </c>
      <c r="D883" s="41" t="s">
        <v>104</v>
      </c>
      <c r="E883" s="41" t="s">
        <v>102</v>
      </c>
      <c r="F883" s="41" t="s">
        <v>79</v>
      </c>
      <c r="G883" s="41" t="n">
        <v>10.18</v>
      </c>
      <c r="H883" s="41" t="n">
        <v>8</v>
      </c>
      <c r="I883" s="41" t="n">
        <v>4.072</v>
      </c>
      <c r="J883" s="41" t="n">
        <v>85.512</v>
      </c>
      <c r="K883" s="41" t="s">
        <v>1399</v>
      </c>
      <c r="L883" s="41" t="s">
        <v>1693</v>
      </c>
      <c r="M883" s="41" t="s">
        <v>99</v>
      </c>
      <c r="N883" s="41" t="n">
        <v>81.44</v>
      </c>
      <c r="O883" s="41" t="n">
        <v>4.761904762</v>
      </c>
      <c r="P883" s="41" t="n">
        <v>4.072</v>
      </c>
      <c r="Q883" s="41" t="n">
        <v>9.5</v>
      </c>
    </row>
    <row r="884" customFormat="false" ht="15" hidden="false" customHeight="false" outlineLevel="0" collapsed="false">
      <c r="A884" s="41" t="s">
        <v>1062</v>
      </c>
      <c r="B884" s="41" t="s">
        <v>189</v>
      </c>
      <c r="C884" s="41" t="s">
        <v>86</v>
      </c>
      <c r="D884" s="41" t="s">
        <v>104</v>
      </c>
      <c r="E884" s="41" t="s">
        <v>103</v>
      </c>
      <c r="F884" s="41" t="s">
        <v>77</v>
      </c>
      <c r="G884" s="41" t="n">
        <v>31.99</v>
      </c>
      <c r="H884" s="41" t="n">
        <v>10</v>
      </c>
      <c r="I884" s="41" t="n">
        <v>15.995</v>
      </c>
      <c r="J884" s="41" t="n">
        <v>335.895</v>
      </c>
      <c r="K884" s="41" t="s">
        <v>1206</v>
      </c>
      <c r="L884" s="41" t="s">
        <v>1755</v>
      </c>
      <c r="M884" s="41" t="s">
        <v>99</v>
      </c>
      <c r="N884" s="41" t="n">
        <v>319.9</v>
      </c>
      <c r="O884" s="41" t="n">
        <v>4.761904762</v>
      </c>
      <c r="P884" s="41" t="n">
        <v>15.995</v>
      </c>
      <c r="Q884" s="41" t="n">
        <v>9.9</v>
      </c>
    </row>
    <row r="885" customFormat="false" ht="15" hidden="false" customHeight="false" outlineLevel="0" collapsed="false">
      <c r="A885" s="41" t="s">
        <v>1063</v>
      </c>
      <c r="B885" s="41" t="s">
        <v>178</v>
      </c>
      <c r="C885" s="41" t="s">
        <v>85</v>
      </c>
      <c r="D885" s="41" t="s">
        <v>104</v>
      </c>
      <c r="E885" s="41" t="s">
        <v>102</v>
      </c>
      <c r="F885" s="41" t="s">
        <v>80</v>
      </c>
      <c r="G885" s="41" t="n">
        <v>34.42</v>
      </c>
      <c r="H885" s="41" t="n">
        <v>6</v>
      </c>
      <c r="I885" s="41" t="n">
        <v>10.326</v>
      </c>
      <c r="J885" s="41" t="n">
        <v>216.846</v>
      </c>
      <c r="K885" s="41" t="s">
        <v>1399</v>
      </c>
      <c r="L885" s="41" t="s">
        <v>1269</v>
      </c>
      <c r="M885" s="41" t="s">
        <v>98</v>
      </c>
      <c r="N885" s="41" t="n">
        <v>206.52</v>
      </c>
      <c r="O885" s="41" t="n">
        <v>4.761904762</v>
      </c>
      <c r="P885" s="41" t="n">
        <v>10.326</v>
      </c>
      <c r="Q885" s="41" t="n">
        <v>7.5</v>
      </c>
    </row>
    <row r="886" customFormat="false" ht="15" hidden="false" customHeight="false" outlineLevel="0" collapsed="false">
      <c r="A886" s="41" t="s">
        <v>1064</v>
      </c>
      <c r="B886" s="41" t="s">
        <v>178</v>
      </c>
      <c r="C886" s="41" t="s">
        <v>85</v>
      </c>
      <c r="D886" s="41" t="s">
        <v>104</v>
      </c>
      <c r="E886" s="41" t="s">
        <v>102</v>
      </c>
      <c r="F886" s="41" t="s">
        <v>76</v>
      </c>
      <c r="G886" s="41" t="n">
        <v>83.34</v>
      </c>
      <c r="H886" s="41" t="n">
        <v>2</v>
      </c>
      <c r="I886" s="41" t="n">
        <v>8.334</v>
      </c>
      <c r="J886" s="41" t="n">
        <v>175.014</v>
      </c>
      <c r="K886" s="41" t="s">
        <v>1270</v>
      </c>
      <c r="L886" s="41" t="s">
        <v>1574</v>
      </c>
      <c r="M886" s="41" t="s">
        <v>97</v>
      </c>
      <c r="N886" s="41" t="n">
        <v>166.68</v>
      </c>
      <c r="O886" s="41" t="n">
        <v>4.761904762</v>
      </c>
      <c r="P886" s="41" t="n">
        <v>8.334</v>
      </c>
      <c r="Q886" s="41" t="n">
        <v>7.6</v>
      </c>
    </row>
    <row r="887" customFormat="false" ht="15" hidden="false" customHeight="false" outlineLevel="0" collapsed="false">
      <c r="A887" s="41" t="s">
        <v>1065</v>
      </c>
      <c r="B887" s="41" t="s">
        <v>178</v>
      </c>
      <c r="C887" s="41" t="s">
        <v>85</v>
      </c>
      <c r="D887" s="41" t="s">
        <v>105</v>
      </c>
      <c r="E887" s="41" t="s">
        <v>103</v>
      </c>
      <c r="F887" s="41" t="s">
        <v>77</v>
      </c>
      <c r="G887" s="41" t="n">
        <v>45.58</v>
      </c>
      <c r="H887" s="41" t="n">
        <v>7</v>
      </c>
      <c r="I887" s="41" t="n">
        <v>15.953</v>
      </c>
      <c r="J887" s="41" t="n">
        <v>335.013</v>
      </c>
      <c r="K887" s="41" t="s">
        <v>1309</v>
      </c>
      <c r="L887" s="41" t="s">
        <v>1756</v>
      </c>
      <c r="M887" s="41" t="s">
        <v>97</v>
      </c>
      <c r="N887" s="41" t="n">
        <v>319.06</v>
      </c>
      <c r="O887" s="41" t="n">
        <v>4.761904762</v>
      </c>
      <c r="P887" s="41" t="n">
        <v>15.953</v>
      </c>
      <c r="Q887" s="41" t="n">
        <v>5</v>
      </c>
    </row>
    <row r="888" customFormat="false" ht="15" hidden="false" customHeight="false" outlineLevel="0" collapsed="false">
      <c r="A888" s="41" t="s">
        <v>1066</v>
      </c>
      <c r="B888" s="41" t="s">
        <v>178</v>
      </c>
      <c r="C888" s="41" t="s">
        <v>85</v>
      </c>
      <c r="D888" s="41" t="s">
        <v>104</v>
      </c>
      <c r="E888" s="41" t="s">
        <v>103</v>
      </c>
      <c r="F888" s="41" t="s">
        <v>76</v>
      </c>
      <c r="G888" s="41" t="n">
        <v>87.9</v>
      </c>
      <c r="H888" s="41" t="n">
        <v>1</v>
      </c>
      <c r="I888" s="41" t="n">
        <v>4.395</v>
      </c>
      <c r="J888" s="41" t="n">
        <v>92.295</v>
      </c>
      <c r="K888" s="41" t="s">
        <v>1352</v>
      </c>
      <c r="L888" s="41" t="s">
        <v>1405</v>
      </c>
      <c r="M888" s="41" t="s">
        <v>98</v>
      </c>
      <c r="N888" s="41" t="n">
        <v>87.9</v>
      </c>
      <c r="O888" s="41" t="n">
        <v>4.761904762</v>
      </c>
      <c r="P888" s="41" t="n">
        <v>4.395</v>
      </c>
      <c r="Q888" s="41" t="n">
        <v>6.7</v>
      </c>
    </row>
    <row r="889" customFormat="false" ht="15" hidden="false" customHeight="false" outlineLevel="0" collapsed="false">
      <c r="A889" s="41" t="s">
        <v>1067</v>
      </c>
      <c r="B889" s="41" t="s">
        <v>178</v>
      </c>
      <c r="C889" s="41" t="s">
        <v>85</v>
      </c>
      <c r="D889" s="41" t="s">
        <v>104</v>
      </c>
      <c r="E889" s="41" t="s">
        <v>102</v>
      </c>
      <c r="F889" s="41" t="s">
        <v>78</v>
      </c>
      <c r="G889" s="41" t="n">
        <v>73.47</v>
      </c>
      <c r="H889" s="41" t="n">
        <v>10</v>
      </c>
      <c r="I889" s="41" t="n">
        <v>36.735</v>
      </c>
      <c r="J889" s="41" t="n">
        <v>771.435</v>
      </c>
      <c r="K889" s="41" t="s">
        <v>1253</v>
      </c>
      <c r="L889" s="41" t="s">
        <v>1757</v>
      </c>
      <c r="M889" s="41" t="s">
        <v>98</v>
      </c>
      <c r="N889" s="41" t="n">
        <v>734.7</v>
      </c>
      <c r="O889" s="41" t="n">
        <v>4.761904762</v>
      </c>
      <c r="P889" s="41" t="n">
        <v>36.735</v>
      </c>
      <c r="Q889" s="41" t="n">
        <v>9.5</v>
      </c>
    </row>
    <row r="890" customFormat="false" ht="15" hidden="false" customHeight="false" outlineLevel="0" collapsed="false">
      <c r="A890" s="41" t="s">
        <v>1068</v>
      </c>
      <c r="B890" s="41" t="s">
        <v>180</v>
      </c>
      <c r="C890" s="41" t="s">
        <v>87</v>
      </c>
      <c r="D890" s="41" t="s">
        <v>105</v>
      </c>
      <c r="E890" s="41" t="s">
        <v>102</v>
      </c>
      <c r="F890" s="41" t="s">
        <v>79</v>
      </c>
      <c r="G890" s="41" t="n">
        <v>12.19</v>
      </c>
      <c r="H890" s="41" t="n">
        <v>8</v>
      </c>
      <c r="I890" s="41" t="n">
        <v>4.876</v>
      </c>
      <c r="J890" s="41" t="n">
        <v>102.396</v>
      </c>
      <c r="K890" s="41" t="s">
        <v>1296</v>
      </c>
      <c r="L890" s="41" t="s">
        <v>1703</v>
      </c>
      <c r="M890" s="41" t="s">
        <v>98</v>
      </c>
      <c r="N890" s="41" t="n">
        <v>97.52</v>
      </c>
      <c r="O890" s="41" t="n">
        <v>4.761904762</v>
      </c>
      <c r="P890" s="41" t="n">
        <v>4.876</v>
      </c>
      <c r="Q890" s="41" t="n">
        <v>6.8</v>
      </c>
    </row>
    <row r="891" customFormat="false" ht="15" hidden="false" customHeight="false" outlineLevel="0" collapsed="false">
      <c r="A891" s="41" t="s">
        <v>1069</v>
      </c>
      <c r="B891" s="41" t="s">
        <v>178</v>
      </c>
      <c r="C891" s="41" t="s">
        <v>85</v>
      </c>
      <c r="D891" s="41" t="s">
        <v>104</v>
      </c>
      <c r="E891" s="41" t="s">
        <v>103</v>
      </c>
      <c r="F891" s="41" t="s">
        <v>77</v>
      </c>
      <c r="G891" s="41" t="n">
        <v>76.92</v>
      </c>
      <c r="H891" s="41" t="n">
        <v>10</v>
      </c>
      <c r="I891" s="41" t="n">
        <v>38.46</v>
      </c>
      <c r="J891" s="41" t="n">
        <v>807.66</v>
      </c>
      <c r="K891" s="41" t="s">
        <v>1486</v>
      </c>
      <c r="L891" s="41" t="s">
        <v>1536</v>
      </c>
      <c r="M891" s="41" t="s">
        <v>98</v>
      </c>
      <c r="N891" s="41" t="n">
        <v>769.2</v>
      </c>
      <c r="O891" s="41" t="n">
        <v>4.761904762</v>
      </c>
      <c r="P891" s="41" t="n">
        <v>38.46</v>
      </c>
      <c r="Q891" s="41" t="n">
        <v>5.6</v>
      </c>
    </row>
    <row r="892" customFormat="false" ht="15" hidden="false" customHeight="false" outlineLevel="0" collapsed="false">
      <c r="A892" s="41" t="s">
        <v>1070</v>
      </c>
      <c r="B892" s="41" t="s">
        <v>180</v>
      </c>
      <c r="C892" s="41" t="s">
        <v>87</v>
      </c>
      <c r="D892" s="41" t="s">
        <v>105</v>
      </c>
      <c r="E892" s="41" t="s">
        <v>102</v>
      </c>
      <c r="F892" s="41" t="s">
        <v>81</v>
      </c>
      <c r="G892" s="41" t="n">
        <v>83.66</v>
      </c>
      <c r="H892" s="41" t="n">
        <v>5</v>
      </c>
      <c r="I892" s="41" t="n">
        <v>20.915</v>
      </c>
      <c r="J892" s="41" t="n">
        <v>439.215</v>
      </c>
      <c r="K892" s="41" t="s">
        <v>1450</v>
      </c>
      <c r="L892" s="41" t="s">
        <v>1577</v>
      </c>
      <c r="M892" s="41" t="s">
        <v>97</v>
      </c>
      <c r="N892" s="41" t="n">
        <v>418.3</v>
      </c>
      <c r="O892" s="41" t="n">
        <v>4.761904762</v>
      </c>
      <c r="P892" s="41" t="n">
        <v>20.915</v>
      </c>
      <c r="Q892" s="41" t="n">
        <v>7.2</v>
      </c>
    </row>
    <row r="893" customFormat="false" ht="15" hidden="false" customHeight="false" outlineLevel="0" collapsed="false">
      <c r="A893" s="41" t="s">
        <v>1071</v>
      </c>
      <c r="B893" s="41" t="s">
        <v>189</v>
      </c>
      <c r="C893" s="41" t="s">
        <v>86</v>
      </c>
      <c r="D893" s="41" t="s">
        <v>105</v>
      </c>
      <c r="E893" s="41" t="s">
        <v>102</v>
      </c>
      <c r="F893" s="41" t="s">
        <v>78</v>
      </c>
      <c r="G893" s="41" t="n">
        <v>57.91</v>
      </c>
      <c r="H893" s="41" t="n">
        <v>8</v>
      </c>
      <c r="I893" s="41" t="n">
        <v>23.164</v>
      </c>
      <c r="J893" s="41" t="n">
        <v>486.444</v>
      </c>
      <c r="K893" s="41" t="s">
        <v>1214</v>
      </c>
      <c r="L893" s="41" t="s">
        <v>1650</v>
      </c>
      <c r="M893" s="41" t="s">
        <v>97</v>
      </c>
      <c r="N893" s="41" t="n">
        <v>463.28</v>
      </c>
      <c r="O893" s="41" t="n">
        <v>4.761904762</v>
      </c>
      <c r="P893" s="41" t="n">
        <v>23.164</v>
      </c>
      <c r="Q893" s="41" t="n">
        <v>8.1</v>
      </c>
    </row>
    <row r="894" customFormat="false" ht="15" hidden="false" customHeight="false" outlineLevel="0" collapsed="false">
      <c r="A894" s="41" t="s">
        <v>1072</v>
      </c>
      <c r="B894" s="41" t="s">
        <v>180</v>
      </c>
      <c r="C894" s="41" t="s">
        <v>87</v>
      </c>
      <c r="D894" s="41" t="s">
        <v>104</v>
      </c>
      <c r="E894" s="41" t="s">
        <v>102</v>
      </c>
      <c r="F894" s="41" t="s">
        <v>79</v>
      </c>
      <c r="G894" s="41" t="n">
        <v>92.49</v>
      </c>
      <c r="H894" s="41" t="n">
        <v>5</v>
      </c>
      <c r="I894" s="41" t="n">
        <v>23.1225</v>
      </c>
      <c r="J894" s="41" t="n">
        <v>485.5725</v>
      </c>
      <c r="K894" s="41" t="s">
        <v>1233</v>
      </c>
      <c r="L894" s="41" t="s">
        <v>1758</v>
      </c>
      <c r="M894" s="41" t="s">
        <v>99</v>
      </c>
      <c r="N894" s="41" t="n">
        <v>462.45</v>
      </c>
      <c r="O894" s="41" t="n">
        <v>4.761904762</v>
      </c>
      <c r="P894" s="41" t="n">
        <v>23.1225</v>
      </c>
      <c r="Q894" s="41" t="n">
        <v>8.6</v>
      </c>
    </row>
    <row r="895" customFormat="false" ht="15" hidden="false" customHeight="false" outlineLevel="0" collapsed="false">
      <c r="A895" s="41" t="s">
        <v>1073</v>
      </c>
      <c r="B895" s="41" t="s">
        <v>189</v>
      </c>
      <c r="C895" s="41" t="s">
        <v>86</v>
      </c>
      <c r="D895" s="41" t="s">
        <v>105</v>
      </c>
      <c r="E895" s="41" t="s">
        <v>103</v>
      </c>
      <c r="F895" s="41" t="s">
        <v>78</v>
      </c>
      <c r="G895" s="41" t="n">
        <v>28.38</v>
      </c>
      <c r="H895" s="41" t="n">
        <v>5</v>
      </c>
      <c r="I895" s="41" t="n">
        <v>7.095</v>
      </c>
      <c r="J895" s="41" t="n">
        <v>148.995</v>
      </c>
      <c r="K895" s="41" t="s">
        <v>1292</v>
      </c>
      <c r="L895" s="41" t="s">
        <v>1759</v>
      </c>
      <c r="M895" s="41" t="s">
        <v>97</v>
      </c>
      <c r="N895" s="41" t="n">
        <v>141.9</v>
      </c>
      <c r="O895" s="41" t="n">
        <v>4.761904762</v>
      </c>
      <c r="P895" s="41" t="n">
        <v>7.095</v>
      </c>
      <c r="Q895" s="41" t="n">
        <v>9.4</v>
      </c>
    </row>
    <row r="896" customFormat="false" ht="15" hidden="false" customHeight="false" outlineLevel="0" collapsed="false">
      <c r="A896" s="41" t="s">
        <v>1074</v>
      </c>
      <c r="B896" s="41" t="s">
        <v>189</v>
      </c>
      <c r="C896" s="41" t="s">
        <v>86</v>
      </c>
      <c r="D896" s="41" t="s">
        <v>104</v>
      </c>
      <c r="E896" s="41" t="s">
        <v>103</v>
      </c>
      <c r="F896" s="41" t="s">
        <v>78</v>
      </c>
      <c r="G896" s="41" t="n">
        <v>50.45</v>
      </c>
      <c r="H896" s="41" t="n">
        <v>6</v>
      </c>
      <c r="I896" s="41" t="n">
        <v>15.135</v>
      </c>
      <c r="J896" s="41" t="n">
        <v>317.835</v>
      </c>
      <c r="K896" s="41" t="s">
        <v>1208</v>
      </c>
      <c r="L896" s="41" t="s">
        <v>1472</v>
      </c>
      <c r="M896" s="41" t="s">
        <v>99</v>
      </c>
      <c r="N896" s="41" t="n">
        <v>302.7</v>
      </c>
      <c r="O896" s="41" t="n">
        <v>4.761904762</v>
      </c>
      <c r="P896" s="41" t="n">
        <v>15.135</v>
      </c>
      <c r="Q896" s="41" t="n">
        <v>8.9</v>
      </c>
    </row>
    <row r="897" customFormat="false" ht="15" hidden="false" customHeight="false" outlineLevel="0" collapsed="false">
      <c r="A897" s="41" t="s">
        <v>1075</v>
      </c>
      <c r="B897" s="41" t="s">
        <v>189</v>
      </c>
      <c r="C897" s="41" t="s">
        <v>86</v>
      </c>
      <c r="D897" s="41" t="s">
        <v>105</v>
      </c>
      <c r="E897" s="41" t="s">
        <v>103</v>
      </c>
      <c r="F897" s="41" t="s">
        <v>81</v>
      </c>
      <c r="G897" s="41" t="n">
        <v>99.16</v>
      </c>
      <c r="H897" s="41" t="n">
        <v>8</v>
      </c>
      <c r="I897" s="41" t="n">
        <v>39.664</v>
      </c>
      <c r="J897" s="41" t="n">
        <v>832.944</v>
      </c>
      <c r="K897" s="41" t="s">
        <v>1244</v>
      </c>
      <c r="L897" s="41" t="s">
        <v>1289</v>
      </c>
      <c r="M897" s="41" t="s">
        <v>99</v>
      </c>
      <c r="N897" s="41" t="n">
        <v>793.28</v>
      </c>
      <c r="O897" s="41" t="n">
        <v>4.761904762</v>
      </c>
      <c r="P897" s="41" t="n">
        <v>39.664</v>
      </c>
      <c r="Q897" s="41" t="n">
        <v>4.2</v>
      </c>
    </row>
    <row r="898" customFormat="false" ht="15" hidden="false" customHeight="false" outlineLevel="0" collapsed="false">
      <c r="A898" s="41" t="s">
        <v>1076</v>
      </c>
      <c r="B898" s="41" t="s">
        <v>180</v>
      </c>
      <c r="C898" s="41" t="s">
        <v>87</v>
      </c>
      <c r="D898" s="41" t="s">
        <v>105</v>
      </c>
      <c r="E898" s="41" t="s">
        <v>103</v>
      </c>
      <c r="F898" s="41" t="s">
        <v>79</v>
      </c>
      <c r="G898" s="41" t="n">
        <v>60.74</v>
      </c>
      <c r="H898" s="41" t="n">
        <v>7</v>
      </c>
      <c r="I898" s="41" t="n">
        <v>21.259</v>
      </c>
      <c r="J898" s="41" t="n">
        <v>446.439</v>
      </c>
      <c r="K898" s="41" t="s">
        <v>1378</v>
      </c>
      <c r="L898" s="41" t="s">
        <v>1564</v>
      </c>
      <c r="M898" s="41" t="s">
        <v>98</v>
      </c>
      <c r="N898" s="41" t="n">
        <v>425.18</v>
      </c>
      <c r="O898" s="41" t="n">
        <v>4.761904762</v>
      </c>
      <c r="P898" s="41" t="n">
        <v>21.259</v>
      </c>
      <c r="Q898" s="41" t="n">
        <v>5</v>
      </c>
    </row>
    <row r="899" customFormat="false" ht="15" hidden="false" customHeight="false" outlineLevel="0" collapsed="false">
      <c r="A899" s="41" t="s">
        <v>1077</v>
      </c>
      <c r="B899" s="41" t="s">
        <v>180</v>
      </c>
      <c r="C899" s="41" t="s">
        <v>87</v>
      </c>
      <c r="D899" s="41" t="s">
        <v>104</v>
      </c>
      <c r="E899" s="41" t="s">
        <v>102</v>
      </c>
      <c r="F899" s="41" t="s">
        <v>76</v>
      </c>
      <c r="G899" s="41" t="n">
        <v>47.27</v>
      </c>
      <c r="H899" s="41" t="n">
        <v>6</v>
      </c>
      <c r="I899" s="41" t="n">
        <v>14.181</v>
      </c>
      <c r="J899" s="41" t="n">
        <v>297.801</v>
      </c>
      <c r="K899" s="41" t="s">
        <v>1352</v>
      </c>
      <c r="L899" s="41" t="s">
        <v>1322</v>
      </c>
      <c r="M899" s="41" t="s">
        <v>97</v>
      </c>
      <c r="N899" s="41" t="n">
        <v>283.62</v>
      </c>
      <c r="O899" s="41" t="n">
        <v>4.761904762</v>
      </c>
      <c r="P899" s="41" t="n">
        <v>14.181</v>
      </c>
      <c r="Q899" s="41" t="n">
        <v>8.8</v>
      </c>
    </row>
    <row r="900" customFormat="false" ht="15" hidden="false" customHeight="false" outlineLevel="0" collapsed="false">
      <c r="A900" s="41" t="s">
        <v>1078</v>
      </c>
      <c r="B900" s="41" t="s">
        <v>180</v>
      </c>
      <c r="C900" s="41" t="s">
        <v>87</v>
      </c>
      <c r="D900" s="41" t="s">
        <v>104</v>
      </c>
      <c r="E900" s="41" t="s">
        <v>103</v>
      </c>
      <c r="F900" s="41" t="s">
        <v>81</v>
      </c>
      <c r="G900" s="41" t="n">
        <v>85.6</v>
      </c>
      <c r="H900" s="41" t="n">
        <v>7</v>
      </c>
      <c r="I900" s="41" t="n">
        <v>29.96</v>
      </c>
      <c r="J900" s="41" t="n">
        <v>629.16</v>
      </c>
      <c r="K900" s="41" t="s">
        <v>1233</v>
      </c>
      <c r="L900" s="41" t="s">
        <v>1760</v>
      </c>
      <c r="M900" s="41" t="s">
        <v>97</v>
      </c>
      <c r="N900" s="41" t="n">
        <v>599.2</v>
      </c>
      <c r="O900" s="41" t="n">
        <v>4.761904762</v>
      </c>
      <c r="P900" s="41" t="n">
        <v>29.96</v>
      </c>
      <c r="Q900" s="41" t="n">
        <v>5.3</v>
      </c>
    </row>
    <row r="901" customFormat="false" ht="15" hidden="false" customHeight="false" outlineLevel="0" collapsed="false">
      <c r="A901" s="41" t="s">
        <v>1079</v>
      </c>
      <c r="B901" s="41" t="s">
        <v>178</v>
      </c>
      <c r="C901" s="41" t="s">
        <v>85</v>
      </c>
      <c r="D901" s="41" t="s">
        <v>104</v>
      </c>
      <c r="E901" s="41" t="s">
        <v>103</v>
      </c>
      <c r="F901" s="41" t="s">
        <v>76</v>
      </c>
      <c r="G901" s="41" t="n">
        <v>35.04</v>
      </c>
      <c r="H901" s="41" t="n">
        <v>9</v>
      </c>
      <c r="I901" s="41" t="n">
        <v>15.768</v>
      </c>
      <c r="J901" s="41" t="n">
        <v>331.128</v>
      </c>
      <c r="K901" s="41" t="s">
        <v>1334</v>
      </c>
      <c r="L901" s="41" t="s">
        <v>1413</v>
      </c>
      <c r="M901" s="41" t="s">
        <v>98</v>
      </c>
      <c r="N901" s="41" t="n">
        <v>315.36</v>
      </c>
      <c r="O901" s="41" t="n">
        <v>4.761904762</v>
      </c>
      <c r="P901" s="41" t="n">
        <v>15.768</v>
      </c>
      <c r="Q901" s="41" t="n">
        <v>4.6</v>
      </c>
    </row>
    <row r="902" customFormat="false" ht="15" hidden="false" customHeight="false" outlineLevel="0" collapsed="false">
      <c r="A902" s="41" t="s">
        <v>1080</v>
      </c>
      <c r="B902" s="41" t="s">
        <v>180</v>
      </c>
      <c r="C902" s="41" t="s">
        <v>87</v>
      </c>
      <c r="D902" s="41" t="s">
        <v>104</v>
      </c>
      <c r="E902" s="41" t="s">
        <v>102</v>
      </c>
      <c r="F902" s="41" t="s">
        <v>78</v>
      </c>
      <c r="G902" s="41" t="n">
        <v>44.84</v>
      </c>
      <c r="H902" s="41" t="n">
        <v>9</v>
      </c>
      <c r="I902" s="41" t="n">
        <v>20.178</v>
      </c>
      <c r="J902" s="41" t="n">
        <v>423.738</v>
      </c>
      <c r="K902" s="41" t="s">
        <v>1438</v>
      </c>
      <c r="L902" s="41" t="s">
        <v>160</v>
      </c>
      <c r="M902" s="41" t="s">
        <v>99</v>
      </c>
      <c r="N902" s="41" t="n">
        <v>403.56</v>
      </c>
      <c r="O902" s="41" t="n">
        <v>4.761904762</v>
      </c>
      <c r="P902" s="41" t="n">
        <v>20.178</v>
      </c>
      <c r="Q902" s="41" t="n">
        <v>7.5</v>
      </c>
    </row>
    <row r="903" customFormat="false" ht="15" hidden="false" customHeight="false" outlineLevel="0" collapsed="false">
      <c r="A903" s="41" t="s">
        <v>1081</v>
      </c>
      <c r="B903" s="41" t="s">
        <v>189</v>
      </c>
      <c r="C903" s="41" t="s">
        <v>86</v>
      </c>
      <c r="D903" s="41" t="s">
        <v>105</v>
      </c>
      <c r="E903" s="41" t="s">
        <v>103</v>
      </c>
      <c r="F903" s="41" t="s">
        <v>80</v>
      </c>
      <c r="G903" s="41" t="n">
        <v>45.97</v>
      </c>
      <c r="H903" s="41" t="n">
        <v>4</v>
      </c>
      <c r="I903" s="41" t="n">
        <v>9.194</v>
      </c>
      <c r="J903" s="41" t="n">
        <v>193.074</v>
      </c>
      <c r="K903" s="41" t="s">
        <v>1334</v>
      </c>
      <c r="L903" s="41" t="s">
        <v>1363</v>
      </c>
      <c r="M903" s="41" t="s">
        <v>98</v>
      </c>
      <c r="N903" s="41" t="n">
        <v>183.88</v>
      </c>
      <c r="O903" s="41" t="n">
        <v>4.761904762</v>
      </c>
      <c r="P903" s="41" t="n">
        <v>9.194</v>
      </c>
      <c r="Q903" s="41" t="n">
        <v>5.1</v>
      </c>
    </row>
    <row r="904" customFormat="false" ht="15" hidden="false" customHeight="false" outlineLevel="0" collapsed="false">
      <c r="A904" s="41" t="s">
        <v>1082</v>
      </c>
      <c r="B904" s="41" t="s">
        <v>178</v>
      </c>
      <c r="C904" s="41" t="s">
        <v>85</v>
      </c>
      <c r="D904" s="41" t="s">
        <v>104</v>
      </c>
      <c r="E904" s="41" t="s">
        <v>102</v>
      </c>
      <c r="F904" s="41" t="s">
        <v>81</v>
      </c>
      <c r="G904" s="41" t="n">
        <v>27.73</v>
      </c>
      <c r="H904" s="41" t="n">
        <v>5</v>
      </c>
      <c r="I904" s="41" t="n">
        <v>6.9325</v>
      </c>
      <c r="J904" s="41" t="n">
        <v>145.5825</v>
      </c>
      <c r="K904" s="41" t="s">
        <v>1338</v>
      </c>
      <c r="L904" s="41" t="s">
        <v>1546</v>
      </c>
      <c r="M904" s="41" t="s">
        <v>99</v>
      </c>
      <c r="N904" s="41" t="n">
        <v>138.65</v>
      </c>
      <c r="O904" s="41" t="n">
        <v>4.761904762</v>
      </c>
      <c r="P904" s="41" t="n">
        <v>6.9325</v>
      </c>
      <c r="Q904" s="41" t="n">
        <v>4.2</v>
      </c>
    </row>
    <row r="905" customFormat="false" ht="15" hidden="false" customHeight="false" outlineLevel="0" collapsed="false">
      <c r="A905" s="41" t="s">
        <v>1083</v>
      </c>
      <c r="B905" s="41" t="s">
        <v>178</v>
      </c>
      <c r="C905" s="41" t="s">
        <v>85</v>
      </c>
      <c r="D905" s="41" t="s">
        <v>105</v>
      </c>
      <c r="E905" s="41" t="s">
        <v>103</v>
      </c>
      <c r="F905" s="41" t="s">
        <v>76</v>
      </c>
      <c r="G905" s="41" t="n">
        <v>11.53</v>
      </c>
      <c r="H905" s="41" t="n">
        <v>7</v>
      </c>
      <c r="I905" s="41" t="n">
        <v>4.0355</v>
      </c>
      <c r="J905" s="41" t="n">
        <v>84.7455</v>
      </c>
      <c r="K905" s="41" t="s">
        <v>1244</v>
      </c>
      <c r="L905" s="41" t="s">
        <v>1761</v>
      </c>
      <c r="M905" s="41" t="s">
        <v>97</v>
      </c>
      <c r="N905" s="41" t="n">
        <v>80.71</v>
      </c>
      <c r="O905" s="41" t="n">
        <v>4.761904762</v>
      </c>
      <c r="P905" s="41" t="n">
        <v>4.0355</v>
      </c>
      <c r="Q905" s="41" t="n">
        <v>8.1</v>
      </c>
    </row>
    <row r="906" customFormat="false" ht="15" hidden="false" customHeight="false" outlineLevel="0" collapsed="false">
      <c r="A906" s="41" t="s">
        <v>1084</v>
      </c>
      <c r="B906" s="41" t="s">
        <v>180</v>
      </c>
      <c r="C906" s="41" t="s">
        <v>87</v>
      </c>
      <c r="D906" s="41" t="s">
        <v>105</v>
      </c>
      <c r="E906" s="41" t="s">
        <v>102</v>
      </c>
      <c r="F906" s="41" t="s">
        <v>81</v>
      </c>
      <c r="G906" s="41" t="n">
        <v>58.32</v>
      </c>
      <c r="H906" s="41" t="n">
        <v>2</v>
      </c>
      <c r="I906" s="41" t="n">
        <v>5.832</v>
      </c>
      <c r="J906" s="41" t="n">
        <v>122.472</v>
      </c>
      <c r="K906" s="41" t="s">
        <v>1294</v>
      </c>
      <c r="L906" s="41" t="s">
        <v>1441</v>
      </c>
      <c r="M906" s="41" t="s">
        <v>98</v>
      </c>
      <c r="N906" s="41" t="n">
        <v>116.64</v>
      </c>
      <c r="O906" s="41" t="n">
        <v>4.761904762</v>
      </c>
      <c r="P906" s="41" t="n">
        <v>5.832</v>
      </c>
      <c r="Q906" s="41" t="n">
        <v>6</v>
      </c>
    </row>
    <row r="907" customFormat="false" ht="15" hidden="false" customHeight="false" outlineLevel="0" collapsed="false">
      <c r="A907" s="41" t="s">
        <v>1085</v>
      </c>
      <c r="B907" s="41" t="s">
        <v>180</v>
      </c>
      <c r="C907" s="41" t="s">
        <v>87</v>
      </c>
      <c r="D907" s="41" t="s">
        <v>104</v>
      </c>
      <c r="E907" s="41" t="s">
        <v>102</v>
      </c>
      <c r="F907" s="41" t="s">
        <v>80</v>
      </c>
      <c r="G907" s="41" t="n">
        <v>78.38</v>
      </c>
      <c r="H907" s="41" t="n">
        <v>4</v>
      </c>
      <c r="I907" s="41" t="n">
        <v>15.676</v>
      </c>
      <c r="J907" s="41" t="n">
        <v>329.196</v>
      </c>
      <c r="K907" s="41" t="s">
        <v>1349</v>
      </c>
      <c r="L907" s="41" t="s">
        <v>1762</v>
      </c>
      <c r="M907" s="41" t="s">
        <v>97</v>
      </c>
      <c r="N907" s="41" t="n">
        <v>313.52</v>
      </c>
      <c r="O907" s="41" t="n">
        <v>4.761904762</v>
      </c>
      <c r="P907" s="41" t="n">
        <v>15.676</v>
      </c>
      <c r="Q907" s="41" t="n">
        <v>7.9</v>
      </c>
    </row>
    <row r="908" customFormat="false" ht="15" hidden="false" customHeight="false" outlineLevel="0" collapsed="false">
      <c r="A908" s="41" t="s">
        <v>1086</v>
      </c>
      <c r="B908" s="41" t="s">
        <v>180</v>
      </c>
      <c r="C908" s="41" t="s">
        <v>87</v>
      </c>
      <c r="D908" s="41" t="s">
        <v>105</v>
      </c>
      <c r="E908" s="41" t="s">
        <v>103</v>
      </c>
      <c r="F908" s="41" t="s">
        <v>81</v>
      </c>
      <c r="G908" s="41" t="n">
        <v>84.61</v>
      </c>
      <c r="H908" s="41" t="n">
        <v>10</v>
      </c>
      <c r="I908" s="41" t="n">
        <v>42.305</v>
      </c>
      <c r="J908" s="41" t="n">
        <v>888.405</v>
      </c>
      <c r="K908" s="41" t="s">
        <v>1334</v>
      </c>
      <c r="L908" s="41" t="s">
        <v>1531</v>
      </c>
      <c r="M908" s="41" t="s">
        <v>99</v>
      </c>
      <c r="N908" s="41" t="n">
        <v>846.1</v>
      </c>
      <c r="O908" s="41" t="n">
        <v>4.761904762</v>
      </c>
      <c r="P908" s="41" t="n">
        <v>42.305</v>
      </c>
      <c r="Q908" s="41" t="n">
        <v>8.8</v>
      </c>
    </row>
    <row r="909" customFormat="false" ht="15" hidden="false" customHeight="false" outlineLevel="0" collapsed="false">
      <c r="A909" s="41" t="s">
        <v>1087</v>
      </c>
      <c r="B909" s="41" t="s">
        <v>189</v>
      </c>
      <c r="C909" s="41" t="s">
        <v>86</v>
      </c>
      <c r="D909" s="41" t="s">
        <v>105</v>
      </c>
      <c r="E909" s="41" t="s">
        <v>102</v>
      </c>
      <c r="F909" s="41" t="s">
        <v>81</v>
      </c>
      <c r="G909" s="41" t="n">
        <v>82.88</v>
      </c>
      <c r="H909" s="41" t="n">
        <v>5</v>
      </c>
      <c r="I909" s="41" t="n">
        <v>20.72</v>
      </c>
      <c r="J909" s="41" t="n">
        <v>435.12</v>
      </c>
      <c r="K909" s="41" t="s">
        <v>1349</v>
      </c>
      <c r="L909" s="41" t="s">
        <v>1673</v>
      </c>
      <c r="M909" s="41" t="s">
        <v>99</v>
      </c>
      <c r="N909" s="41" t="n">
        <v>414.4</v>
      </c>
      <c r="O909" s="41" t="n">
        <v>4.761904762</v>
      </c>
      <c r="P909" s="41" t="n">
        <v>20.72</v>
      </c>
      <c r="Q909" s="41" t="n">
        <v>6.6</v>
      </c>
    </row>
    <row r="910" customFormat="false" ht="15" hidden="false" customHeight="false" outlineLevel="0" collapsed="false">
      <c r="A910" s="41" t="s">
        <v>1088</v>
      </c>
      <c r="B910" s="41" t="s">
        <v>178</v>
      </c>
      <c r="C910" s="41" t="s">
        <v>85</v>
      </c>
      <c r="D910" s="41" t="s">
        <v>104</v>
      </c>
      <c r="E910" s="41" t="s">
        <v>102</v>
      </c>
      <c r="F910" s="41" t="s">
        <v>76</v>
      </c>
      <c r="G910" s="41" t="n">
        <v>79.54</v>
      </c>
      <c r="H910" s="41" t="n">
        <v>2</v>
      </c>
      <c r="I910" s="41" t="n">
        <v>7.954</v>
      </c>
      <c r="J910" s="41" t="n">
        <v>167.034</v>
      </c>
      <c r="K910" s="41" t="s">
        <v>1281</v>
      </c>
      <c r="L910" s="41" t="s">
        <v>1538</v>
      </c>
      <c r="M910" s="41" t="s">
        <v>98</v>
      </c>
      <c r="N910" s="41" t="n">
        <v>159.08</v>
      </c>
      <c r="O910" s="41" t="n">
        <v>4.761904762</v>
      </c>
      <c r="P910" s="41" t="n">
        <v>7.954</v>
      </c>
      <c r="Q910" s="41" t="n">
        <v>6.2</v>
      </c>
    </row>
    <row r="911" customFormat="false" ht="15" hidden="false" customHeight="false" outlineLevel="0" collapsed="false">
      <c r="A911" s="41" t="s">
        <v>1089</v>
      </c>
      <c r="B911" s="41" t="s">
        <v>189</v>
      </c>
      <c r="C911" s="41" t="s">
        <v>86</v>
      </c>
      <c r="D911" s="41" t="s">
        <v>105</v>
      </c>
      <c r="E911" s="41" t="s">
        <v>102</v>
      </c>
      <c r="F911" s="41" t="s">
        <v>80</v>
      </c>
      <c r="G911" s="41" t="n">
        <v>49.01</v>
      </c>
      <c r="H911" s="41" t="n">
        <v>10</v>
      </c>
      <c r="I911" s="41" t="n">
        <v>24.505</v>
      </c>
      <c r="J911" s="41" t="n">
        <v>514.605</v>
      </c>
      <c r="K911" s="41" t="s">
        <v>1194</v>
      </c>
      <c r="L911" s="41" t="s">
        <v>1763</v>
      </c>
      <c r="M911" s="41" t="s">
        <v>99</v>
      </c>
      <c r="N911" s="41" t="n">
        <v>490.1</v>
      </c>
      <c r="O911" s="41" t="n">
        <v>4.761904762</v>
      </c>
      <c r="P911" s="41" t="n">
        <v>24.505</v>
      </c>
      <c r="Q911" s="41" t="n">
        <v>4.2</v>
      </c>
    </row>
    <row r="912" customFormat="false" ht="15" hidden="false" customHeight="false" outlineLevel="0" collapsed="false">
      <c r="A912" s="41" t="s">
        <v>1090</v>
      </c>
      <c r="B912" s="41" t="s">
        <v>189</v>
      </c>
      <c r="C912" s="41" t="s">
        <v>86</v>
      </c>
      <c r="D912" s="41" t="s">
        <v>104</v>
      </c>
      <c r="E912" s="41" t="s">
        <v>102</v>
      </c>
      <c r="F912" s="41" t="s">
        <v>76</v>
      </c>
      <c r="G912" s="41" t="n">
        <v>29.15</v>
      </c>
      <c r="H912" s="41" t="n">
        <v>3</v>
      </c>
      <c r="I912" s="41" t="n">
        <v>4.3725</v>
      </c>
      <c r="J912" s="41" t="n">
        <v>91.8225</v>
      </c>
      <c r="K912" s="41" t="s">
        <v>1281</v>
      </c>
      <c r="L912" s="41" t="s">
        <v>1514</v>
      </c>
      <c r="M912" s="41" t="s">
        <v>99</v>
      </c>
      <c r="N912" s="41" t="n">
        <v>87.45</v>
      </c>
      <c r="O912" s="41" t="n">
        <v>4.761904762</v>
      </c>
      <c r="P912" s="41" t="n">
        <v>4.3725</v>
      </c>
      <c r="Q912" s="41" t="n">
        <v>7.3</v>
      </c>
    </row>
    <row r="913" customFormat="false" ht="15" hidden="false" customHeight="false" outlineLevel="0" collapsed="false">
      <c r="A913" s="41" t="s">
        <v>1091</v>
      </c>
      <c r="B913" s="41" t="s">
        <v>180</v>
      </c>
      <c r="C913" s="41" t="s">
        <v>87</v>
      </c>
      <c r="D913" s="41" t="s">
        <v>105</v>
      </c>
      <c r="E913" s="41" t="s">
        <v>102</v>
      </c>
      <c r="F913" s="41" t="s">
        <v>78</v>
      </c>
      <c r="G913" s="41" t="n">
        <v>56.13</v>
      </c>
      <c r="H913" s="41" t="n">
        <v>4</v>
      </c>
      <c r="I913" s="41" t="n">
        <v>11.226</v>
      </c>
      <c r="J913" s="41" t="n">
        <v>235.746</v>
      </c>
      <c r="K913" s="41" t="s">
        <v>1356</v>
      </c>
      <c r="L913" s="41" t="s">
        <v>1625</v>
      </c>
      <c r="M913" s="41" t="s">
        <v>98</v>
      </c>
      <c r="N913" s="41" t="n">
        <v>224.52</v>
      </c>
      <c r="O913" s="41" t="n">
        <v>4.761904762</v>
      </c>
      <c r="P913" s="41" t="n">
        <v>11.226</v>
      </c>
      <c r="Q913" s="41" t="n">
        <v>8.6</v>
      </c>
    </row>
    <row r="914" customFormat="false" ht="15" hidden="false" customHeight="false" outlineLevel="0" collapsed="false">
      <c r="A914" s="41" t="s">
        <v>1092</v>
      </c>
      <c r="B914" s="41" t="s">
        <v>178</v>
      </c>
      <c r="C914" s="41" t="s">
        <v>85</v>
      </c>
      <c r="D914" s="41" t="s">
        <v>105</v>
      </c>
      <c r="E914" s="41" t="s">
        <v>102</v>
      </c>
      <c r="F914" s="41" t="s">
        <v>80</v>
      </c>
      <c r="G914" s="41" t="n">
        <v>93.12</v>
      </c>
      <c r="H914" s="41" t="n">
        <v>8</v>
      </c>
      <c r="I914" s="41" t="n">
        <v>37.248</v>
      </c>
      <c r="J914" s="41" t="n">
        <v>782.208</v>
      </c>
      <c r="K914" s="41" t="s">
        <v>1214</v>
      </c>
      <c r="L914" s="41" t="s">
        <v>1764</v>
      </c>
      <c r="M914" s="41" t="s">
        <v>97</v>
      </c>
      <c r="N914" s="41" t="n">
        <v>744.96</v>
      </c>
      <c r="O914" s="41" t="n">
        <v>4.761904762</v>
      </c>
      <c r="P914" s="41" t="n">
        <v>37.248</v>
      </c>
      <c r="Q914" s="41" t="n">
        <v>6.8</v>
      </c>
    </row>
    <row r="915" customFormat="false" ht="15" hidden="false" customHeight="false" outlineLevel="0" collapsed="false">
      <c r="A915" s="41" t="s">
        <v>1093</v>
      </c>
      <c r="B915" s="41" t="s">
        <v>178</v>
      </c>
      <c r="C915" s="41" t="s">
        <v>85</v>
      </c>
      <c r="D915" s="41" t="s">
        <v>104</v>
      </c>
      <c r="E915" s="41" t="s">
        <v>103</v>
      </c>
      <c r="F915" s="41" t="s">
        <v>79</v>
      </c>
      <c r="G915" s="41" t="n">
        <v>51.34</v>
      </c>
      <c r="H915" s="41" t="n">
        <v>8</v>
      </c>
      <c r="I915" s="41" t="n">
        <v>20.536</v>
      </c>
      <c r="J915" s="41" t="n">
        <v>431.256</v>
      </c>
      <c r="K915" s="41" t="s">
        <v>1454</v>
      </c>
      <c r="L915" s="41" t="s">
        <v>156</v>
      </c>
      <c r="M915" s="41" t="s">
        <v>98</v>
      </c>
      <c r="N915" s="41" t="n">
        <v>410.72</v>
      </c>
      <c r="O915" s="41" t="n">
        <v>4.761904762</v>
      </c>
      <c r="P915" s="41" t="n">
        <v>20.536</v>
      </c>
      <c r="Q915" s="41" t="n">
        <v>7.6</v>
      </c>
    </row>
    <row r="916" customFormat="false" ht="15" hidden="false" customHeight="false" outlineLevel="0" collapsed="false">
      <c r="A916" s="41" t="s">
        <v>1094</v>
      </c>
      <c r="B916" s="41" t="s">
        <v>178</v>
      </c>
      <c r="C916" s="41" t="s">
        <v>85</v>
      </c>
      <c r="D916" s="41" t="s">
        <v>104</v>
      </c>
      <c r="E916" s="41" t="s">
        <v>102</v>
      </c>
      <c r="F916" s="41" t="s">
        <v>76</v>
      </c>
      <c r="G916" s="41" t="n">
        <v>99.6</v>
      </c>
      <c r="H916" s="41" t="n">
        <v>3</v>
      </c>
      <c r="I916" s="41" t="n">
        <v>14.94</v>
      </c>
      <c r="J916" s="41" t="n">
        <v>313.74</v>
      </c>
      <c r="K916" s="41" t="s">
        <v>1200</v>
      </c>
      <c r="L916" s="41" t="s">
        <v>1257</v>
      </c>
      <c r="M916" s="41" t="s">
        <v>97</v>
      </c>
      <c r="N916" s="41" t="n">
        <v>298.8</v>
      </c>
      <c r="O916" s="41" t="n">
        <v>4.761904762</v>
      </c>
      <c r="P916" s="41" t="n">
        <v>14.94</v>
      </c>
      <c r="Q916" s="41" t="n">
        <v>5.8</v>
      </c>
    </row>
    <row r="917" customFormat="false" ht="15" hidden="false" customHeight="false" outlineLevel="0" collapsed="false">
      <c r="A917" s="41" t="s">
        <v>1095</v>
      </c>
      <c r="B917" s="41" t="s">
        <v>180</v>
      </c>
      <c r="C917" s="41" t="s">
        <v>87</v>
      </c>
      <c r="D917" s="41" t="s">
        <v>105</v>
      </c>
      <c r="E917" s="41" t="s">
        <v>102</v>
      </c>
      <c r="F917" s="41" t="s">
        <v>78</v>
      </c>
      <c r="G917" s="41" t="n">
        <v>35.49</v>
      </c>
      <c r="H917" s="41" t="n">
        <v>6</v>
      </c>
      <c r="I917" s="41" t="n">
        <v>10.647</v>
      </c>
      <c r="J917" s="41" t="n">
        <v>223.587</v>
      </c>
      <c r="K917" s="41" t="s">
        <v>1258</v>
      </c>
      <c r="L917" s="41" t="s">
        <v>1614</v>
      </c>
      <c r="M917" s="41" t="s">
        <v>97</v>
      </c>
      <c r="N917" s="41" t="n">
        <v>212.94</v>
      </c>
      <c r="O917" s="41" t="n">
        <v>4.761904762</v>
      </c>
      <c r="P917" s="41" t="n">
        <v>10.647</v>
      </c>
      <c r="Q917" s="41" t="n">
        <v>4.1</v>
      </c>
    </row>
    <row r="918" customFormat="false" ht="15" hidden="false" customHeight="false" outlineLevel="0" collapsed="false">
      <c r="A918" s="41" t="s">
        <v>1096</v>
      </c>
      <c r="B918" s="41" t="s">
        <v>180</v>
      </c>
      <c r="C918" s="41" t="s">
        <v>87</v>
      </c>
      <c r="D918" s="41" t="s">
        <v>104</v>
      </c>
      <c r="E918" s="41" t="s">
        <v>103</v>
      </c>
      <c r="F918" s="41" t="s">
        <v>77</v>
      </c>
      <c r="G918" s="41" t="n">
        <v>42.85</v>
      </c>
      <c r="H918" s="41" t="n">
        <v>1</v>
      </c>
      <c r="I918" s="41" t="n">
        <v>2.1425</v>
      </c>
      <c r="J918" s="41" t="n">
        <v>44.9925</v>
      </c>
      <c r="K918" s="41" t="s">
        <v>1494</v>
      </c>
      <c r="L918" s="41" t="s">
        <v>1242</v>
      </c>
      <c r="M918" s="41" t="s">
        <v>99</v>
      </c>
      <c r="N918" s="41" t="n">
        <v>42.85</v>
      </c>
      <c r="O918" s="41" t="n">
        <v>4.761904762</v>
      </c>
      <c r="P918" s="41" t="n">
        <v>2.1425</v>
      </c>
      <c r="Q918" s="41" t="n">
        <v>9.3</v>
      </c>
    </row>
    <row r="919" customFormat="false" ht="15" hidden="false" customHeight="false" outlineLevel="0" collapsed="false">
      <c r="A919" s="41" t="s">
        <v>1097</v>
      </c>
      <c r="B919" s="41" t="s">
        <v>178</v>
      </c>
      <c r="C919" s="41" t="s">
        <v>85</v>
      </c>
      <c r="D919" s="41" t="s">
        <v>105</v>
      </c>
      <c r="E919" s="41" t="s">
        <v>102</v>
      </c>
      <c r="F919" s="41" t="s">
        <v>79</v>
      </c>
      <c r="G919" s="41" t="n">
        <v>94.67</v>
      </c>
      <c r="H919" s="41" t="n">
        <v>4</v>
      </c>
      <c r="I919" s="41" t="n">
        <v>18.934</v>
      </c>
      <c r="J919" s="41" t="n">
        <v>397.614</v>
      </c>
      <c r="K919" s="41" t="s">
        <v>1220</v>
      </c>
      <c r="L919" s="41" t="s">
        <v>1415</v>
      </c>
      <c r="M919" s="41" t="s">
        <v>97</v>
      </c>
      <c r="N919" s="41" t="n">
        <v>378.68</v>
      </c>
      <c r="O919" s="41" t="n">
        <v>4.761904762</v>
      </c>
      <c r="P919" s="41" t="n">
        <v>18.934</v>
      </c>
      <c r="Q919" s="41" t="n">
        <v>6.8</v>
      </c>
    </row>
    <row r="920" customFormat="false" ht="15" hidden="false" customHeight="false" outlineLevel="0" collapsed="false">
      <c r="A920" s="41" t="s">
        <v>1098</v>
      </c>
      <c r="B920" s="41" t="s">
        <v>189</v>
      </c>
      <c r="C920" s="41" t="s">
        <v>86</v>
      </c>
      <c r="D920" s="41" t="s">
        <v>105</v>
      </c>
      <c r="E920" s="41" t="s">
        <v>103</v>
      </c>
      <c r="F920" s="41" t="s">
        <v>80</v>
      </c>
      <c r="G920" s="41" t="n">
        <v>68.97</v>
      </c>
      <c r="H920" s="41" t="n">
        <v>3</v>
      </c>
      <c r="I920" s="41" t="n">
        <v>10.3455</v>
      </c>
      <c r="J920" s="41" t="n">
        <v>217.2555</v>
      </c>
      <c r="K920" s="41" t="s">
        <v>1386</v>
      </c>
      <c r="L920" s="41" t="s">
        <v>1282</v>
      </c>
      <c r="M920" s="41" t="s">
        <v>98</v>
      </c>
      <c r="N920" s="41" t="n">
        <v>206.91</v>
      </c>
      <c r="O920" s="41" t="n">
        <v>4.761904762</v>
      </c>
      <c r="P920" s="41" t="n">
        <v>10.3455</v>
      </c>
      <c r="Q920" s="41" t="n">
        <v>8.7</v>
      </c>
    </row>
    <row r="921" customFormat="false" ht="15" hidden="false" customHeight="false" outlineLevel="0" collapsed="false">
      <c r="A921" s="41" t="s">
        <v>1099</v>
      </c>
      <c r="B921" s="41" t="s">
        <v>189</v>
      </c>
      <c r="C921" s="41" t="s">
        <v>86</v>
      </c>
      <c r="D921" s="41" t="s">
        <v>104</v>
      </c>
      <c r="E921" s="41" t="s">
        <v>102</v>
      </c>
      <c r="F921" s="41" t="s">
        <v>78</v>
      </c>
      <c r="G921" s="41" t="n">
        <v>26.26</v>
      </c>
      <c r="H921" s="41" t="n">
        <v>3</v>
      </c>
      <c r="I921" s="41" t="n">
        <v>3.939</v>
      </c>
      <c r="J921" s="41" t="n">
        <v>82.719</v>
      </c>
      <c r="K921" s="41" t="s">
        <v>1233</v>
      </c>
      <c r="L921" s="41" t="s">
        <v>1751</v>
      </c>
      <c r="M921" s="41" t="s">
        <v>98</v>
      </c>
      <c r="N921" s="41" t="n">
        <v>78.78</v>
      </c>
      <c r="O921" s="41" t="n">
        <v>4.761904762</v>
      </c>
      <c r="P921" s="41" t="n">
        <v>3.939</v>
      </c>
      <c r="Q921" s="41" t="n">
        <v>6.3</v>
      </c>
    </row>
    <row r="922" customFormat="false" ht="15" hidden="false" customHeight="false" outlineLevel="0" collapsed="false">
      <c r="A922" s="41" t="s">
        <v>1100</v>
      </c>
      <c r="B922" s="41" t="s">
        <v>180</v>
      </c>
      <c r="C922" s="41" t="s">
        <v>87</v>
      </c>
      <c r="D922" s="41" t="s">
        <v>104</v>
      </c>
      <c r="E922" s="41" t="s">
        <v>102</v>
      </c>
      <c r="F922" s="41" t="s">
        <v>80</v>
      </c>
      <c r="G922" s="41" t="n">
        <v>35.79</v>
      </c>
      <c r="H922" s="41" t="n">
        <v>9</v>
      </c>
      <c r="I922" s="41" t="n">
        <v>16.1055</v>
      </c>
      <c r="J922" s="41" t="n">
        <v>338.2155</v>
      </c>
      <c r="K922" s="41" t="s">
        <v>1238</v>
      </c>
      <c r="L922" s="41" t="s">
        <v>1650</v>
      </c>
      <c r="M922" s="41" t="s">
        <v>99</v>
      </c>
      <c r="N922" s="41" t="n">
        <v>322.11</v>
      </c>
      <c r="O922" s="41" t="n">
        <v>4.761904762</v>
      </c>
      <c r="P922" s="41" t="n">
        <v>16.1055</v>
      </c>
      <c r="Q922" s="41" t="n">
        <v>5.1</v>
      </c>
    </row>
    <row r="923" customFormat="false" ht="15" hidden="false" customHeight="false" outlineLevel="0" collapsed="false">
      <c r="A923" s="41" t="s">
        <v>1101</v>
      </c>
      <c r="B923" s="41" t="s">
        <v>189</v>
      </c>
      <c r="C923" s="41" t="s">
        <v>86</v>
      </c>
      <c r="D923" s="41" t="s">
        <v>105</v>
      </c>
      <c r="E923" s="41" t="s">
        <v>102</v>
      </c>
      <c r="F923" s="41" t="s">
        <v>80</v>
      </c>
      <c r="G923" s="41" t="n">
        <v>16.37</v>
      </c>
      <c r="H923" s="41" t="n">
        <v>6</v>
      </c>
      <c r="I923" s="41" t="n">
        <v>4.911</v>
      </c>
      <c r="J923" s="41" t="n">
        <v>103.131</v>
      </c>
      <c r="K923" s="41" t="s">
        <v>1196</v>
      </c>
      <c r="L923" s="41" t="s">
        <v>1765</v>
      </c>
      <c r="M923" s="41" t="s">
        <v>97</v>
      </c>
      <c r="N923" s="41" t="n">
        <v>98.22</v>
      </c>
      <c r="O923" s="41" t="n">
        <v>4.761904762</v>
      </c>
      <c r="P923" s="41" t="n">
        <v>4.911</v>
      </c>
      <c r="Q923" s="41" t="n">
        <v>7</v>
      </c>
    </row>
    <row r="924" customFormat="false" ht="15" hidden="false" customHeight="false" outlineLevel="0" collapsed="false">
      <c r="A924" s="41" t="s">
        <v>1102</v>
      </c>
      <c r="B924" s="41" t="s">
        <v>180</v>
      </c>
      <c r="C924" s="41" t="s">
        <v>87</v>
      </c>
      <c r="D924" s="41" t="s">
        <v>104</v>
      </c>
      <c r="E924" s="41" t="s">
        <v>102</v>
      </c>
      <c r="F924" s="41" t="s">
        <v>80</v>
      </c>
      <c r="G924" s="41" t="n">
        <v>12.73</v>
      </c>
      <c r="H924" s="41" t="n">
        <v>2</v>
      </c>
      <c r="I924" s="41" t="n">
        <v>1.273</v>
      </c>
      <c r="J924" s="41" t="n">
        <v>26.733</v>
      </c>
      <c r="K924" s="41" t="s">
        <v>1386</v>
      </c>
      <c r="L924" s="41" t="s">
        <v>1605</v>
      </c>
      <c r="M924" s="41" t="s">
        <v>99</v>
      </c>
      <c r="N924" s="41" t="n">
        <v>25.46</v>
      </c>
      <c r="O924" s="41" t="n">
        <v>4.761904762</v>
      </c>
      <c r="P924" s="41" t="n">
        <v>1.273</v>
      </c>
      <c r="Q924" s="41" t="n">
        <v>5.2</v>
      </c>
    </row>
    <row r="925" customFormat="false" ht="15" hidden="false" customHeight="false" outlineLevel="0" collapsed="false">
      <c r="A925" s="41" t="s">
        <v>1103</v>
      </c>
      <c r="B925" s="41" t="s">
        <v>180</v>
      </c>
      <c r="C925" s="41" t="s">
        <v>87</v>
      </c>
      <c r="D925" s="41" t="s">
        <v>105</v>
      </c>
      <c r="E925" s="41" t="s">
        <v>102</v>
      </c>
      <c r="F925" s="41" t="s">
        <v>77</v>
      </c>
      <c r="G925" s="41" t="n">
        <v>83.14</v>
      </c>
      <c r="H925" s="41" t="n">
        <v>7</v>
      </c>
      <c r="I925" s="41" t="n">
        <v>29.099</v>
      </c>
      <c r="J925" s="41" t="n">
        <v>611.079</v>
      </c>
      <c r="K925" s="41" t="s">
        <v>1204</v>
      </c>
      <c r="L925" s="41" t="s">
        <v>1630</v>
      </c>
      <c r="M925" s="41" t="s">
        <v>99</v>
      </c>
      <c r="N925" s="41" t="n">
        <v>581.98</v>
      </c>
      <c r="O925" s="41" t="n">
        <v>4.761904762</v>
      </c>
      <c r="P925" s="41" t="n">
        <v>29.099</v>
      </c>
      <c r="Q925" s="41" t="n">
        <v>6.6</v>
      </c>
    </row>
    <row r="926" customFormat="false" ht="15" hidden="false" customHeight="false" outlineLevel="0" collapsed="false">
      <c r="A926" s="41" t="s">
        <v>1104</v>
      </c>
      <c r="B926" s="41" t="s">
        <v>180</v>
      </c>
      <c r="C926" s="41" t="s">
        <v>87</v>
      </c>
      <c r="D926" s="41" t="s">
        <v>104</v>
      </c>
      <c r="E926" s="41" t="s">
        <v>102</v>
      </c>
      <c r="F926" s="41" t="s">
        <v>77</v>
      </c>
      <c r="G926" s="41" t="n">
        <v>35.22</v>
      </c>
      <c r="H926" s="41" t="n">
        <v>6</v>
      </c>
      <c r="I926" s="41" t="n">
        <v>10.566</v>
      </c>
      <c r="J926" s="41" t="n">
        <v>221.886</v>
      </c>
      <c r="K926" s="41" t="s">
        <v>1494</v>
      </c>
      <c r="L926" s="41" t="s">
        <v>1766</v>
      </c>
      <c r="M926" s="41" t="s">
        <v>98</v>
      </c>
      <c r="N926" s="41" t="n">
        <v>211.32</v>
      </c>
      <c r="O926" s="41" t="n">
        <v>4.761904762</v>
      </c>
      <c r="P926" s="41" t="n">
        <v>10.566</v>
      </c>
      <c r="Q926" s="41" t="n">
        <v>6.5</v>
      </c>
    </row>
    <row r="927" customFormat="false" ht="15" hidden="false" customHeight="false" outlineLevel="0" collapsed="false">
      <c r="A927" s="41" t="s">
        <v>1105</v>
      </c>
      <c r="B927" s="41" t="s">
        <v>189</v>
      </c>
      <c r="C927" s="41" t="s">
        <v>86</v>
      </c>
      <c r="D927" s="41" t="s">
        <v>105</v>
      </c>
      <c r="E927" s="41" t="s">
        <v>102</v>
      </c>
      <c r="F927" s="41" t="s">
        <v>78</v>
      </c>
      <c r="G927" s="41" t="n">
        <v>13.78</v>
      </c>
      <c r="H927" s="41" t="n">
        <v>4</v>
      </c>
      <c r="I927" s="41" t="n">
        <v>2.756</v>
      </c>
      <c r="J927" s="41" t="n">
        <v>57.876</v>
      </c>
      <c r="K927" s="41" t="s">
        <v>1204</v>
      </c>
      <c r="L927" s="41" t="s">
        <v>1767</v>
      </c>
      <c r="M927" s="41" t="s">
        <v>98</v>
      </c>
      <c r="N927" s="41" t="n">
        <v>55.12</v>
      </c>
      <c r="O927" s="41" t="n">
        <v>4.761904762</v>
      </c>
      <c r="P927" s="41" t="n">
        <v>2.756</v>
      </c>
      <c r="Q927" s="41" t="n">
        <v>9</v>
      </c>
    </row>
    <row r="928" customFormat="false" ht="15" hidden="false" customHeight="false" outlineLevel="0" collapsed="false">
      <c r="A928" s="41" t="s">
        <v>1106</v>
      </c>
      <c r="B928" s="41" t="s">
        <v>189</v>
      </c>
      <c r="C928" s="41" t="s">
        <v>86</v>
      </c>
      <c r="D928" s="41" t="s">
        <v>104</v>
      </c>
      <c r="E928" s="41" t="s">
        <v>103</v>
      </c>
      <c r="F928" s="41" t="s">
        <v>77</v>
      </c>
      <c r="G928" s="41" t="n">
        <v>88.31</v>
      </c>
      <c r="H928" s="41" t="n">
        <v>1</v>
      </c>
      <c r="I928" s="41" t="n">
        <v>4.4155</v>
      </c>
      <c r="J928" s="41" t="n">
        <v>92.7255</v>
      </c>
      <c r="K928" s="41" t="s">
        <v>1288</v>
      </c>
      <c r="L928" s="41" t="s">
        <v>1443</v>
      </c>
      <c r="M928" s="41" t="s">
        <v>99</v>
      </c>
      <c r="N928" s="41" t="n">
        <v>88.31</v>
      </c>
      <c r="O928" s="41" t="n">
        <v>4.761904762</v>
      </c>
      <c r="P928" s="41" t="n">
        <v>4.4155</v>
      </c>
      <c r="Q928" s="41" t="n">
        <v>5.2</v>
      </c>
    </row>
    <row r="929" customFormat="false" ht="15" hidden="false" customHeight="false" outlineLevel="0" collapsed="false">
      <c r="A929" s="41" t="s">
        <v>1107</v>
      </c>
      <c r="B929" s="41" t="s">
        <v>178</v>
      </c>
      <c r="C929" s="41" t="s">
        <v>85</v>
      </c>
      <c r="D929" s="41" t="s">
        <v>104</v>
      </c>
      <c r="E929" s="41" t="s">
        <v>102</v>
      </c>
      <c r="F929" s="41" t="s">
        <v>81</v>
      </c>
      <c r="G929" s="41" t="n">
        <v>39.62</v>
      </c>
      <c r="H929" s="41" t="n">
        <v>9</v>
      </c>
      <c r="I929" s="41" t="n">
        <v>17.829</v>
      </c>
      <c r="J929" s="41" t="n">
        <v>374.409</v>
      </c>
      <c r="K929" s="41" t="s">
        <v>1309</v>
      </c>
      <c r="L929" s="41" t="s">
        <v>1568</v>
      </c>
      <c r="M929" s="41" t="s">
        <v>99</v>
      </c>
      <c r="N929" s="41" t="n">
        <v>356.58</v>
      </c>
      <c r="O929" s="41" t="n">
        <v>4.761904762</v>
      </c>
      <c r="P929" s="41" t="n">
        <v>17.829</v>
      </c>
      <c r="Q929" s="41" t="n">
        <v>6.8</v>
      </c>
    </row>
    <row r="930" customFormat="false" ht="15" hidden="false" customHeight="false" outlineLevel="0" collapsed="false">
      <c r="A930" s="41" t="s">
        <v>1108</v>
      </c>
      <c r="B930" s="41" t="s">
        <v>189</v>
      </c>
      <c r="C930" s="41" t="s">
        <v>86</v>
      </c>
      <c r="D930" s="41" t="s">
        <v>105</v>
      </c>
      <c r="E930" s="41" t="s">
        <v>102</v>
      </c>
      <c r="F930" s="41" t="s">
        <v>78</v>
      </c>
      <c r="G930" s="41" t="n">
        <v>88.25</v>
      </c>
      <c r="H930" s="41" t="n">
        <v>9</v>
      </c>
      <c r="I930" s="41" t="n">
        <v>39.7125</v>
      </c>
      <c r="J930" s="41" t="n">
        <v>833.9625</v>
      </c>
      <c r="K930" s="41" t="s">
        <v>1288</v>
      </c>
      <c r="L930" s="41" t="s">
        <v>1528</v>
      </c>
      <c r="M930" s="41" t="s">
        <v>99</v>
      </c>
      <c r="N930" s="41" t="n">
        <v>794.25</v>
      </c>
      <c r="O930" s="41" t="n">
        <v>4.761904762</v>
      </c>
      <c r="P930" s="41" t="n">
        <v>39.7125</v>
      </c>
      <c r="Q930" s="41" t="n">
        <v>7.6</v>
      </c>
    </row>
    <row r="931" customFormat="false" ht="15" hidden="false" customHeight="false" outlineLevel="0" collapsed="false">
      <c r="A931" s="41" t="s">
        <v>1109</v>
      </c>
      <c r="B931" s="41" t="s">
        <v>189</v>
      </c>
      <c r="C931" s="41" t="s">
        <v>86</v>
      </c>
      <c r="D931" s="41" t="s">
        <v>105</v>
      </c>
      <c r="E931" s="41" t="s">
        <v>103</v>
      </c>
      <c r="F931" s="41" t="s">
        <v>77</v>
      </c>
      <c r="G931" s="41" t="n">
        <v>25.31</v>
      </c>
      <c r="H931" s="41" t="n">
        <v>2</v>
      </c>
      <c r="I931" s="41" t="n">
        <v>2.531</v>
      </c>
      <c r="J931" s="41" t="n">
        <v>53.151</v>
      </c>
      <c r="K931" s="41" t="s">
        <v>1233</v>
      </c>
      <c r="L931" s="41" t="s">
        <v>1474</v>
      </c>
      <c r="M931" s="41" t="s">
        <v>98</v>
      </c>
      <c r="N931" s="41" t="n">
        <v>50.62</v>
      </c>
      <c r="O931" s="41" t="n">
        <v>4.761904762</v>
      </c>
      <c r="P931" s="41" t="n">
        <v>2.531</v>
      </c>
      <c r="Q931" s="41" t="n">
        <v>7.2</v>
      </c>
    </row>
    <row r="932" customFormat="false" ht="15" hidden="false" customHeight="false" outlineLevel="0" collapsed="false">
      <c r="A932" s="41" t="s">
        <v>1110</v>
      </c>
      <c r="B932" s="41" t="s">
        <v>189</v>
      </c>
      <c r="C932" s="41" t="s">
        <v>86</v>
      </c>
      <c r="D932" s="41" t="s">
        <v>105</v>
      </c>
      <c r="E932" s="41" t="s">
        <v>103</v>
      </c>
      <c r="F932" s="41" t="s">
        <v>80</v>
      </c>
      <c r="G932" s="41" t="n">
        <v>99.92</v>
      </c>
      <c r="H932" s="41" t="n">
        <v>6</v>
      </c>
      <c r="I932" s="41" t="n">
        <v>29.976</v>
      </c>
      <c r="J932" s="41" t="n">
        <v>629.496</v>
      </c>
      <c r="K932" s="41" t="s">
        <v>1349</v>
      </c>
      <c r="L932" s="41" t="s">
        <v>1768</v>
      </c>
      <c r="M932" s="41" t="s">
        <v>98</v>
      </c>
      <c r="N932" s="41" t="n">
        <v>599.52</v>
      </c>
      <c r="O932" s="41" t="n">
        <v>4.761904762</v>
      </c>
      <c r="P932" s="41" t="n">
        <v>29.976</v>
      </c>
      <c r="Q932" s="41" t="n">
        <v>7.1</v>
      </c>
    </row>
    <row r="933" customFormat="false" ht="15" hidden="false" customHeight="false" outlineLevel="0" collapsed="false">
      <c r="A933" s="41" t="s">
        <v>1111</v>
      </c>
      <c r="B933" s="41" t="s">
        <v>180</v>
      </c>
      <c r="C933" s="41" t="s">
        <v>87</v>
      </c>
      <c r="D933" s="41" t="s">
        <v>104</v>
      </c>
      <c r="E933" s="41" t="s">
        <v>102</v>
      </c>
      <c r="F933" s="41" t="s">
        <v>79</v>
      </c>
      <c r="G933" s="41" t="n">
        <v>83.35</v>
      </c>
      <c r="H933" s="41" t="n">
        <v>2</v>
      </c>
      <c r="I933" s="41" t="n">
        <v>8.335</v>
      </c>
      <c r="J933" s="41" t="n">
        <v>175.035</v>
      </c>
      <c r="K933" s="41" t="s">
        <v>1258</v>
      </c>
      <c r="L933" s="41" t="s">
        <v>1769</v>
      </c>
      <c r="M933" s="41" t="s">
        <v>99</v>
      </c>
      <c r="N933" s="41" t="n">
        <v>166.7</v>
      </c>
      <c r="O933" s="41" t="n">
        <v>4.761904762</v>
      </c>
      <c r="P933" s="41" t="n">
        <v>8.335</v>
      </c>
      <c r="Q933" s="41" t="n">
        <v>9.5</v>
      </c>
    </row>
    <row r="934" customFormat="false" ht="15" hidden="false" customHeight="false" outlineLevel="0" collapsed="false">
      <c r="A934" s="41" t="s">
        <v>1112</v>
      </c>
      <c r="B934" s="41" t="s">
        <v>178</v>
      </c>
      <c r="C934" s="41" t="s">
        <v>85</v>
      </c>
      <c r="D934" s="41" t="s">
        <v>105</v>
      </c>
      <c r="E934" s="41" t="s">
        <v>102</v>
      </c>
      <c r="F934" s="41" t="s">
        <v>76</v>
      </c>
      <c r="G934" s="41" t="n">
        <v>74.44</v>
      </c>
      <c r="H934" s="41" t="n">
        <v>10</v>
      </c>
      <c r="I934" s="41" t="n">
        <v>37.22</v>
      </c>
      <c r="J934" s="41" t="n">
        <v>781.62</v>
      </c>
      <c r="K934" s="41" t="s">
        <v>1265</v>
      </c>
      <c r="L934" s="41" t="s">
        <v>1606</v>
      </c>
      <c r="M934" s="41" t="s">
        <v>98</v>
      </c>
      <c r="N934" s="41" t="n">
        <v>744.4</v>
      </c>
      <c r="O934" s="41" t="n">
        <v>4.761904762</v>
      </c>
      <c r="P934" s="41" t="n">
        <v>37.22</v>
      </c>
      <c r="Q934" s="41" t="n">
        <v>5.1</v>
      </c>
    </row>
    <row r="935" customFormat="false" ht="15" hidden="false" customHeight="false" outlineLevel="0" collapsed="false">
      <c r="A935" s="41" t="s">
        <v>1113</v>
      </c>
      <c r="B935" s="41" t="s">
        <v>180</v>
      </c>
      <c r="C935" s="41" t="s">
        <v>87</v>
      </c>
      <c r="D935" s="41" t="s">
        <v>105</v>
      </c>
      <c r="E935" s="41" t="s">
        <v>103</v>
      </c>
      <c r="F935" s="41" t="s">
        <v>81</v>
      </c>
      <c r="G935" s="41" t="n">
        <v>64.08</v>
      </c>
      <c r="H935" s="41" t="n">
        <v>7</v>
      </c>
      <c r="I935" s="41" t="n">
        <v>22.428</v>
      </c>
      <c r="J935" s="41" t="n">
        <v>470.988</v>
      </c>
      <c r="K935" s="41" t="s">
        <v>1284</v>
      </c>
      <c r="L935" s="41" t="s">
        <v>1293</v>
      </c>
      <c r="M935" s="41" t="s">
        <v>98</v>
      </c>
      <c r="N935" s="41" t="n">
        <v>448.56</v>
      </c>
      <c r="O935" s="41" t="n">
        <v>4.761904762</v>
      </c>
      <c r="P935" s="41" t="n">
        <v>22.428</v>
      </c>
      <c r="Q935" s="41" t="n">
        <v>7.6</v>
      </c>
    </row>
    <row r="936" customFormat="false" ht="15" hidden="false" customHeight="false" outlineLevel="0" collapsed="false">
      <c r="A936" s="41" t="s">
        <v>1114</v>
      </c>
      <c r="B936" s="41" t="s">
        <v>189</v>
      </c>
      <c r="C936" s="41" t="s">
        <v>86</v>
      </c>
      <c r="D936" s="41" t="s">
        <v>105</v>
      </c>
      <c r="E936" s="41" t="s">
        <v>102</v>
      </c>
      <c r="F936" s="41" t="s">
        <v>80</v>
      </c>
      <c r="G936" s="41" t="n">
        <v>63.15</v>
      </c>
      <c r="H936" s="41" t="n">
        <v>6</v>
      </c>
      <c r="I936" s="41" t="n">
        <v>18.945</v>
      </c>
      <c r="J936" s="41" t="n">
        <v>397.845</v>
      </c>
      <c r="K936" s="41" t="s">
        <v>1411</v>
      </c>
      <c r="L936" s="41" t="s">
        <v>1444</v>
      </c>
      <c r="M936" s="41" t="s">
        <v>98</v>
      </c>
      <c r="N936" s="41" t="n">
        <v>378.9</v>
      </c>
      <c r="O936" s="41" t="n">
        <v>4.761904762</v>
      </c>
      <c r="P936" s="41" t="n">
        <v>18.945</v>
      </c>
      <c r="Q936" s="41" t="n">
        <v>9.8</v>
      </c>
    </row>
    <row r="937" customFormat="false" ht="15" hidden="false" customHeight="false" outlineLevel="0" collapsed="false">
      <c r="A937" s="41" t="s">
        <v>1115</v>
      </c>
      <c r="B937" s="41" t="s">
        <v>180</v>
      </c>
      <c r="C937" s="41" t="s">
        <v>87</v>
      </c>
      <c r="D937" s="41" t="s">
        <v>104</v>
      </c>
      <c r="E937" s="41" t="s">
        <v>103</v>
      </c>
      <c r="F937" s="41" t="s">
        <v>80</v>
      </c>
      <c r="G937" s="41" t="n">
        <v>85.72</v>
      </c>
      <c r="H937" s="41" t="n">
        <v>3</v>
      </c>
      <c r="I937" s="41" t="n">
        <v>12.858</v>
      </c>
      <c r="J937" s="41" t="n">
        <v>270.018</v>
      </c>
      <c r="K937" s="41" t="s">
        <v>1300</v>
      </c>
      <c r="L937" s="41" t="s">
        <v>1379</v>
      </c>
      <c r="M937" s="41" t="s">
        <v>98</v>
      </c>
      <c r="N937" s="41" t="n">
        <v>257.16</v>
      </c>
      <c r="O937" s="41" t="n">
        <v>4.761904762</v>
      </c>
      <c r="P937" s="41" t="n">
        <v>12.858</v>
      </c>
      <c r="Q937" s="41" t="n">
        <v>5.1</v>
      </c>
    </row>
    <row r="938" customFormat="false" ht="15" hidden="false" customHeight="false" outlineLevel="0" collapsed="false">
      <c r="A938" s="41" t="s">
        <v>1116</v>
      </c>
      <c r="B938" s="41" t="s">
        <v>180</v>
      </c>
      <c r="C938" s="41" t="s">
        <v>87</v>
      </c>
      <c r="D938" s="41" t="s">
        <v>105</v>
      </c>
      <c r="E938" s="41" t="s">
        <v>102</v>
      </c>
      <c r="F938" s="41" t="s">
        <v>81</v>
      </c>
      <c r="G938" s="41" t="n">
        <v>78.89</v>
      </c>
      <c r="H938" s="41" t="n">
        <v>7</v>
      </c>
      <c r="I938" s="41" t="n">
        <v>27.6115</v>
      </c>
      <c r="J938" s="41" t="n">
        <v>579.8415</v>
      </c>
      <c r="K938" s="41" t="s">
        <v>1188</v>
      </c>
      <c r="L938" s="41" t="s">
        <v>1241</v>
      </c>
      <c r="M938" s="41" t="s">
        <v>98</v>
      </c>
      <c r="N938" s="41" t="n">
        <v>552.23</v>
      </c>
      <c r="O938" s="41" t="n">
        <v>4.761904762</v>
      </c>
      <c r="P938" s="41" t="n">
        <v>27.6115</v>
      </c>
      <c r="Q938" s="41" t="n">
        <v>7.5</v>
      </c>
    </row>
    <row r="939" customFormat="false" ht="15" hidden="false" customHeight="false" outlineLevel="0" collapsed="false">
      <c r="A939" s="41" t="s">
        <v>1117</v>
      </c>
      <c r="B939" s="41" t="s">
        <v>178</v>
      </c>
      <c r="C939" s="41" t="s">
        <v>85</v>
      </c>
      <c r="D939" s="41" t="s">
        <v>105</v>
      </c>
      <c r="E939" s="41" t="s">
        <v>102</v>
      </c>
      <c r="F939" s="41" t="s">
        <v>77</v>
      </c>
      <c r="G939" s="41" t="n">
        <v>89.48</v>
      </c>
      <c r="H939" s="41" t="n">
        <v>5</v>
      </c>
      <c r="I939" s="41" t="n">
        <v>22.37</v>
      </c>
      <c r="J939" s="41" t="n">
        <v>469.77</v>
      </c>
      <c r="K939" s="41" t="s">
        <v>1399</v>
      </c>
      <c r="L939" s="41" t="s">
        <v>1663</v>
      </c>
      <c r="M939" s="41" t="s">
        <v>97</v>
      </c>
      <c r="N939" s="41" t="n">
        <v>447.4</v>
      </c>
      <c r="O939" s="41" t="n">
        <v>4.761904762</v>
      </c>
      <c r="P939" s="41" t="n">
        <v>22.37</v>
      </c>
      <c r="Q939" s="41" t="n">
        <v>7.4</v>
      </c>
    </row>
    <row r="940" customFormat="false" ht="15" hidden="false" customHeight="false" outlineLevel="0" collapsed="false">
      <c r="A940" s="41" t="s">
        <v>1118</v>
      </c>
      <c r="B940" s="41" t="s">
        <v>178</v>
      </c>
      <c r="C940" s="41" t="s">
        <v>85</v>
      </c>
      <c r="D940" s="41" t="s">
        <v>104</v>
      </c>
      <c r="E940" s="41" t="s">
        <v>102</v>
      </c>
      <c r="F940" s="41" t="s">
        <v>81</v>
      </c>
      <c r="G940" s="41" t="n">
        <v>92.09</v>
      </c>
      <c r="H940" s="41" t="n">
        <v>3</v>
      </c>
      <c r="I940" s="41" t="n">
        <v>13.8135</v>
      </c>
      <c r="J940" s="41" t="n">
        <v>290.0835</v>
      </c>
      <c r="K940" s="41" t="s">
        <v>1231</v>
      </c>
      <c r="L940" s="41" t="s">
        <v>1770</v>
      </c>
      <c r="M940" s="41" t="s">
        <v>97</v>
      </c>
      <c r="N940" s="41" t="n">
        <v>276.27</v>
      </c>
      <c r="O940" s="41" t="n">
        <v>4.761904762</v>
      </c>
      <c r="P940" s="41" t="n">
        <v>13.8135</v>
      </c>
      <c r="Q940" s="41" t="n">
        <v>4.2</v>
      </c>
    </row>
    <row r="941" customFormat="false" ht="15" hidden="false" customHeight="false" outlineLevel="0" collapsed="false">
      <c r="A941" s="41" t="s">
        <v>1119</v>
      </c>
      <c r="B941" s="41" t="s">
        <v>180</v>
      </c>
      <c r="C941" s="41" t="s">
        <v>87</v>
      </c>
      <c r="D941" s="41" t="s">
        <v>105</v>
      </c>
      <c r="E941" s="41" t="s">
        <v>102</v>
      </c>
      <c r="F941" s="41" t="s">
        <v>76</v>
      </c>
      <c r="G941" s="41" t="n">
        <v>57.29</v>
      </c>
      <c r="H941" s="41" t="n">
        <v>6</v>
      </c>
      <c r="I941" s="41" t="n">
        <v>17.187</v>
      </c>
      <c r="J941" s="41" t="n">
        <v>360.927</v>
      </c>
      <c r="K941" s="41" t="s">
        <v>1416</v>
      </c>
      <c r="L941" s="41" t="s">
        <v>1310</v>
      </c>
      <c r="M941" s="41" t="s">
        <v>98</v>
      </c>
      <c r="N941" s="41" t="n">
        <v>343.74</v>
      </c>
      <c r="O941" s="41" t="n">
        <v>4.761904762</v>
      </c>
      <c r="P941" s="41" t="n">
        <v>17.187</v>
      </c>
      <c r="Q941" s="41" t="n">
        <v>5.9</v>
      </c>
    </row>
    <row r="942" customFormat="false" ht="15" hidden="false" customHeight="false" outlineLevel="0" collapsed="false">
      <c r="A942" s="41" t="s">
        <v>1120</v>
      </c>
      <c r="B942" s="41" t="s">
        <v>178</v>
      </c>
      <c r="C942" s="41" t="s">
        <v>85</v>
      </c>
      <c r="D942" s="41" t="s">
        <v>105</v>
      </c>
      <c r="E942" s="41" t="s">
        <v>103</v>
      </c>
      <c r="F942" s="41" t="s">
        <v>76</v>
      </c>
      <c r="G942" s="41" t="n">
        <v>66.52</v>
      </c>
      <c r="H942" s="41" t="n">
        <v>4</v>
      </c>
      <c r="I942" s="41" t="n">
        <v>13.304</v>
      </c>
      <c r="J942" s="41" t="n">
        <v>279.384</v>
      </c>
      <c r="K942" s="41" t="s">
        <v>1233</v>
      </c>
      <c r="L942" s="41" t="s">
        <v>1337</v>
      </c>
      <c r="M942" s="41" t="s">
        <v>98</v>
      </c>
      <c r="N942" s="41" t="n">
        <v>266.08</v>
      </c>
      <c r="O942" s="41" t="n">
        <v>4.761904762</v>
      </c>
      <c r="P942" s="41" t="n">
        <v>13.304</v>
      </c>
      <c r="Q942" s="41" t="n">
        <v>6.9</v>
      </c>
    </row>
    <row r="943" customFormat="false" ht="15" hidden="false" customHeight="false" outlineLevel="0" collapsed="false">
      <c r="A943" s="41" t="s">
        <v>1121</v>
      </c>
      <c r="B943" s="41" t="s">
        <v>180</v>
      </c>
      <c r="C943" s="41" t="s">
        <v>87</v>
      </c>
      <c r="D943" s="41" t="s">
        <v>104</v>
      </c>
      <c r="E943" s="41" t="s">
        <v>103</v>
      </c>
      <c r="F943" s="41" t="s">
        <v>79</v>
      </c>
      <c r="G943" s="41" t="n">
        <v>99.82</v>
      </c>
      <c r="H943" s="41" t="n">
        <v>9</v>
      </c>
      <c r="I943" s="41" t="n">
        <v>44.919</v>
      </c>
      <c r="J943" s="41" t="n">
        <v>943.299</v>
      </c>
      <c r="K943" s="41" t="s">
        <v>1281</v>
      </c>
      <c r="L943" s="41" t="s">
        <v>1350</v>
      </c>
      <c r="M943" s="41" t="s">
        <v>97</v>
      </c>
      <c r="N943" s="41" t="n">
        <v>898.38</v>
      </c>
      <c r="O943" s="41" t="n">
        <v>4.761904762</v>
      </c>
      <c r="P943" s="41" t="n">
        <v>44.919</v>
      </c>
      <c r="Q943" s="41" t="n">
        <v>6.6</v>
      </c>
    </row>
    <row r="944" customFormat="false" ht="15" hidden="false" customHeight="false" outlineLevel="0" collapsed="false">
      <c r="A944" s="41" t="s">
        <v>1122</v>
      </c>
      <c r="B944" s="41" t="s">
        <v>178</v>
      </c>
      <c r="C944" s="41" t="s">
        <v>85</v>
      </c>
      <c r="D944" s="41" t="s">
        <v>105</v>
      </c>
      <c r="E944" s="41" t="s">
        <v>102</v>
      </c>
      <c r="F944" s="41" t="s">
        <v>80</v>
      </c>
      <c r="G944" s="41" t="n">
        <v>45.68</v>
      </c>
      <c r="H944" s="41" t="n">
        <v>10</v>
      </c>
      <c r="I944" s="41" t="n">
        <v>22.84</v>
      </c>
      <c r="J944" s="41" t="n">
        <v>479.64</v>
      </c>
      <c r="K944" s="41" t="s">
        <v>1356</v>
      </c>
      <c r="L944" s="41" t="s">
        <v>1432</v>
      </c>
      <c r="M944" s="41" t="s">
        <v>98</v>
      </c>
      <c r="N944" s="41" t="n">
        <v>456.8</v>
      </c>
      <c r="O944" s="41" t="n">
        <v>4.761904762</v>
      </c>
      <c r="P944" s="41" t="n">
        <v>22.84</v>
      </c>
      <c r="Q944" s="41" t="n">
        <v>5.7</v>
      </c>
    </row>
    <row r="945" customFormat="false" ht="15" hidden="false" customHeight="false" outlineLevel="0" collapsed="false">
      <c r="A945" s="41" t="s">
        <v>1123</v>
      </c>
      <c r="B945" s="41" t="s">
        <v>178</v>
      </c>
      <c r="C945" s="41" t="s">
        <v>85</v>
      </c>
      <c r="D945" s="41" t="s">
        <v>105</v>
      </c>
      <c r="E945" s="41" t="s">
        <v>103</v>
      </c>
      <c r="F945" s="41" t="s">
        <v>81</v>
      </c>
      <c r="G945" s="41" t="n">
        <v>50.79</v>
      </c>
      <c r="H945" s="41" t="n">
        <v>5</v>
      </c>
      <c r="I945" s="41" t="n">
        <v>12.6975</v>
      </c>
      <c r="J945" s="41" t="n">
        <v>266.6475</v>
      </c>
      <c r="K945" s="41" t="s">
        <v>1563</v>
      </c>
      <c r="L945" s="41" t="s">
        <v>1491</v>
      </c>
      <c r="M945" s="41" t="s">
        <v>99</v>
      </c>
      <c r="N945" s="41" t="n">
        <v>253.95</v>
      </c>
      <c r="O945" s="41" t="n">
        <v>4.761904762</v>
      </c>
      <c r="P945" s="41" t="n">
        <v>12.6975</v>
      </c>
      <c r="Q945" s="41" t="n">
        <v>5.3</v>
      </c>
    </row>
    <row r="946" customFormat="false" ht="15" hidden="false" customHeight="false" outlineLevel="0" collapsed="false">
      <c r="A946" s="41" t="s">
        <v>1124</v>
      </c>
      <c r="B946" s="41" t="s">
        <v>178</v>
      </c>
      <c r="C946" s="41" t="s">
        <v>85</v>
      </c>
      <c r="D946" s="41" t="s">
        <v>104</v>
      </c>
      <c r="E946" s="41" t="s">
        <v>103</v>
      </c>
      <c r="F946" s="41" t="s">
        <v>81</v>
      </c>
      <c r="G946" s="41" t="n">
        <v>10.08</v>
      </c>
      <c r="H946" s="41" t="n">
        <v>7</v>
      </c>
      <c r="I946" s="41" t="n">
        <v>3.528</v>
      </c>
      <c r="J946" s="41" t="n">
        <v>74.088</v>
      </c>
      <c r="K946" s="41" t="s">
        <v>1343</v>
      </c>
      <c r="L946" s="41" t="s">
        <v>1522</v>
      </c>
      <c r="M946" s="41" t="s">
        <v>97</v>
      </c>
      <c r="N946" s="41" t="n">
        <v>70.56</v>
      </c>
      <c r="O946" s="41" t="n">
        <v>4.761904762</v>
      </c>
      <c r="P946" s="41" t="n">
        <v>3.528</v>
      </c>
      <c r="Q946" s="41" t="n">
        <v>4.2</v>
      </c>
    </row>
    <row r="947" customFormat="false" ht="15" hidden="false" customHeight="false" outlineLevel="0" collapsed="false">
      <c r="A947" s="41" t="s">
        <v>1125</v>
      </c>
      <c r="B947" s="41" t="s">
        <v>178</v>
      </c>
      <c r="C947" s="41" t="s">
        <v>85</v>
      </c>
      <c r="D947" s="41" t="s">
        <v>105</v>
      </c>
      <c r="E947" s="41" t="s">
        <v>102</v>
      </c>
      <c r="F947" s="41" t="s">
        <v>78</v>
      </c>
      <c r="G947" s="41" t="n">
        <v>93.88</v>
      </c>
      <c r="H947" s="41" t="n">
        <v>7</v>
      </c>
      <c r="I947" s="41" t="n">
        <v>32.858</v>
      </c>
      <c r="J947" s="41" t="n">
        <v>690.018</v>
      </c>
      <c r="K947" s="41" t="s">
        <v>1188</v>
      </c>
      <c r="L947" s="41" t="s">
        <v>1422</v>
      </c>
      <c r="M947" s="41" t="s">
        <v>99</v>
      </c>
      <c r="N947" s="41" t="n">
        <v>657.16</v>
      </c>
      <c r="O947" s="41" t="n">
        <v>4.761904762</v>
      </c>
      <c r="P947" s="41" t="n">
        <v>32.858</v>
      </c>
      <c r="Q947" s="41" t="n">
        <v>7.3</v>
      </c>
    </row>
    <row r="948" customFormat="false" ht="15" hidden="false" customHeight="false" outlineLevel="0" collapsed="false">
      <c r="A948" s="41" t="s">
        <v>1126</v>
      </c>
      <c r="B948" s="41" t="s">
        <v>180</v>
      </c>
      <c r="C948" s="41" t="s">
        <v>87</v>
      </c>
      <c r="D948" s="41" t="s">
        <v>104</v>
      </c>
      <c r="E948" s="41" t="s">
        <v>103</v>
      </c>
      <c r="F948" s="41" t="s">
        <v>78</v>
      </c>
      <c r="G948" s="41" t="n">
        <v>84.25</v>
      </c>
      <c r="H948" s="41" t="n">
        <v>2</v>
      </c>
      <c r="I948" s="41" t="n">
        <v>8.425</v>
      </c>
      <c r="J948" s="41" t="n">
        <v>176.925</v>
      </c>
      <c r="K948" s="41" t="s">
        <v>1338</v>
      </c>
      <c r="L948" s="41" t="s">
        <v>1656</v>
      </c>
      <c r="M948" s="41" t="s">
        <v>99</v>
      </c>
      <c r="N948" s="41" t="n">
        <v>168.5</v>
      </c>
      <c r="O948" s="41" t="n">
        <v>4.761904762</v>
      </c>
      <c r="P948" s="41" t="n">
        <v>8.425</v>
      </c>
      <c r="Q948" s="41" t="n">
        <v>5.3</v>
      </c>
    </row>
    <row r="949" customFormat="false" ht="15" hidden="false" customHeight="false" outlineLevel="0" collapsed="false">
      <c r="A949" s="41" t="s">
        <v>1127</v>
      </c>
      <c r="B949" s="41" t="s">
        <v>189</v>
      </c>
      <c r="C949" s="41" t="s">
        <v>86</v>
      </c>
      <c r="D949" s="41" t="s">
        <v>104</v>
      </c>
      <c r="E949" s="41" t="s">
        <v>103</v>
      </c>
      <c r="F949" s="41" t="s">
        <v>79</v>
      </c>
      <c r="G949" s="41" t="n">
        <v>53.78</v>
      </c>
      <c r="H949" s="41" t="n">
        <v>1</v>
      </c>
      <c r="I949" s="41" t="n">
        <v>2.689</v>
      </c>
      <c r="J949" s="41" t="n">
        <v>56.469</v>
      </c>
      <c r="K949" s="41" t="s">
        <v>1272</v>
      </c>
      <c r="L949" s="41" t="s">
        <v>1700</v>
      </c>
      <c r="M949" s="41" t="s">
        <v>98</v>
      </c>
      <c r="N949" s="41" t="n">
        <v>53.78</v>
      </c>
      <c r="O949" s="41" t="n">
        <v>4.761904762</v>
      </c>
      <c r="P949" s="41" t="n">
        <v>2.689</v>
      </c>
      <c r="Q949" s="41" t="n">
        <v>4.7</v>
      </c>
    </row>
    <row r="950" customFormat="false" ht="15" hidden="false" customHeight="false" outlineLevel="0" collapsed="false">
      <c r="A950" s="41" t="s">
        <v>1128</v>
      </c>
      <c r="B950" s="41" t="s">
        <v>180</v>
      </c>
      <c r="C950" s="41" t="s">
        <v>87</v>
      </c>
      <c r="D950" s="41" t="s">
        <v>104</v>
      </c>
      <c r="E950" s="41" t="s">
        <v>103</v>
      </c>
      <c r="F950" s="41" t="s">
        <v>80</v>
      </c>
      <c r="G950" s="41" t="n">
        <v>35.81</v>
      </c>
      <c r="H950" s="41" t="n">
        <v>5</v>
      </c>
      <c r="I950" s="41" t="n">
        <v>8.9525</v>
      </c>
      <c r="J950" s="41" t="n">
        <v>188.0025</v>
      </c>
      <c r="K950" s="41" t="s">
        <v>1208</v>
      </c>
      <c r="L950" s="41" t="s">
        <v>1367</v>
      </c>
      <c r="M950" s="41" t="s">
        <v>98</v>
      </c>
      <c r="N950" s="41" t="n">
        <v>179.05</v>
      </c>
      <c r="O950" s="41" t="n">
        <v>4.761904762</v>
      </c>
      <c r="P950" s="41" t="n">
        <v>8.9525</v>
      </c>
      <c r="Q950" s="41" t="n">
        <v>7.9</v>
      </c>
    </row>
    <row r="951" customFormat="false" ht="15" hidden="false" customHeight="false" outlineLevel="0" collapsed="false">
      <c r="A951" s="41" t="s">
        <v>1129</v>
      </c>
      <c r="B951" s="41" t="s">
        <v>189</v>
      </c>
      <c r="C951" s="41" t="s">
        <v>86</v>
      </c>
      <c r="D951" s="41" t="s">
        <v>105</v>
      </c>
      <c r="E951" s="41" t="s">
        <v>102</v>
      </c>
      <c r="F951" s="41" t="s">
        <v>76</v>
      </c>
      <c r="G951" s="41" t="n">
        <v>26.43</v>
      </c>
      <c r="H951" s="41" t="n">
        <v>8</v>
      </c>
      <c r="I951" s="41" t="n">
        <v>10.572</v>
      </c>
      <c r="J951" s="41" t="n">
        <v>222.012</v>
      </c>
      <c r="K951" s="41" t="s">
        <v>1202</v>
      </c>
      <c r="L951" s="41" t="s">
        <v>1712</v>
      </c>
      <c r="M951" s="41" t="s">
        <v>98</v>
      </c>
      <c r="N951" s="41" t="n">
        <v>211.44</v>
      </c>
      <c r="O951" s="41" t="n">
        <v>4.761904762</v>
      </c>
      <c r="P951" s="41" t="n">
        <v>10.572</v>
      </c>
      <c r="Q951" s="41" t="n">
        <v>8.9</v>
      </c>
    </row>
    <row r="952" customFormat="false" ht="15" hidden="false" customHeight="false" outlineLevel="0" collapsed="false">
      <c r="A952" s="41" t="s">
        <v>1130</v>
      </c>
      <c r="B952" s="41" t="s">
        <v>189</v>
      </c>
      <c r="C952" s="41" t="s">
        <v>86</v>
      </c>
      <c r="D952" s="41" t="s">
        <v>104</v>
      </c>
      <c r="E952" s="41" t="s">
        <v>103</v>
      </c>
      <c r="F952" s="41" t="s">
        <v>81</v>
      </c>
      <c r="G952" s="41" t="n">
        <v>39.91</v>
      </c>
      <c r="H952" s="41" t="n">
        <v>3</v>
      </c>
      <c r="I952" s="41" t="n">
        <v>5.9865</v>
      </c>
      <c r="J952" s="41" t="n">
        <v>125.7165</v>
      </c>
      <c r="K952" s="41" t="s">
        <v>1450</v>
      </c>
      <c r="L952" s="41" t="s">
        <v>1614</v>
      </c>
      <c r="M952" s="41" t="s">
        <v>98</v>
      </c>
      <c r="N952" s="41" t="n">
        <v>119.73</v>
      </c>
      <c r="O952" s="41" t="n">
        <v>4.761904762</v>
      </c>
      <c r="P952" s="41" t="n">
        <v>5.9865</v>
      </c>
      <c r="Q952" s="41" t="n">
        <v>9.3</v>
      </c>
    </row>
    <row r="953" customFormat="false" ht="15" hidden="false" customHeight="false" outlineLevel="0" collapsed="false">
      <c r="A953" s="41" t="s">
        <v>1131</v>
      </c>
      <c r="B953" s="41" t="s">
        <v>189</v>
      </c>
      <c r="C953" s="41" t="s">
        <v>86</v>
      </c>
      <c r="D953" s="41" t="s">
        <v>104</v>
      </c>
      <c r="E953" s="41" t="s">
        <v>102</v>
      </c>
      <c r="F953" s="41" t="s">
        <v>80</v>
      </c>
      <c r="G953" s="41" t="n">
        <v>21.9</v>
      </c>
      <c r="H953" s="41" t="n">
        <v>3</v>
      </c>
      <c r="I953" s="41" t="n">
        <v>3.285</v>
      </c>
      <c r="J953" s="41" t="n">
        <v>68.985</v>
      </c>
      <c r="K953" s="41" t="s">
        <v>1311</v>
      </c>
      <c r="L953" s="41" t="s">
        <v>1633</v>
      </c>
      <c r="M953" s="41" t="s">
        <v>98</v>
      </c>
      <c r="N953" s="41" t="n">
        <v>65.7</v>
      </c>
      <c r="O953" s="41" t="n">
        <v>4.761904762</v>
      </c>
      <c r="P953" s="41" t="n">
        <v>3.285</v>
      </c>
      <c r="Q953" s="41" t="n">
        <v>4.7</v>
      </c>
    </row>
    <row r="954" customFormat="false" ht="15" hidden="false" customHeight="false" outlineLevel="0" collapsed="false">
      <c r="A954" s="41" t="s">
        <v>1132</v>
      </c>
      <c r="B954" s="41" t="s">
        <v>189</v>
      </c>
      <c r="C954" s="41" t="s">
        <v>86</v>
      </c>
      <c r="D954" s="41" t="s">
        <v>104</v>
      </c>
      <c r="E954" s="41" t="s">
        <v>102</v>
      </c>
      <c r="F954" s="41" t="s">
        <v>76</v>
      </c>
      <c r="G954" s="41" t="n">
        <v>62.85</v>
      </c>
      <c r="H954" s="41" t="n">
        <v>4</v>
      </c>
      <c r="I954" s="41" t="n">
        <v>12.57</v>
      </c>
      <c r="J954" s="41" t="n">
        <v>263.97</v>
      </c>
      <c r="K954" s="41" t="s">
        <v>1200</v>
      </c>
      <c r="L954" s="41" t="s">
        <v>1340</v>
      </c>
      <c r="M954" s="41" t="s">
        <v>98</v>
      </c>
      <c r="N954" s="41" t="n">
        <v>251.4</v>
      </c>
      <c r="O954" s="41" t="n">
        <v>4.761904762</v>
      </c>
      <c r="P954" s="41" t="n">
        <v>12.57</v>
      </c>
      <c r="Q954" s="41" t="n">
        <v>8.7</v>
      </c>
    </row>
    <row r="955" customFormat="false" ht="15" hidden="false" customHeight="false" outlineLevel="0" collapsed="false">
      <c r="A955" s="41" t="s">
        <v>1133</v>
      </c>
      <c r="B955" s="41" t="s">
        <v>180</v>
      </c>
      <c r="C955" s="41" t="s">
        <v>87</v>
      </c>
      <c r="D955" s="41" t="s">
        <v>104</v>
      </c>
      <c r="E955" s="41" t="s">
        <v>102</v>
      </c>
      <c r="F955" s="41" t="s">
        <v>76</v>
      </c>
      <c r="G955" s="41" t="n">
        <v>21.04</v>
      </c>
      <c r="H955" s="41" t="n">
        <v>4</v>
      </c>
      <c r="I955" s="41" t="n">
        <v>4.208</v>
      </c>
      <c r="J955" s="41" t="n">
        <v>88.368</v>
      </c>
      <c r="K955" s="41" t="s">
        <v>1309</v>
      </c>
      <c r="L955" s="41" t="s">
        <v>1398</v>
      </c>
      <c r="M955" s="41" t="s">
        <v>97</v>
      </c>
      <c r="N955" s="41" t="n">
        <v>84.16</v>
      </c>
      <c r="O955" s="41" t="n">
        <v>4.761904762</v>
      </c>
      <c r="P955" s="41" t="n">
        <v>4.208</v>
      </c>
      <c r="Q955" s="41" t="n">
        <v>7.6</v>
      </c>
    </row>
    <row r="956" customFormat="false" ht="15" hidden="false" customHeight="false" outlineLevel="0" collapsed="false">
      <c r="A956" s="41" t="s">
        <v>1134</v>
      </c>
      <c r="B956" s="41" t="s">
        <v>189</v>
      </c>
      <c r="C956" s="41" t="s">
        <v>86</v>
      </c>
      <c r="D956" s="41" t="s">
        <v>104</v>
      </c>
      <c r="E956" s="41" t="s">
        <v>103</v>
      </c>
      <c r="F956" s="41" t="s">
        <v>80</v>
      </c>
      <c r="G956" s="41" t="n">
        <v>65.91</v>
      </c>
      <c r="H956" s="41" t="n">
        <v>6</v>
      </c>
      <c r="I956" s="41" t="n">
        <v>19.773</v>
      </c>
      <c r="J956" s="41" t="n">
        <v>415.233</v>
      </c>
      <c r="K956" s="41" t="s">
        <v>1334</v>
      </c>
      <c r="L956" s="41" t="s">
        <v>1664</v>
      </c>
      <c r="M956" s="41" t="s">
        <v>97</v>
      </c>
      <c r="N956" s="41" t="n">
        <v>395.46</v>
      </c>
      <c r="O956" s="41" t="n">
        <v>4.761904762</v>
      </c>
      <c r="P956" s="41" t="n">
        <v>19.773</v>
      </c>
      <c r="Q956" s="41" t="n">
        <v>5.7</v>
      </c>
    </row>
    <row r="957" customFormat="false" ht="15" hidden="false" customHeight="false" outlineLevel="0" collapsed="false">
      <c r="A957" s="41" t="s">
        <v>1135</v>
      </c>
      <c r="B957" s="41" t="s">
        <v>178</v>
      </c>
      <c r="C957" s="41" t="s">
        <v>85</v>
      </c>
      <c r="D957" s="41" t="s">
        <v>105</v>
      </c>
      <c r="E957" s="41" t="s">
        <v>102</v>
      </c>
      <c r="F957" s="41" t="s">
        <v>79</v>
      </c>
      <c r="G957" s="41" t="n">
        <v>42.57</v>
      </c>
      <c r="H957" s="41" t="n">
        <v>7</v>
      </c>
      <c r="I957" s="41" t="n">
        <v>14.8995</v>
      </c>
      <c r="J957" s="41" t="n">
        <v>312.8895</v>
      </c>
      <c r="K957" s="41" t="s">
        <v>1303</v>
      </c>
      <c r="L957" s="41" t="s">
        <v>1422</v>
      </c>
      <c r="M957" s="41" t="s">
        <v>97</v>
      </c>
      <c r="N957" s="41" t="n">
        <v>297.99</v>
      </c>
      <c r="O957" s="41" t="n">
        <v>4.761904762</v>
      </c>
      <c r="P957" s="41" t="n">
        <v>14.8995</v>
      </c>
      <c r="Q957" s="41" t="n">
        <v>6.8</v>
      </c>
    </row>
    <row r="958" customFormat="false" ht="15" hidden="false" customHeight="false" outlineLevel="0" collapsed="false">
      <c r="A958" s="41" t="s">
        <v>1136</v>
      </c>
      <c r="B958" s="41" t="s">
        <v>180</v>
      </c>
      <c r="C958" s="41" t="s">
        <v>87</v>
      </c>
      <c r="D958" s="41" t="s">
        <v>104</v>
      </c>
      <c r="E958" s="41" t="s">
        <v>103</v>
      </c>
      <c r="F958" s="41" t="s">
        <v>76</v>
      </c>
      <c r="G958" s="41" t="n">
        <v>50.49</v>
      </c>
      <c r="H958" s="41" t="n">
        <v>9</v>
      </c>
      <c r="I958" s="41" t="n">
        <v>22.7205</v>
      </c>
      <c r="J958" s="41" t="n">
        <v>477.1305</v>
      </c>
      <c r="K958" s="41" t="s">
        <v>1204</v>
      </c>
      <c r="L958" s="41" t="s">
        <v>1632</v>
      </c>
      <c r="M958" s="41" t="s">
        <v>97</v>
      </c>
      <c r="N958" s="41" t="n">
        <v>454.41</v>
      </c>
      <c r="O958" s="41" t="n">
        <v>4.761904762</v>
      </c>
      <c r="P958" s="41" t="n">
        <v>22.7205</v>
      </c>
      <c r="Q958" s="41" t="n">
        <v>5.4</v>
      </c>
    </row>
    <row r="959" customFormat="false" ht="15" hidden="false" customHeight="false" outlineLevel="0" collapsed="false">
      <c r="A959" s="41" t="s">
        <v>1137</v>
      </c>
      <c r="B959" s="41" t="s">
        <v>189</v>
      </c>
      <c r="C959" s="41" t="s">
        <v>86</v>
      </c>
      <c r="D959" s="41" t="s">
        <v>105</v>
      </c>
      <c r="E959" s="41" t="s">
        <v>103</v>
      </c>
      <c r="F959" s="41" t="s">
        <v>78</v>
      </c>
      <c r="G959" s="41" t="n">
        <v>46.02</v>
      </c>
      <c r="H959" s="41" t="n">
        <v>6</v>
      </c>
      <c r="I959" s="41" t="n">
        <v>13.806</v>
      </c>
      <c r="J959" s="41" t="n">
        <v>289.926</v>
      </c>
      <c r="K959" s="41" t="s">
        <v>1214</v>
      </c>
      <c r="L959" s="41" t="s">
        <v>1285</v>
      </c>
      <c r="M959" s="41" t="s">
        <v>97</v>
      </c>
      <c r="N959" s="41" t="n">
        <v>276.12</v>
      </c>
      <c r="O959" s="41" t="n">
        <v>4.761904762</v>
      </c>
      <c r="P959" s="41" t="n">
        <v>13.806</v>
      </c>
      <c r="Q959" s="41" t="n">
        <v>7.1</v>
      </c>
    </row>
    <row r="960" customFormat="false" ht="15" hidden="false" customHeight="false" outlineLevel="0" collapsed="false">
      <c r="A960" s="41" t="s">
        <v>1138</v>
      </c>
      <c r="B960" s="41" t="s">
        <v>180</v>
      </c>
      <c r="C960" s="41" t="s">
        <v>87</v>
      </c>
      <c r="D960" s="41" t="s">
        <v>105</v>
      </c>
      <c r="E960" s="41" t="s">
        <v>102</v>
      </c>
      <c r="F960" s="41" t="s">
        <v>80</v>
      </c>
      <c r="G960" s="41" t="n">
        <v>15.8</v>
      </c>
      <c r="H960" s="41" t="n">
        <v>10</v>
      </c>
      <c r="I960" s="41" t="n">
        <v>7.9</v>
      </c>
      <c r="J960" s="41" t="n">
        <v>165.9</v>
      </c>
      <c r="K960" s="41" t="s">
        <v>1311</v>
      </c>
      <c r="L960" s="41" t="s">
        <v>1619</v>
      </c>
      <c r="M960" s="41" t="s">
        <v>97</v>
      </c>
      <c r="N960" s="41" t="n">
        <v>158</v>
      </c>
      <c r="O960" s="41" t="n">
        <v>4.761904762</v>
      </c>
      <c r="P960" s="41" t="n">
        <v>7.9</v>
      </c>
      <c r="Q960" s="41" t="n">
        <v>7.8</v>
      </c>
    </row>
    <row r="961" customFormat="false" ht="15" hidden="false" customHeight="false" outlineLevel="0" collapsed="false">
      <c r="A961" s="41" t="s">
        <v>1139</v>
      </c>
      <c r="B961" s="41" t="s">
        <v>178</v>
      </c>
      <c r="C961" s="41" t="s">
        <v>85</v>
      </c>
      <c r="D961" s="41" t="s">
        <v>104</v>
      </c>
      <c r="E961" s="41" t="s">
        <v>102</v>
      </c>
      <c r="F961" s="41" t="s">
        <v>76</v>
      </c>
      <c r="G961" s="41" t="n">
        <v>98.66</v>
      </c>
      <c r="H961" s="41" t="n">
        <v>9</v>
      </c>
      <c r="I961" s="41" t="n">
        <v>44.397</v>
      </c>
      <c r="J961" s="41" t="n">
        <v>932.337</v>
      </c>
      <c r="K961" s="41" t="s">
        <v>1563</v>
      </c>
      <c r="L961" s="41" t="s">
        <v>1390</v>
      </c>
      <c r="M961" s="41" t="s">
        <v>97</v>
      </c>
      <c r="N961" s="41" t="n">
        <v>887.94</v>
      </c>
      <c r="O961" s="41" t="n">
        <v>4.761904762</v>
      </c>
      <c r="P961" s="41" t="n">
        <v>44.397</v>
      </c>
      <c r="Q961" s="41" t="n">
        <v>8.4</v>
      </c>
    </row>
    <row r="962" customFormat="false" ht="15" hidden="false" customHeight="false" outlineLevel="0" collapsed="false">
      <c r="A962" s="41" t="s">
        <v>1140</v>
      </c>
      <c r="B962" s="41" t="s">
        <v>180</v>
      </c>
      <c r="C962" s="41" t="s">
        <v>87</v>
      </c>
      <c r="D962" s="41" t="s">
        <v>104</v>
      </c>
      <c r="E962" s="41" t="s">
        <v>103</v>
      </c>
      <c r="F962" s="41" t="s">
        <v>79</v>
      </c>
      <c r="G962" s="41" t="n">
        <v>91.98</v>
      </c>
      <c r="H962" s="41" t="n">
        <v>1</v>
      </c>
      <c r="I962" s="41" t="n">
        <v>4.599</v>
      </c>
      <c r="J962" s="41" t="n">
        <v>96.579</v>
      </c>
      <c r="K962" s="41" t="s">
        <v>1442</v>
      </c>
      <c r="L962" s="41" t="s">
        <v>1676</v>
      </c>
      <c r="M962" s="41" t="s">
        <v>97</v>
      </c>
      <c r="N962" s="41" t="n">
        <v>91.98</v>
      </c>
      <c r="O962" s="41" t="n">
        <v>4.761904762</v>
      </c>
      <c r="P962" s="41" t="n">
        <v>4.599</v>
      </c>
      <c r="Q962" s="41" t="n">
        <v>9.8</v>
      </c>
    </row>
    <row r="963" customFormat="false" ht="15" hidden="false" customHeight="false" outlineLevel="0" collapsed="false">
      <c r="A963" s="41" t="s">
        <v>1141</v>
      </c>
      <c r="B963" s="41" t="s">
        <v>178</v>
      </c>
      <c r="C963" s="41" t="s">
        <v>85</v>
      </c>
      <c r="D963" s="41" t="s">
        <v>104</v>
      </c>
      <c r="E963" s="41" t="s">
        <v>103</v>
      </c>
      <c r="F963" s="41" t="s">
        <v>78</v>
      </c>
      <c r="G963" s="41" t="n">
        <v>20.89</v>
      </c>
      <c r="H963" s="41" t="n">
        <v>2</v>
      </c>
      <c r="I963" s="41" t="n">
        <v>2.089</v>
      </c>
      <c r="J963" s="41" t="n">
        <v>43.869</v>
      </c>
      <c r="K963" s="41" t="s">
        <v>1352</v>
      </c>
      <c r="L963" s="41" t="s">
        <v>1257</v>
      </c>
      <c r="M963" s="41" t="s">
        <v>97</v>
      </c>
      <c r="N963" s="41" t="n">
        <v>41.78</v>
      </c>
      <c r="O963" s="41" t="n">
        <v>4.761904762</v>
      </c>
      <c r="P963" s="41" t="n">
        <v>2.089</v>
      </c>
      <c r="Q963" s="41" t="n">
        <v>9.8</v>
      </c>
    </row>
    <row r="964" customFormat="false" ht="15" hidden="false" customHeight="false" outlineLevel="0" collapsed="false">
      <c r="A964" s="41" t="s">
        <v>1142</v>
      </c>
      <c r="B964" s="41" t="s">
        <v>178</v>
      </c>
      <c r="C964" s="41" t="s">
        <v>85</v>
      </c>
      <c r="D964" s="41" t="s">
        <v>105</v>
      </c>
      <c r="E964" s="41" t="s">
        <v>102</v>
      </c>
      <c r="F964" s="41" t="s">
        <v>79</v>
      </c>
      <c r="G964" s="41" t="n">
        <v>15.5</v>
      </c>
      <c r="H964" s="41" t="n">
        <v>1</v>
      </c>
      <c r="I964" s="41" t="n">
        <v>0.775</v>
      </c>
      <c r="J964" s="41" t="n">
        <v>16.275</v>
      </c>
      <c r="K964" s="41" t="s">
        <v>1270</v>
      </c>
      <c r="L964" s="41" t="s">
        <v>1771</v>
      </c>
      <c r="M964" s="41" t="s">
        <v>99</v>
      </c>
      <c r="N964" s="41" t="n">
        <v>15.5</v>
      </c>
      <c r="O964" s="41" t="n">
        <v>4.761904762</v>
      </c>
      <c r="P964" s="41" t="n">
        <v>0.775</v>
      </c>
      <c r="Q964" s="41" t="n">
        <v>7.4</v>
      </c>
    </row>
    <row r="965" customFormat="false" ht="15" hidden="false" customHeight="false" outlineLevel="0" collapsed="false">
      <c r="A965" s="41" t="s">
        <v>1143</v>
      </c>
      <c r="B965" s="41" t="s">
        <v>180</v>
      </c>
      <c r="C965" s="41" t="s">
        <v>87</v>
      </c>
      <c r="D965" s="41" t="s">
        <v>104</v>
      </c>
      <c r="E965" s="41" t="s">
        <v>103</v>
      </c>
      <c r="F965" s="41" t="s">
        <v>78</v>
      </c>
      <c r="G965" s="41" t="n">
        <v>96.82</v>
      </c>
      <c r="H965" s="41" t="n">
        <v>3</v>
      </c>
      <c r="I965" s="41" t="n">
        <v>14.523</v>
      </c>
      <c r="J965" s="41" t="n">
        <v>304.983</v>
      </c>
      <c r="K965" s="41" t="s">
        <v>1399</v>
      </c>
      <c r="L965" s="41" t="s">
        <v>1561</v>
      </c>
      <c r="M965" s="41" t="s">
        <v>97</v>
      </c>
      <c r="N965" s="41" t="n">
        <v>290.46</v>
      </c>
      <c r="O965" s="41" t="n">
        <v>4.761904762</v>
      </c>
      <c r="P965" s="41" t="n">
        <v>14.523</v>
      </c>
      <c r="Q965" s="41" t="n">
        <v>6.7</v>
      </c>
    </row>
    <row r="966" customFormat="false" ht="15" hidden="false" customHeight="false" outlineLevel="0" collapsed="false">
      <c r="A966" s="41" t="s">
        <v>1144</v>
      </c>
      <c r="B966" s="41" t="s">
        <v>189</v>
      </c>
      <c r="C966" s="41" t="s">
        <v>86</v>
      </c>
      <c r="D966" s="41" t="s">
        <v>105</v>
      </c>
      <c r="E966" s="41" t="s">
        <v>103</v>
      </c>
      <c r="F966" s="41" t="s">
        <v>76</v>
      </c>
      <c r="G966" s="41" t="n">
        <v>33.33</v>
      </c>
      <c r="H966" s="41" t="n">
        <v>2</v>
      </c>
      <c r="I966" s="41" t="n">
        <v>3.333</v>
      </c>
      <c r="J966" s="41" t="n">
        <v>69.993</v>
      </c>
      <c r="K966" s="41" t="s">
        <v>1317</v>
      </c>
      <c r="L966" s="41" t="s">
        <v>1671</v>
      </c>
      <c r="M966" s="41" t="s">
        <v>99</v>
      </c>
      <c r="N966" s="41" t="n">
        <v>66.66</v>
      </c>
      <c r="O966" s="41" t="n">
        <v>4.761904762</v>
      </c>
      <c r="P966" s="41" t="n">
        <v>3.333</v>
      </c>
      <c r="Q966" s="41" t="n">
        <v>6.4</v>
      </c>
    </row>
    <row r="967" customFormat="false" ht="15" hidden="false" customHeight="false" outlineLevel="0" collapsed="false">
      <c r="A967" s="41" t="s">
        <v>1145</v>
      </c>
      <c r="B967" s="41" t="s">
        <v>189</v>
      </c>
      <c r="C967" s="41" t="s">
        <v>86</v>
      </c>
      <c r="D967" s="41" t="s">
        <v>105</v>
      </c>
      <c r="E967" s="41" t="s">
        <v>102</v>
      </c>
      <c r="F967" s="41" t="s">
        <v>78</v>
      </c>
      <c r="G967" s="41" t="n">
        <v>38.27</v>
      </c>
      <c r="H967" s="41" t="n">
        <v>2</v>
      </c>
      <c r="I967" s="41" t="n">
        <v>3.827</v>
      </c>
      <c r="J967" s="41" t="n">
        <v>80.367</v>
      </c>
      <c r="K967" s="41" t="s">
        <v>1233</v>
      </c>
      <c r="L967" s="41" t="s">
        <v>1772</v>
      </c>
      <c r="M967" s="41" t="s">
        <v>99</v>
      </c>
      <c r="N967" s="41" t="n">
        <v>76.54</v>
      </c>
      <c r="O967" s="41" t="n">
        <v>4.761904762</v>
      </c>
      <c r="P967" s="41" t="n">
        <v>3.827</v>
      </c>
      <c r="Q967" s="41" t="n">
        <v>5.8</v>
      </c>
    </row>
    <row r="968" customFormat="false" ht="15" hidden="false" customHeight="false" outlineLevel="0" collapsed="false">
      <c r="A968" s="41" t="s">
        <v>1146</v>
      </c>
      <c r="B968" s="41" t="s">
        <v>178</v>
      </c>
      <c r="C968" s="41" t="s">
        <v>85</v>
      </c>
      <c r="D968" s="41" t="s">
        <v>105</v>
      </c>
      <c r="E968" s="41" t="s">
        <v>102</v>
      </c>
      <c r="F968" s="41" t="s">
        <v>80</v>
      </c>
      <c r="G968" s="41" t="n">
        <v>33.3</v>
      </c>
      <c r="H968" s="41" t="n">
        <v>9</v>
      </c>
      <c r="I968" s="41" t="n">
        <v>14.985</v>
      </c>
      <c r="J968" s="41" t="n">
        <v>314.685</v>
      </c>
      <c r="K968" s="41" t="s">
        <v>1261</v>
      </c>
      <c r="L968" s="41" t="s">
        <v>1669</v>
      </c>
      <c r="M968" s="41" t="s">
        <v>98</v>
      </c>
      <c r="N968" s="41" t="n">
        <v>299.7</v>
      </c>
      <c r="O968" s="41" t="n">
        <v>4.761904762</v>
      </c>
      <c r="P968" s="41" t="n">
        <v>14.985</v>
      </c>
      <c r="Q968" s="41" t="n">
        <v>7.2</v>
      </c>
    </row>
    <row r="969" customFormat="false" ht="15" hidden="false" customHeight="false" outlineLevel="0" collapsed="false">
      <c r="A969" s="41" t="s">
        <v>1147</v>
      </c>
      <c r="B969" s="41" t="s">
        <v>178</v>
      </c>
      <c r="C969" s="41" t="s">
        <v>85</v>
      </c>
      <c r="D969" s="41" t="s">
        <v>104</v>
      </c>
      <c r="E969" s="41" t="s">
        <v>103</v>
      </c>
      <c r="F969" s="41" t="s">
        <v>80</v>
      </c>
      <c r="G969" s="41" t="n">
        <v>81.01</v>
      </c>
      <c r="H969" s="41" t="n">
        <v>3</v>
      </c>
      <c r="I969" s="41" t="n">
        <v>12.1515</v>
      </c>
      <c r="J969" s="41" t="n">
        <v>255.1815</v>
      </c>
      <c r="K969" s="41" t="s">
        <v>1309</v>
      </c>
      <c r="L969" s="41" t="s">
        <v>1465</v>
      </c>
      <c r="M969" s="41" t="s">
        <v>99</v>
      </c>
      <c r="N969" s="41" t="n">
        <v>243.03</v>
      </c>
      <c r="O969" s="41" t="n">
        <v>4.761904762</v>
      </c>
      <c r="P969" s="41" t="n">
        <v>12.1515</v>
      </c>
      <c r="Q969" s="41" t="n">
        <v>9.3</v>
      </c>
    </row>
    <row r="970" customFormat="false" ht="15" hidden="false" customHeight="false" outlineLevel="0" collapsed="false">
      <c r="A970" s="41" t="s">
        <v>1148</v>
      </c>
      <c r="B970" s="41" t="s">
        <v>178</v>
      </c>
      <c r="C970" s="41" t="s">
        <v>85</v>
      </c>
      <c r="D970" s="41" t="s">
        <v>105</v>
      </c>
      <c r="E970" s="41" t="s">
        <v>102</v>
      </c>
      <c r="F970" s="41" t="s">
        <v>81</v>
      </c>
      <c r="G970" s="41" t="n">
        <v>15.8</v>
      </c>
      <c r="H970" s="41" t="n">
        <v>3</v>
      </c>
      <c r="I970" s="41" t="n">
        <v>2.37</v>
      </c>
      <c r="J970" s="41" t="n">
        <v>49.77</v>
      </c>
      <c r="K970" s="41" t="s">
        <v>1198</v>
      </c>
      <c r="L970" s="41" t="s">
        <v>1724</v>
      </c>
      <c r="M970" s="41" t="s">
        <v>97</v>
      </c>
      <c r="N970" s="41" t="n">
        <v>47.4</v>
      </c>
      <c r="O970" s="41" t="n">
        <v>4.761904762</v>
      </c>
      <c r="P970" s="41" t="n">
        <v>2.37</v>
      </c>
      <c r="Q970" s="41" t="n">
        <v>9.5</v>
      </c>
    </row>
    <row r="971" customFormat="false" ht="15" hidden="false" customHeight="false" outlineLevel="0" collapsed="false">
      <c r="A971" s="41" t="s">
        <v>1149</v>
      </c>
      <c r="B971" s="41" t="s">
        <v>189</v>
      </c>
      <c r="C971" s="41" t="s">
        <v>86</v>
      </c>
      <c r="D971" s="41" t="s">
        <v>104</v>
      </c>
      <c r="E971" s="41" t="s">
        <v>102</v>
      </c>
      <c r="F971" s="41" t="s">
        <v>78</v>
      </c>
      <c r="G971" s="41" t="n">
        <v>34.49</v>
      </c>
      <c r="H971" s="41" t="n">
        <v>5</v>
      </c>
      <c r="I971" s="41" t="n">
        <v>8.6225</v>
      </c>
      <c r="J971" s="41" t="n">
        <v>181.0725</v>
      </c>
      <c r="K971" s="41" t="s">
        <v>1220</v>
      </c>
      <c r="L971" s="41" t="s">
        <v>1403</v>
      </c>
      <c r="M971" s="41" t="s">
        <v>99</v>
      </c>
      <c r="N971" s="41" t="n">
        <v>172.45</v>
      </c>
      <c r="O971" s="41" t="n">
        <v>4.761904762</v>
      </c>
      <c r="P971" s="41" t="n">
        <v>8.6225</v>
      </c>
      <c r="Q971" s="41" t="n">
        <v>9</v>
      </c>
    </row>
    <row r="972" customFormat="false" ht="15" hidden="false" customHeight="false" outlineLevel="0" collapsed="false">
      <c r="A972" s="41" t="s">
        <v>1150</v>
      </c>
      <c r="B972" s="41" t="s">
        <v>189</v>
      </c>
      <c r="C972" s="41" t="s">
        <v>86</v>
      </c>
      <c r="D972" s="41" t="s">
        <v>104</v>
      </c>
      <c r="E972" s="41" t="s">
        <v>102</v>
      </c>
      <c r="F972" s="41" t="s">
        <v>76</v>
      </c>
      <c r="G972" s="41" t="n">
        <v>84.63</v>
      </c>
      <c r="H972" s="41" t="n">
        <v>10</v>
      </c>
      <c r="I972" s="41" t="n">
        <v>42.315</v>
      </c>
      <c r="J972" s="41" t="n">
        <v>888.615</v>
      </c>
      <c r="K972" s="41" t="s">
        <v>1222</v>
      </c>
      <c r="L972" s="41" t="s">
        <v>1412</v>
      </c>
      <c r="M972" s="41" t="s">
        <v>99</v>
      </c>
      <c r="N972" s="41" t="n">
        <v>846.3</v>
      </c>
      <c r="O972" s="41" t="n">
        <v>4.761904762</v>
      </c>
      <c r="P972" s="41" t="n">
        <v>42.315</v>
      </c>
      <c r="Q972" s="41" t="n">
        <v>9</v>
      </c>
    </row>
    <row r="973" customFormat="false" ht="15" hidden="false" customHeight="false" outlineLevel="0" collapsed="false">
      <c r="A973" s="41" t="s">
        <v>1151</v>
      </c>
      <c r="B973" s="41" t="s">
        <v>189</v>
      </c>
      <c r="C973" s="41" t="s">
        <v>86</v>
      </c>
      <c r="D973" s="41" t="s">
        <v>104</v>
      </c>
      <c r="E973" s="41" t="s">
        <v>103</v>
      </c>
      <c r="F973" s="41" t="s">
        <v>80</v>
      </c>
      <c r="G973" s="41" t="n">
        <v>36.91</v>
      </c>
      <c r="H973" s="41" t="n">
        <v>7</v>
      </c>
      <c r="I973" s="41" t="n">
        <v>12.9185</v>
      </c>
      <c r="J973" s="41" t="n">
        <v>271.2885</v>
      </c>
      <c r="K973" s="41" t="s">
        <v>1268</v>
      </c>
      <c r="L973" s="41" t="s">
        <v>1746</v>
      </c>
      <c r="M973" s="41" t="s">
        <v>98</v>
      </c>
      <c r="N973" s="41" t="n">
        <v>258.37</v>
      </c>
      <c r="O973" s="41" t="n">
        <v>4.761904762</v>
      </c>
      <c r="P973" s="41" t="n">
        <v>12.9185</v>
      </c>
      <c r="Q973" s="41" t="n">
        <v>6.7</v>
      </c>
    </row>
    <row r="974" customFormat="false" ht="15" hidden="false" customHeight="false" outlineLevel="0" collapsed="false">
      <c r="A974" s="41" t="s">
        <v>1152</v>
      </c>
      <c r="B974" s="41" t="s">
        <v>189</v>
      </c>
      <c r="C974" s="41" t="s">
        <v>86</v>
      </c>
      <c r="D974" s="41" t="s">
        <v>105</v>
      </c>
      <c r="E974" s="41" t="s">
        <v>103</v>
      </c>
      <c r="F974" s="41" t="s">
        <v>78</v>
      </c>
      <c r="G974" s="41" t="n">
        <v>87.08</v>
      </c>
      <c r="H974" s="41" t="n">
        <v>7</v>
      </c>
      <c r="I974" s="41" t="n">
        <v>30.478</v>
      </c>
      <c r="J974" s="41" t="n">
        <v>640.038</v>
      </c>
      <c r="K974" s="41" t="s">
        <v>1317</v>
      </c>
      <c r="L974" s="41" t="s">
        <v>1773</v>
      </c>
      <c r="M974" s="41" t="s">
        <v>97</v>
      </c>
      <c r="N974" s="41" t="n">
        <v>609.56</v>
      </c>
      <c r="O974" s="41" t="n">
        <v>4.761904762</v>
      </c>
      <c r="P974" s="41" t="n">
        <v>30.478</v>
      </c>
      <c r="Q974" s="41" t="n">
        <v>5.5</v>
      </c>
    </row>
    <row r="975" customFormat="false" ht="15" hidden="false" customHeight="false" outlineLevel="0" collapsed="false">
      <c r="A975" s="41" t="s">
        <v>1153</v>
      </c>
      <c r="B975" s="41" t="s">
        <v>178</v>
      </c>
      <c r="C975" s="41" t="s">
        <v>85</v>
      </c>
      <c r="D975" s="41" t="s">
        <v>105</v>
      </c>
      <c r="E975" s="41" t="s">
        <v>103</v>
      </c>
      <c r="F975" s="41" t="s">
        <v>80</v>
      </c>
      <c r="G975" s="41" t="n">
        <v>80.08</v>
      </c>
      <c r="H975" s="41" t="n">
        <v>3</v>
      </c>
      <c r="I975" s="41" t="n">
        <v>12.012</v>
      </c>
      <c r="J975" s="41" t="n">
        <v>252.252</v>
      </c>
      <c r="K975" s="41" t="s">
        <v>1305</v>
      </c>
      <c r="L975" s="41" t="s">
        <v>1676</v>
      </c>
      <c r="M975" s="41" t="s">
        <v>97</v>
      </c>
      <c r="N975" s="41" t="n">
        <v>240.24</v>
      </c>
      <c r="O975" s="41" t="n">
        <v>4.761904762</v>
      </c>
      <c r="P975" s="41" t="n">
        <v>12.012</v>
      </c>
      <c r="Q975" s="41" t="n">
        <v>5.4</v>
      </c>
    </row>
    <row r="976" customFormat="false" ht="15" hidden="false" customHeight="false" outlineLevel="0" collapsed="false">
      <c r="A976" s="41" t="s">
        <v>1154</v>
      </c>
      <c r="B976" s="41" t="s">
        <v>180</v>
      </c>
      <c r="C976" s="41" t="s">
        <v>87</v>
      </c>
      <c r="D976" s="41" t="s">
        <v>105</v>
      </c>
      <c r="E976" s="41" t="s">
        <v>103</v>
      </c>
      <c r="F976" s="41" t="s">
        <v>79</v>
      </c>
      <c r="G976" s="41" t="n">
        <v>86.13</v>
      </c>
      <c r="H976" s="41" t="n">
        <v>2</v>
      </c>
      <c r="I976" s="41" t="n">
        <v>8.613</v>
      </c>
      <c r="J976" s="41" t="n">
        <v>180.873</v>
      </c>
      <c r="K976" s="41" t="s">
        <v>1214</v>
      </c>
      <c r="L976" s="41" t="s">
        <v>1692</v>
      </c>
      <c r="M976" s="41" t="s">
        <v>97</v>
      </c>
      <c r="N976" s="41" t="n">
        <v>172.26</v>
      </c>
      <c r="O976" s="41" t="n">
        <v>4.761904762</v>
      </c>
      <c r="P976" s="41" t="n">
        <v>8.613</v>
      </c>
      <c r="Q976" s="41" t="n">
        <v>8.2</v>
      </c>
    </row>
    <row r="977" customFormat="false" ht="15" hidden="false" customHeight="false" outlineLevel="0" collapsed="false">
      <c r="A977" s="41" t="s">
        <v>1155</v>
      </c>
      <c r="B977" s="41" t="s">
        <v>189</v>
      </c>
      <c r="C977" s="41" t="s">
        <v>86</v>
      </c>
      <c r="D977" s="41" t="s">
        <v>104</v>
      </c>
      <c r="E977" s="41" t="s">
        <v>103</v>
      </c>
      <c r="F977" s="41" t="s">
        <v>79</v>
      </c>
      <c r="G977" s="41" t="n">
        <v>49.92</v>
      </c>
      <c r="H977" s="41" t="n">
        <v>2</v>
      </c>
      <c r="I977" s="41" t="n">
        <v>4.992</v>
      </c>
      <c r="J977" s="41" t="n">
        <v>104.832</v>
      </c>
      <c r="K977" s="41" t="s">
        <v>1292</v>
      </c>
      <c r="L977" s="41" t="s">
        <v>1748</v>
      </c>
      <c r="M977" s="41" t="s">
        <v>99</v>
      </c>
      <c r="N977" s="41" t="n">
        <v>99.84</v>
      </c>
      <c r="O977" s="41" t="n">
        <v>4.761904762</v>
      </c>
      <c r="P977" s="41" t="n">
        <v>4.992</v>
      </c>
      <c r="Q977" s="41" t="n">
        <v>7</v>
      </c>
    </row>
    <row r="978" customFormat="false" ht="15" hidden="false" customHeight="false" outlineLevel="0" collapsed="false">
      <c r="A978" s="41" t="s">
        <v>1156</v>
      </c>
      <c r="B978" s="41" t="s">
        <v>178</v>
      </c>
      <c r="C978" s="41" t="s">
        <v>85</v>
      </c>
      <c r="D978" s="41" t="s">
        <v>105</v>
      </c>
      <c r="E978" s="41" t="s">
        <v>102</v>
      </c>
      <c r="F978" s="41" t="s">
        <v>76</v>
      </c>
      <c r="G978" s="41" t="n">
        <v>74.66</v>
      </c>
      <c r="H978" s="41" t="n">
        <v>4</v>
      </c>
      <c r="I978" s="41" t="n">
        <v>14.932</v>
      </c>
      <c r="J978" s="41" t="n">
        <v>313.572</v>
      </c>
      <c r="K978" s="41" t="s">
        <v>1261</v>
      </c>
      <c r="L978" s="41" t="s">
        <v>1223</v>
      </c>
      <c r="M978" s="41" t="s">
        <v>97</v>
      </c>
      <c r="N978" s="41" t="n">
        <v>298.64</v>
      </c>
      <c r="O978" s="41" t="n">
        <v>4.761904762</v>
      </c>
      <c r="P978" s="41" t="n">
        <v>14.932</v>
      </c>
      <c r="Q978" s="41" t="n">
        <v>8.5</v>
      </c>
    </row>
    <row r="979" customFormat="false" ht="15" hidden="false" customHeight="false" outlineLevel="0" collapsed="false">
      <c r="A979" s="41" t="s">
        <v>1157</v>
      </c>
      <c r="B979" s="41" t="s">
        <v>189</v>
      </c>
      <c r="C979" s="41" t="s">
        <v>86</v>
      </c>
      <c r="D979" s="41" t="s">
        <v>104</v>
      </c>
      <c r="E979" s="41" t="s">
        <v>103</v>
      </c>
      <c r="F979" s="41" t="s">
        <v>76</v>
      </c>
      <c r="G979" s="41" t="n">
        <v>26.6</v>
      </c>
      <c r="H979" s="41" t="n">
        <v>6</v>
      </c>
      <c r="I979" s="41" t="n">
        <v>7.98</v>
      </c>
      <c r="J979" s="41" t="n">
        <v>167.58</v>
      </c>
      <c r="K979" s="41" t="s">
        <v>1463</v>
      </c>
      <c r="L979" s="41" t="s">
        <v>1274</v>
      </c>
      <c r="M979" s="41" t="s">
        <v>98</v>
      </c>
      <c r="N979" s="41" t="n">
        <v>159.6</v>
      </c>
      <c r="O979" s="41" t="n">
        <v>4.761904762</v>
      </c>
      <c r="P979" s="41" t="n">
        <v>7.98</v>
      </c>
      <c r="Q979" s="41" t="n">
        <v>4.9</v>
      </c>
    </row>
    <row r="980" customFormat="false" ht="15" hidden="false" customHeight="false" outlineLevel="0" collapsed="false">
      <c r="A980" s="41" t="s">
        <v>1158</v>
      </c>
      <c r="B980" s="41" t="s">
        <v>189</v>
      </c>
      <c r="C980" s="41" t="s">
        <v>86</v>
      </c>
      <c r="D980" s="41" t="s">
        <v>105</v>
      </c>
      <c r="E980" s="41" t="s">
        <v>102</v>
      </c>
      <c r="F980" s="41" t="s">
        <v>78</v>
      </c>
      <c r="G980" s="41" t="n">
        <v>25.45</v>
      </c>
      <c r="H980" s="41" t="n">
        <v>1</v>
      </c>
      <c r="I980" s="41" t="n">
        <v>1.2725</v>
      </c>
      <c r="J980" s="41" t="n">
        <v>26.7225</v>
      </c>
      <c r="K980" s="41" t="s">
        <v>1238</v>
      </c>
      <c r="L980" s="41" t="s">
        <v>1668</v>
      </c>
      <c r="M980" s="41" t="s">
        <v>99</v>
      </c>
      <c r="N980" s="41" t="n">
        <v>25.45</v>
      </c>
      <c r="O980" s="41" t="n">
        <v>4.761904762</v>
      </c>
      <c r="P980" s="41" t="n">
        <v>1.2725</v>
      </c>
      <c r="Q980" s="41" t="n">
        <v>5.1</v>
      </c>
    </row>
    <row r="981" customFormat="false" ht="15" hidden="false" customHeight="false" outlineLevel="0" collapsed="false">
      <c r="A981" s="41" t="s">
        <v>1159</v>
      </c>
      <c r="B981" s="41" t="s">
        <v>189</v>
      </c>
      <c r="C981" s="41" t="s">
        <v>86</v>
      </c>
      <c r="D981" s="41" t="s">
        <v>105</v>
      </c>
      <c r="E981" s="41" t="s">
        <v>102</v>
      </c>
      <c r="F981" s="41" t="s">
        <v>76</v>
      </c>
      <c r="G981" s="41" t="n">
        <v>67.77</v>
      </c>
      <c r="H981" s="41" t="n">
        <v>1</v>
      </c>
      <c r="I981" s="41" t="n">
        <v>3.3885</v>
      </c>
      <c r="J981" s="41" t="n">
        <v>71.1585</v>
      </c>
      <c r="K981" s="41" t="s">
        <v>1549</v>
      </c>
      <c r="L981" s="41" t="s">
        <v>1683</v>
      </c>
      <c r="M981" s="41" t="s">
        <v>99</v>
      </c>
      <c r="N981" s="41" t="n">
        <v>67.77</v>
      </c>
      <c r="O981" s="41" t="n">
        <v>4.761904762</v>
      </c>
      <c r="P981" s="41" t="n">
        <v>3.3885</v>
      </c>
      <c r="Q981" s="41" t="n">
        <v>6.5</v>
      </c>
    </row>
    <row r="982" customFormat="false" ht="15" hidden="false" customHeight="false" outlineLevel="0" collapsed="false">
      <c r="A982" s="41" t="s">
        <v>1160</v>
      </c>
      <c r="B982" s="41" t="s">
        <v>180</v>
      </c>
      <c r="C982" s="41" t="s">
        <v>87</v>
      </c>
      <c r="D982" s="41" t="s">
        <v>104</v>
      </c>
      <c r="E982" s="41" t="s">
        <v>103</v>
      </c>
      <c r="F982" s="41" t="s">
        <v>76</v>
      </c>
      <c r="G982" s="41" t="n">
        <v>59.59</v>
      </c>
      <c r="H982" s="41" t="n">
        <v>4</v>
      </c>
      <c r="I982" s="41" t="n">
        <v>11.918</v>
      </c>
      <c r="J982" s="41" t="n">
        <v>250.278</v>
      </c>
      <c r="K982" s="41" t="s">
        <v>1356</v>
      </c>
      <c r="L982" s="41" t="s">
        <v>1304</v>
      </c>
      <c r="M982" s="41" t="s">
        <v>97</v>
      </c>
      <c r="N982" s="41" t="n">
        <v>238.36</v>
      </c>
      <c r="O982" s="41" t="n">
        <v>4.761904762</v>
      </c>
      <c r="P982" s="41" t="n">
        <v>11.918</v>
      </c>
      <c r="Q982" s="41" t="n">
        <v>9.8</v>
      </c>
    </row>
    <row r="983" customFormat="false" ht="15" hidden="false" customHeight="false" outlineLevel="0" collapsed="false">
      <c r="A983" s="41" t="s">
        <v>1161</v>
      </c>
      <c r="B983" s="41" t="s">
        <v>178</v>
      </c>
      <c r="C983" s="41" t="s">
        <v>85</v>
      </c>
      <c r="D983" s="41" t="s">
        <v>105</v>
      </c>
      <c r="E983" s="41" t="s">
        <v>103</v>
      </c>
      <c r="F983" s="41" t="s">
        <v>81</v>
      </c>
      <c r="G983" s="41" t="n">
        <v>58.15</v>
      </c>
      <c r="H983" s="41" t="n">
        <v>4</v>
      </c>
      <c r="I983" s="41" t="n">
        <v>11.63</v>
      </c>
      <c r="J983" s="41" t="n">
        <v>244.23</v>
      </c>
      <c r="K983" s="41" t="s">
        <v>1319</v>
      </c>
      <c r="L983" s="41" t="s">
        <v>1562</v>
      </c>
      <c r="M983" s="41" t="s">
        <v>97</v>
      </c>
      <c r="N983" s="41" t="n">
        <v>232.6</v>
      </c>
      <c r="O983" s="41" t="n">
        <v>4.761904762</v>
      </c>
      <c r="P983" s="41" t="n">
        <v>11.63</v>
      </c>
      <c r="Q983" s="41" t="n">
        <v>8.4</v>
      </c>
    </row>
    <row r="984" customFormat="false" ht="15" hidden="false" customHeight="false" outlineLevel="0" collapsed="false">
      <c r="A984" s="41" t="s">
        <v>1162</v>
      </c>
      <c r="B984" s="41" t="s">
        <v>178</v>
      </c>
      <c r="C984" s="41" t="s">
        <v>85</v>
      </c>
      <c r="D984" s="41" t="s">
        <v>104</v>
      </c>
      <c r="E984" s="41" t="s">
        <v>102</v>
      </c>
      <c r="F984" s="41" t="s">
        <v>77</v>
      </c>
      <c r="G984" s="41" t="n">
        <v>97.48</v>
      </c>
      <c r="H984" s="41" t="n">
        <v>9</v>
      </c>
      <c r="I984" s="41" t="n">
        <v>43.866</v>
      </c>
      <c r="J984" s="41" t="n">
        <v>921.186</v>
      </c>
      <c r="K984" s="41" t="s">
        <v>1494</v>
      </c>
      <c r="L984" s="41" t="s">
        <v>1672</v>
      </c>
      <c r="M984" s="41" t="s">
        <v>98</v>
      </c>
      <c r="N984" s="41" t="n">
        <v>877.32</v>
      </c>
      <c r="O984" s="41" t="n">
        <v>4.761904762</v>
      </c>
      <c r="P984" s="41" t="n">
        <v>43.866</v>
      </c>
      <c r="Q984" s="41" t="n">
        <v>7.4</v>
      </c>
    </row>
    <row r="985" customFormat="false" ht="15" hidden="false" customHeight="false" outlineLevel="0" collapsed="false">
      <c r="A985" s="41" t="s">
        <v>1163</v>
      </c>
      <c r="B985" s="41" t="s">
        <v>180</v>
      </c>
      <c r="C985" s="41" t="s">
        <v>87</v>
      </c>
      <c r="D985" s="41" t="s">
        <v>105</v>
      </c>
      <c r="E985" s="41" t="s">
        <v>103</v>
      </c>
      <c r="F985" s="41" t="s">
        <v>81</v>
      </c>
      <c r="G985" s="41" t="n">
        <v>99.96</v>
      </c>
      <c r="H985" s="41" t="n">
        <v>7</v>
      </c>
      <c r="I985" s="41" t="n">
        <v>34.986</v>
      </c>
      <c r="J985" s="41" t="n">
        <v>734.706</v>
      </c>
      <c r="K985" s="41" t="s">
        <v>1319</v>
      </c>
      <c r="L985" s="41" t="s">
        <v>1644</v>
      </c>
      <c r="M985" s="41" t="s">
        <v>97</v>
      </c>
      <c r="N985" s="41" t="n">
        <v>699.72</v>
      </c>
      <c r="O985" s="41" t="n">
        <v>4.761904762</v>
      </c>
      <c r="P985" s="41" t="n">
        <v>34.986</v>
      </c>
      <c r="Q985" s="41" t="n">
        <v>6.1</v>
      </c>
    </row>
    <row r="986" customFormat="false" ht="15" hidden="false" customHeight="false" outlineLevel="0" collapsed="false">
      <c r="A986" s="41" t="s">
        <v>1164</v>
      </c>
      <c r="B986" s="41" t="s">
        <v>180</v>
      </c>
      <c r="C986" s="41" t="s">
        <v>87</v>
      </c>
      <c r="D986" s="41" t="s">
        <v>105</v>
      </c>
      <c r="E986" s="41" t="s">
        <v>103</v>
      </c>
      <c r="F986" s="41" t="s">
        <v>78</v>
      </c>
      <c r="G986" s="41" t="n">
        <v>96.37</v>
      </c>
      <c r="H986" s="41" t="n">
        <v>7</v>
      </c>
      <c r="I986" s="41" t="n">
        <v>33.7295</v>
      </c>
      <c r="J986" s="41" t="n">
        <v>708.3195</v>
      </c>
      <c r="K986" s="41" t="s">
        <v>1311</v>
      </c>
      <c r="L986" s="41" t="s">
        <v>1606</v>
      </c>
      <c r="M986" s="41" t="s">
        <v>97</v>
      </c>
      <c r="N986" s="41" t="n">
        <v>674.59</v>
      </c>
      <c r="O986" s="41" t="n">
        <v>4.761904762</v>
      </c>
      <c r="P986" s="41" t="n">
        <v>33.7295</v>
      </c>
      <c r="Q986" s="41" t="n">
        <v>6</v>
      </c>
    </row>
    <row r="987" customFormat="false" ht="15" hidden="false" customHeight="false" outlineLevel="0" collapsed="false">
      <c r="A987" s="41" t="s">
        <v>1165</v>
      </c>
      <c r="B987" s="41" t="s">
        <v>189</v>
      </c>
      <c r="C987" s="41" t="s">
        <v>86</v>
      </c>
      <c r="D987" s="41" t="s">
        <v>105</v>
      </c>
      <c r="E987" s="41" t="s">
        <v>102</v>
      </c>
      <c r="F987" s="41" t="s">
        <v>79</v>
      </c>
      <c r="G987" s="41" t="n">
        <v>63.71</v>
      </c>
      <c r="H987" s="41" t="n">
        <v>5</v>
      </c>
      <c r="I987" s="41" t="n">
        <v>15.9275</v>
      </c>
      <c r="J987" s="41" t="n">
        <v>334.4775</v>
      </c>
      <c r="K987" s="41" t="s">
        <v>1214</v>
      </c>
      <c r="L987" s="41" t="s">
        <v>1432</v>
      </c>
      <c r="M987" s="41" t="s">
        <v>98</v>
      </c>
      <c r="N987" s="41" t="n">
        <v>318.55</v>
      </c>
      <c r="O987" s="41" t="n">
        <v>4.761904762</v>
      </c>
      <c r="P987" s="41" t="n">
        <v>15.9275</v>
      </c>
      <c r="Q987" s="41" t="n">
        <v>8.5</v>
      </c>
    </row>
    <row r="988" customFormat="false" ht="15" hidden="false" customHeight="false" outlineLevel="0" collapsed="false">
      <c r="A988" s="41" t="s">
        <v>1166</v>
      </c>
      <c r="B988" s="41" t="s">
        <v>189</v>
      </c>
      <c r="C988" s="41" t="s">
        <v>86</v>
      </c>
      <c r="D988" s="41" t="s">
        <v>105</v>
      </c>
      <c r="E988" s="41" t="s">
        <v>102</v>
      </c>
      <c r="F988" s="41" t="s">
        <v>81</v>
      </c>
      <c r="G988" s="41" t="n">
        <v>14.76</v>
      </c>
      <c r="H988" s="41" t="n">
        <v>2</v>
      </c>
      <c r="I988" s="41" t="n">
        <v>1.476</v>
      </c>
      <c r="J988" s="41" t="n">
        <v>30.996</v>
      </c>
      <c r="K988" s="41" t="s">
        <v>1377</v>
      </c>
      <c r="L988" s="41" t="s">
        <v>1275</v>
      </c>
      <c r="M988" s="41" t="s">
        <v>98</v>
      </c>
      <c r="N988" s="41" t="n">
        <v>29.52</v>
      </c>
      <c r="O988" s="41" t="n">
        <v>4.761904762</v>
      </c>
      <c r="P988" s="41" t="n">
        <v>1.476</v>
      </c>
      <c r="Q988" s="41" t="n">
        <v>4.3</v>
      </c>
    </row>
    <row r="989" customFormat="false" ht="15" hidden="false" customHeight="false" outlineLevel="0" collapsed="false">
      <c r="A989" s="41" t="s">
        <v>1167</v>
      </c>
      <c r="B989" s="41" t="s">
        <v>189</v>
      </c>
      <c r="C989" s="41" t="s">
        <v>86</v>
      </c>
      <c r="D989" s="41" t="s">
        <v>104</v>
      </c>
      <c r="E989" s="41" t="s">
        <v>103</v>
      </c>
      <c r="F989" s="41" t="s">
        <v>81</v>
      </c>
      <c r="G989" s="41" t="n">
        <v>62</v>
      </c>
      <c r="H989" s="41" t="n">
        <v>8</v>
      </c>
      <c r="I989" s="41" t="n">
        <v>24.8</v>
      </c>
      <c r="J989" s="41" t="n">
        <v>520.8</v>
      </c>
      <c r="K989" s="41" t="s">
        <v>1411</v>
      </c>
      <c r="L989" s="41" t="s">
        <v>1429</v>
      </c>
      <c r="M989" s="41" t="s">
        <v>99</v>
      </c>
      <c r="N989" s="41" t="n">
        <v>496</v>
      </c>
      <c r="O989" s="41" t="n">
        <v>4.761904762</v>
      </c>
      <c r="P989" s="41" t="n">
        <v>24.8</v>
      </c>
      <c r="Q989" s="41" t="n">
        <v>6.2</v>
      </c>
    </row>
    <row r="990" customFormat="false" ht="15" hidden="false" customHeight="false" outlineLevel="0" collapsed="false">
      <c r="A990" s="41" t="s">
        <v>1168</v>
      </c>
      <c r="B990" s="41" t="s">
        <v>180</v>
      </c>
      <c r="C990" s="41" t="s">
        <v>87</v>
      </c>
      <c r="D990" s="41" t="s">
        <v>104</v>
      </c>
      <c r="E990" s="41" t="s">
        <v>103</v>
      </c>
      <c r="F990" s="41" t="s">
        <v>78</v>
      </c>
      <c r="G990" s="41" t="n">
        <v>82.34</v>
      </c>
      <c r="H990" s="41" t="n">
        <v>10</v>
      </c>
      <c r="I990" s="41" t="n">
        <v>41.17</v>
      </c>
      <c r="J990" s="41" t="n">
        <v>864.57</v>
      </c>
      <c r="K990" s="41" t="s">
        <v>1216</v>
      </c>
      <c r="L990" s="41" t="s">
        <v>1774</v>
      </c>
      <c r="M990" s="41" t="s">
        <v>98</v>
      </c>
      <c r="N990" s="41" t="n">
        <v>823.4</v>
      </c>
      <c r="O990" s="41" t="n">
        <v>4.761904762</v>
      </c>
      <c r="P990" s="41" t="n">
        <v>41.17</v>
      </c>
      <c r="Q990" s="41" t="n">
        <v>4.3</v>
      </c>
    </row>
    <row r="991" customFormat="false" ht="15" hidden="false" customHeight="false" outlineLevel="0" collapsed="false">
      <c r="A991" s="41" t="s">
        <v>1169</v>
      </c>
      <c r="B991" s="41" t="s">
        <v>189</v>
      </c>
      <c r="C991" s="41" t="s">
        <v>86</v>
      </c>
      <c r="D991" s="41" t="s">
        <v>104</v>
      </c>
      <c r="E991" s="41" t="s">
        <v>103</v>
      </c>
      <c r="F991" s="41" t="s">
        <v>81</v>
      </c>
      <c r="G991" s="41" t="n">
        <v>75.37</v>
      </c>
      <c r="H991" s="41" t="n">
        <v>8</v>
      </c>
      <c r="I991" s="41" t="n">
        <v>30.148</v>
      </c>
      <c r="J991" s="41" t="n">
        <v>633.108</v>
      </c>
      <c r="K991" s="41" t="s">
        <v>1244</v>
      </c>
      <c r="L991" s="41" t="s">
        <v>1276</v>
      </c>
      <c r="M991" s="41" t="s">
        <v>99</v>
      </c>
      <c r="N991" s="41" t="n">
        <v>602.96</v>
      </c>
      <c r="O991" s="41" t="n">
        <v>4.761904762</v>
      </c>
      <c r="P991" s="41" t="n">
        <v>30.148</v>
      </c>
      <c r="Q991" s="41" t="n">
        <v>8.4</v>
      </c>
    </row>
    <row r="992" customFormat="false" ht="15" hidden="false" customHeight="false" outlineLevel="0" collapsed="false">
      <c r="A992" s="41" t="s">
        <v>1170</v>
      </c>
      <c r="B992" s="41" t="s">
        <v>178</v>
      </c>
      <c r="C992" s="41" t="s">
        <v>85</v>
      </c>
      <c r="D992" s="41" t="s">
        <v>105</v>
      </c>
      <c r="E992" s="41" t="s">
        <v>102</v>
      </c>
      <c r="F992" s="41" t="s">
        <v>76</v>
      </c>
      <c r="G992" s="41" t="n">
        <v>56.56</v>
      </c>
      <c r="H992" s="41" t="n">
        <v>5</v>
      </c>
      <c r="I992" s="41" t="n">
        <v>14.14</v>
      </c>
      <c r="J992" s="41" t="n">
        <v>296.94</v>
      </c>
      <c r="K992" s="41" t="s">
        <v>1235</v>
      </c>
      <c r="L992" s="41" t="s">
        <v>1484</v>
      </c>
      <c r="M992" s="41" t="s">
        <v>99</v>
      </c>
      <c r="N992" s="41" t="n">
        <v>282.8</v>
      </c>
      <c r="O992" s="41" t="n">
        <v>4.761904762</v>
      </c>
      <c r="P992" s="41" t="n">
        <v>14.14</v>
      </c>
      <c r="Q992" s="41" t="n">
        <v>4.5</v>
      </c>
    </row>
    <row r="993" customFormat="false" ht="15" hidden="false" customHeight="false" outlineLevel="0" collapsed="false">
      <c r="A993" s="41" t="s">
        <v>1171</v>
      </c>
      <c r="B993" s="41" t="s">
        <v>189</v>
      </c>
      <c r="C993" s="41" t="s">
        <v>86</v>
      </c>
      <c r="D993" s="41" t="s">
        <v>105</v>
      </c>
      <c r="E993" s="41" t="s">
        <v>102</v>
      </c>
      <c r="F993" s="41" t="s">
        <v>77</v>
      </c>
      <c r="G993" s="41" t="n">
        <v>76.6</v>
      </c>
      <c r="H993" s="41" t="n">
        <v>10</v>
      </c>
      <c r="I993" s="41" t="n">
        <v>38.3</v>
      </c>
      <c r="J993" s="41" t="n">
        <v>804.3</v>
      </c>
      <c r="K993" s="41" t="s">
        <v>1300</v>
      </c>
      <c r="L993" s="41" t="s">
        <v>1668</v>
      </c>
      <c r="M993" s="41" t="s">
        <v>98</v>
      </c>
      <c r="N993" s="41" t="n">
        <v>766</v>
      </c>
      <c r="O993" s="41" t="n">
        <v>4.761904762</v>
      </c>
      <c r="P993" s="41" t="n">
        <v>38.3</v>
      </c>
      <c r="Q993" s="41" t="n">
        <v>6</v>
      </c>
    </row>
    <row r="994" customFormat="false" ht="15" hidden="false" customHeight="false" outlineLevel="0" collapsed="false">
      <c r="A994" s="41" t="s">
        <v>1172</v>
      </c>
      <c r="B994" s="41" t="s">
        <v>178</v>
      </c>
      <c r="C994" s="41" t="s">
        <v>85</v>
      </c>
      <c r="D994" s="41" t="s">
        <v>105</v>
      </c>
      <c r="E994" s="41" t="s">
        <v>103</v>
      </c>
      <c r="F994" s="41" t="s">
        <v>78</v>
      </c>
      <c r="G994" s="41" t="n">
        <v>58.03</v>
      </c>
      <c r="H994" s="41" t="n">
        <v>2</v>
      </c>
      <c r="I994" s="41" t="n">
        <v>5.803</v>
      </c>
      <c r="J994" s="41" t="n">
        <v>121.863</v>
      </c>
      <c r="K994" s="41" t="s">
        <v>1238</v>
      </c>
      <c r="L994" s="41" t="s">
        <v>1622</v>
      </c>
      <c r="M994" s="41" t="s">
        <v>98</v>
      </c>
      <c r="N994" s="41" t="n">
        <v>116.06</v>
      </c>
      <c r="O994" s="41" t="n">
        <v>4.761904762</v>
      </c>
      <c r="P994" s="41" t="n">
        <v>5.803</v>
      </c>
      <c r="Q994" s="41" t="n">
        <v>8.8</v>
      </c>
    </row>
    <row r="995" customFormat="false" ht="15" hidden="false" customHeight="false" outlineLevel="0" collapsed="false">
      <c r="A995" s="41" t="s">
        <v>1173</v>
      </c>
      <c r="B995" s="41" t="s">
        <v>189</v>
      </c>
      <c r="C995" s="41" t="s">
        <v>86</v>
      </c>
      <c r="D995" s="41" t="s">
        <v>105</v>
      </c>
      <c r="E995" s="41" t="s">
        <v>103</v>
      </c>
      <c r="F995" s="41" t="s">
        <v>79</v>
      </c>
      <c r="G995" s="41" t="n">
        <v>17.49</v>
      </c>
      <c r="H995" s="41" t="n">
        <v>10</v>
      </c>
      <c r="I995" s="41" t="n">
        <v>8.745</v>
      </c>
      <c r="J995" s="41" t="n">
        <v>183.645</v>
      </c>
      <c r="K995" s="41" t="s">
        <v>1386</v>
      </c>
      <c r="L995" s="41" t="s">
        <v>1745</v>
      </c>
      <c r="M995" s="41" t="s">
        <v>98</v>
      </c>
      <c r="N995" s="41" t="n">
        <v>174.9</v>
      </c>
      <c r="O995" s="41" t="n">
        <v>4.761904762</v>
      </c>
      <c r="P995" s="41" t="n">
        <v>8.745</v>
      </c>
      <c r="Q995" s="41" t="n">
        <v>6.6</v>
      </c>
    </row>
    <row r="996" customFormat="false" ht="15" hidden="false" customHeight="false" outlineLevel="0" collapsed="false">
      <c r="A996" s="41" t="s">
        <v>1174</v>
      </c>
      <c r="B996" s="41" t="s">
        <v>180</v>
      </c>
      <c r="C996" s="41" t="s">
        <v>87</v>
      </c>
      <c r="D996" s="41" t="s">
        <v>104</v>
      </c>
      <c r="E996" s="41" t="s">
        <v>102</v>
      </c>
      <c r="F996" s="41" t="s">
        <v>78</v>
      </c>
      <c r="G996" s="41" t="n">
        <v>60.95</v>
      </c>
      <c r="H996" s="41" t="n">
        <v>1</v>
      </c>
      <c r="I996" s="41" t="n">
        <v>3.0475</v>
      </c>
      <c r="J996" s="41" t="n">
        <v>63.9975</v>
      </c>
      <c r="K996" s="41" t="s">
        <v>1377</v>
      </c>
      <c r="L996" s="41" t="s">
        <v>1606</v>
      </c>
      <c r="M996" s="41" t="s">
        <v>98</v>
      </c>
      <c r="N996" s="41" t="n">
        <v>60.95</v>
      </c>
      <c r="O996" s="41" t="n">
        <v>4.761904762</v>
      </c>
      <c r="P996" s="41" t="n">
        <v>3.0475</v>
      </c>
      <c r="Q996" s="41" t="n">
        <v>5.9</v>
      </c>
    </row>
    <row r="997" customFormat="false" ht="15" hidden="false" customHeight="false" outlineLevel="0" collapsed="false">
      <c r="A997" s="41" t="s">
        <v>1175</v>
      </c>
      <c r="B997" s="41" t="s">
        <v>180</v>
      </c>
      <c r="C997" s="41" t="s">
        <v>87</v>
      </c>
      <c r="D997" s="41" t="s">
        <v>105</v>
      </c>
      <c r="E997" s="41" t="s">
        <v>103</v>
      </c>
      <c r="F997" s="41" t="s">
        <v>81</v>
      </c>
      <c r="G997" s="41" t="n">
        <v>40.35</v>
      </c>
      <c r="H997" s="41" t="n">
        <v>1</v>
      </c>
      <c r="I997" s="41" t="n">
        <v>2.0175</v>
      </c>
      <c r="J997" s="41" t="n">
        <v>42.3675</v>
      </c>
      <c r="K997" s="41" t="s">
        <v>1392</v>
      </c>
      <c r="L997" s="41" t="s">
        <v>1456</v>
      </c>
      <c r="M997" s="41" t="s">
        <v>98</v>
      </c>
      <c r="N997" s="41" t="n">
        <v>40.35</v>
      </c>
      <c r="O997" s="41" t="n">
        <v>4.761904762</v>
      </c>
      <c r="P997" s="41" t="n">
        <v>2.0175</v>
      </c>
      <c r="Q997" s="41" t="n">
        <v>6.2</v>
      </c>
    </row>
    <row r="998" customFormat="false" ht="15" hidden="false" customHeight="false" outlineLevel="0" collapsed="false">
      <c r="A998" s="41" t="s">
        <v>1176</v>
      </c>
      <c r="B998" s="41" t="s">
        <v>189</v>
      </c>
      <c r="C998" s="41" t="s">
        <v>86</v>
      </c>
      <c r="D998" s="41" t="s">
        <v>105</v>
      </c>
      <c r="E998" s="41" t="s">
        <v>102</v>
      </c>
      <c r="F998" s="41" t="s">
        <v>80</v>
      </c>
      <c r="G998" s="41" t="n">
        <v>97.38</v>
      </c>
      <c r="H998" s="41" t="n">
        <v>10</v>
      </c>
      <c r="I998" s="41" t="n">
        <v>48.69</v>
      </c>
      <c r="J998" s="41" t="n">
        <v>1022.49</v>
      </c>
      <c r="K998" s="41" t="s">
        <v>1233</v>
      </c>
      <c r="L998" s="41" t="s">
        <v>1632</v>
      </c>
      <c r="M998" s="41" t="s">
        <v>98</v>
      </c>
      <c r="N998" s="41" t="n">
        <v>973.8</v>
      </c>
      <c r="O998" s="41" t="n">
        <v>4.761904762</v>
      </c>
      <c r="P998" s="41" t="n">
        <v>48.69</v>
      </c>
      <c r="Q998" s="41" t="n">
        <v>4.4</v>
      </c>
    </row>
    <row r="999" customFormat="false" ht="15" hidden="false" customHeight="false" outlineLevel="0" collapsed="false">
      <c r="A999" s="41" t="s">
        <v>1177</v>
      </c>
      <c r="B999" s="41" t="s">
        <v>178</v>
      </c>
      <c r="C999" s="41" t="s">
        <v>85</v>
      </c>
      <c r="D999" s="41" t="s">
        <v>104</v>
      </c>
      <c r="E999" s="41" t="s">
        <v>103</v>
      </c>
      <c r="F999" s="41" t="s">
        <v>76</v>
      </c>
      <c r="G999" s="41" t="n">
        <v>31.84</v>
      </c>
      <c r="H999" s="41" t="n">
        <v>1</v>
      </c>
      <c r="I999" s="41" t="n">
        <v>1.592</v>
      </c>
      <c r="J999" s="41" t="n">
        <v>33.432</v>
      </c>
      <c r="K999" s="41" t="s">
        <v>1334</v>
      </c>
      <c r="L999" s="41" t="s">
        <v>1340</v>
      </c>
      <c r="M999" s="41" t="s">
        <v>97</v>
      </c>
      <c r="N999" s="41" t="n">
        <v>31.84</v>
      </c>
      <c r="O999" s="41" t="n">
        <v>4.761904762</v>
      </c>
      <c r="P999" s="41" t="n">
        <v>1.592</v>
      </c>
      <c r="Q999" s="41" t="n">
        <v>7.7</v>
      </c>
    </row>
    <row r="1000" customFormat="false" ht="15" hidden="false" customHeight="false" outlineLevel="0" collapsed="false">
      <c r="A1000" s="41" t="s">
        <v>1178</v>
      </c>
      <c r="B1000" s="41" t="s">
        <v>178</v>
      </c>
      <c r="C1000" s="41" t="s">
        <v>85</v>
      </c>
      <c r="D1000" s="41" t="s">
        <v>105</v>
      </c>
      <c r="E1000" s="41" t="s">
        <v>103</v>
      </c>
      <c r="F1000" s="41" t="s">
        <v>80</v>
      </c>
      <c r="G1000" s="41" t="n">
        <v>65.82</v>
      </c>
      <c r="H1000" s="41" t="n">
        <v>1</v>
      </c>
      <c r="I1000" s="41" t="n">
        <v>3.291</v>
      </c>
      <c r="J1000" s="41" t="n">
        <v>69.111</v>
      </c>
      <c r="K1000" s="41" t="s">
        <v>1386</v>
      </c>
      <c r="L1000" s="41" t="s">
        <v>1709</v>
      </c>
      <c r="M1000" s="41" t="s">
        <v>97</v>
      </c>
      <c r="N1000" s="41" t="n">
        <v>65.82</v>
      </c>
      <c r="O1000" s="41" t="n">
        <v>4.761904762</v>
      </c>
      <c r="P1000" s="41" t="n">
        <v>3.291</v>
      </c>
      <c r="Q1000" s="41" t="n">
        <v>4.1</v>
      </c>
    </row>
    <row r="1001" customFormat="false" ht="15" hidden="false" customHeight="false" outlineLevel="0" collapsed="false">
      <c r="A1001" s="41" t="s">
        <v>1179</v>
      </c>
      <c r="B1001" s="41" t="s">
        <v>178</v>
      </c>
      <c r="C1001" s="41" t="s">
        <v>85</v>
      </c>
      <c r="D1001" s="41" t="s">
        <v>104</v>
      </c>
      <c r="E1001" s="41" t="s">
        <v>102</v>
      </c>
      <c r="F1001" s="41" t="s">
        <v>79</v>
      </c>
      <c r="G1001" s="41" t="n">
        <v>88.34</v>
      </c>
      <c r="H1001" s="41" t="n">
        <v>7</v>
      </c>
      <c r="I1001" s="41" t="n">
        <v>30.919</v>
      </c>
      <c r="J1001" s="41" t="n">
        <v>649.299</v>
      </c>
      <c r="K1001" s="41" t="s">
        <v>1377</v>
      </c>
      <c r="L1001" s="41" t="s">
        <v>1631</v>
      </c>
      <c r="M1001" s="41" t="s">
        <v>97</v>
      </c>
      <c r="N1001" s="41" t="n">
        <v>618.38</v>
      </c>
      <c r="O1001" s="41" t="n">
        <v>4.761904762</v>
      </c>
      <c r="P1001" s="41" t="n">
        <v>30.919</v>
      </c>
      <c r="Q1001" s="41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B"/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80"/>
    <col collapsed="false" customWidth="true" hidden="false" outlineLevel="0" max="6" min="6" style="0" width="2"/>
  </cols>
  <sheetData>
    <row r="1" customFormat="false" ht="33.75" hidden="false" customHeight="true" outlineLevel="0" collapsed="false">
      <c r="B1" s="1" t="s">
        <v>1775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1776</v>
      </c>
    </row>
    <row r="4" customFormat="false" ht="15" hidden="false" customHeight="false" outlineLevel="0" collapsed="false">
      <c r="B4" s="5" t="s">
        <v>1777</v>
      </c>
      <c r="C4" s="5" t="s">
        <v>1778</v>
      </c>
      <c r="D4" s="5" t="s">
        <v>1779</v>
      </c>
      <c r="E4" s="5" t="s">
        <v>1780</v>
      </c>
    </row>
    <row r="5" customFormat="false" ht="15" hidden="false" customHeight="false" outlineLevel="0" collapsed="false">
      <c r="B5" s="7" t="n">
        <v>1</v>
      </c>
      <c r="C5" s="6" t="s">
        <v>1781</v>
      </c>
      <c r="D5" s="47" t="n">
        <f aca="false">COUNTA(Raw_Data!A:A)-1</f>
        <v>1000</v>
      </c>
      <c r="E5" s="6" t="s">
        <v>1782</v>
      </c>
    </row>
    <row r="6" customFormat="false" ht="15" hidden="false" customHeight="false" outlineLevel="0" collapsed="false">
      <c r="B6" s="7" t="n">
        <v>2</v>
      </c>
      <c r="C6" s="6" t="s">
        <v>1783</v>
      </c>
      <c r="D6" s="47" t="n">
        <f aca="false">SUMPRODUCT(--(COUNTIF(Raw_Data!A2:A1001,Raw_Data!A2:A1001)&gt;1))</f>
        <v>0</v>
      </c>
      <c r="E6" s="6" t="s">
        <v>1784</v>
      </c>
    </row>
    <row r="7" customFormat="false" ht="15" hidden="false" customHeight="false" outlineLevel="0" collapsed="false">
      <c r="B7" s="7" t="n">
        <v>3</v>
      </c>
      <c r="C7" s="6" t="s">
        <v>1785</v>
      </c>
      <c r="D7" s="47" t="n">
        <f aca="false">COUNTBLANK(Raw_Data!A2:Q1001)</f>
        <v>0</v>
      </c>
      <c r="E7" s="6" t="s">
        <v>1786</v>
      </c>
    </row>
    <row r="8" customFormat="false" ht="15" hidden="false" customHeight="false" outlineLevel="0" collapsed="false">
      <c r="B8" s="7" t="n">
        <v>4</v>
      </c>
      <c r="C8" s="6" t="s">
        <v>1787</v>
      </c>
      <c r="D8" s="47" t="n">
        <f aca="false">SUMPRODUCT(--ISTEXT(Raw_Data!K2:K1001))</f>
        <v>1000</v>
      </c>
      <c r="E8" s="6" t="s">
        <v>1788</v>
      </c>
    </row>
    <row r="9" customFormat="false" ht="15" hidden="false" customHeight="false" outlineLevel="0" collapsed="false">
      <c r="B9" s="7" t="n">
        <v>5</v>
      </c>
      <c r="C9" s="6" t="s">
        <v>1789</v>
      </c>
      <c r="D9" s="47" t="n">
        <f aca="false">SUMPRODUCT(--ISTEXT(Raw_Data!L2:L1001))</f>
        <v>1000</v>
      </c>
      <c r="E9" s="6" t="s">
        <v>1790</v>
      </c>
    </row>
    <row r="10" customFormat="false" ht="15" hidden="false" customHeight="false" outlineLevel="0" collapsed="false">
      <c r="B10" s="7" t="n">
        <v>6</v>
      </c>
      <c r="C10" s="6" t="s">
        <v>1791</v>
      </c>
      <c r="D10" s="47" t="n">
        <f aca="false">SUMPRODUCT(--ISTEXT(Clean_Data!K2:K1001))</f>
        <v>0</v>
      </c>
      <c r="E10" s="6" t="s">
        <v>1792</v>
      </c>
    </row>
    <row r="11" customFormat="false" ht="15" hidden="false" customHeight="false" outlineLevel="0" collapsed="false">
      <c r="B11" s="7" t="n">
        <v>7</v>
      </c>
      <c r="C11" s="6" t="s">
        <v>1793</v>
      </c>
      <c r="D11" s="47" t="n">
        <f aca="false">SUMPRODUCT(--(ABS(Clean_Data!G2:G1001*Clean_Data!H2:H1001*1.05-Clean_Data!J2:J1001)&gt;0.01))</f>
        <v>0</v>
      </c>
      <c r="E11" s="6" t="s">
        <v>1794</v>
      </c>
    </row>
    <row r="12" customFormat="false" ht="15" hidden="false" customHeight="false" outlineLevel="0" collapsed="false">
      <c r="B12" s="7" t="n">
        <v>8</v>
      </c>
      <c r="C12" s="6" t="s">
        <v>1795</v>
      </c>
      <c r="D12" s="47" t="n">
        <f aca="false">COUNTIF(Clean_Data!P2:P1001,"&lt;1")+COUNTIF(Clean_Data!P2:P1001,"&gt;10")</f>
        <v>0</v>
      </c>
      <c r="E12" s="6" t="s">
        <v>1796</v>
      </c>
    </row>
    <row r="13" customFormat="false" ht="15" hidden="false" customHeight="false" outlineLevel="0" collapsed="false">
      <c r="B13" s="7" t="n">
        <v>9</v>
      </c>
      <c r="C13" s="6" t="s">
        <v>1797</v>
      </c>
      <c r="D13" s="47" t="n">
        <f aca="false">COUNTA(Clean_Data!A:A)-1</f>
        <v>1000</v>
      </c>
      <c r="E13" s="6" t="s">
        <v>1798</v>
      </c>
    </row>
    <row r="15" customFormat="false" ht="15" hidden="false" customHeight="false" outlineLevel="0" collapsed="false">
      <c r="B15" s="3" t="s">
        <v>1799</v>
      </c>
    </row>
    <row r="16" customFormat="false" ht="30" hidden="false" customHeight="true" outlineLevel="0" collapsed="false">
      <c r="B16" s="48" t="s">
        <v>1800</v>
      </c>
      <c r="C16" s="48"/>
      <c r="D16" s="48"/>
      <c r="E16" s="48"/>
    </row>
    <row r="17" customFormat="false" ht="30" hidden="false" customHeight="true" outlineLevel="0" collapsed="false">
      <c r="B17" s="48" t="s">
        <v>1801</v>
      </c>
      <c r="C17" s="48"/>
      <c r="D17" s="48"/>
      <c r="E17" s="48"/>
    </row>
    <row r="18" customFormat="false" ht="30" hidden="false" customHeight="true" outlineLevel="0" collapsed="false">
      <c r="B18" s="48" t="s">
        <v>1802</v>
      </c>
      <c r="C18" s="48"/>
      <c r="D18" s="48"/>
      <c r="E18" s="48"/>
    </row>
  </sheetData>
  <mergeCells count="4">
    <mergeCell ref="B1:F1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B"/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10" min="9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62"/>
  </cols>
  <sheetData>
    <row r="1" customFormat="false" ht="15" hidden="false" customHeight="false" outlineLevel="0" collapsed="false">
      <c r="A1" s="5" t="s">
        <v>1803</v>
      </c>
      <c r="B1" s="5" t="s">
        <v>84</v>
      </c>
      <c r="D1" s="5" t="s">
        <v>67</v>
      </c>
      <c r="F1" s="5" t="s">
        <v>1804</v>
      </c>
      <c r="G1" s="5" t="s">
        <v>1805</v>
      </c>
      <c r="H1" s="5" t="s">
        <v>1806</v>
      </c>
      <c r="K1" s="5" t="s">
        <v>1807</v>
      </c>
      <c r="L1" s="5" t="s">
        <v>1808</v>
      </c>
      <c r="M1" s="5" t="s">
        <v>1809</v>
      </c>
    </row>
    <row r="2" customFormat="false" ht="15" hidden="false" customHeight="false" outlineLevel="0" collapsed="false">
      <c r="A2" s="41" t="s">
        <v>178</v>
      </c>
      <c r="B2" s="41" t="s">
        <v>85</v>
      </c>
      <c r="D2" s="41" t="s">
        <v>76</v>
      </c>
      <c r="F2" s="41" t="s">
        <v>54</v>
      </c>
      <c r="G2" s="41" t="s">
        <v>54</v>
      </c>
      <c r="H2" s="41" t="s">
        <v>54</v>
      </c>
      <c r="K2" s="41" t="s">
        <v>1810</v>
      </c>
      <c r="L2" s="43" t="n">
        <f aca="false">MIN(rngDate)</f>
        <v>43466</v>
      </c>
      <c r="M2" s="2" t="s">
        <v>1811</v>
      </c>
    </row>
    <row r="3" customFormat="false" ht="15" hidden="false" customHeight="false" outlineLevel="0" collapsed="false">
      <c r="A3" s="41" t="s">
        <v>189</v>
      </c>
      <c r="B3" s="41" t="s">
        <v>86</v>
      </c>
      <c r="D3" s="41" t="s">
        <v>77</v>
      </c>
      <c r="F3" s="41" t="s">
        <v>85</v>
      </c>
      <c r="G3" s="41" t="s">
        <v>76</v>
      </c>
      <c r="H3" s="41" t="s">
        <v>91</v>
      </c>
      <c r="K3" s="41" t="s">
        <v>1812</v>
      </c>
      <c r="L3" s="49" t="n">
        <v>600</v>
      </c>
      <c r="M3" s="2" t="s">
        <v>1813</v>
      </c>
    </row>
    <row r="4" customFormat="false" ht="15" hidden="false" customHeight="false" outlineLevel="0" collapsed="false">
      <c r="A4" s="41" t="s">
        <v>180</v>
      </c>
      <c r="B4" s="41" t="s">
        <v>87</v>
      </c>
      <c r="D4" s="41" t="s">
        <v>78</v>
      </c>
      <c r="F4" s="41" t="s">
        <v>86</v>
      </c>
      <c r="G4" s="41" t="s">
        <v>77</v>
      </c>
      <c r="H4" s="41" t="s">
        <v>93</v>
      </c>
      <c r="K4" s="41" t="s">
        <v>1814</v>
      </c>
      <c r="L4" s="49" t="n">
        <v>250</v>
      </c>
      <c r="M4" s="2" t="s">
        <v>1815</v>
      </c>
    </row>
    <row r="5" customFormat="false" ht="15" hidden="false" customHeight="false" outlineLevel="0" collapsed="false">
      <c r="D5" s="41" t="s">
        <v>79</v>
      </c>
      <c r="F5" s="41" t="s">
        <v>87</v>
      </c>
      <c r="G5" s="41" t="s">
        <v>78</v>
      </c>
      <c r="H5" s="41" t="s">
        <v>94</v>
      </c>
      <c r="K5" s="41" t="s">
        <v>1816</v>
      </c>
      <c r="L5" s="49" t="n">
        <v>12</v>
      </c>
      <c r="M5" s="2" t="s">
        <v>1817</v>
      </c>
    </row>
    <row r="6" customFormat="false" ht="15" hidden="false" customHeight="false" outlineLevel="0" collapsed="false">
      <c r="D6" s="41" t="s">
        <v>80</v>
      </c>
      <c r="F6" s="41"/>
      <c r="G6" s="41" t="s">
        <v>79</v>
      </c>
      <c r="H6" s="41"/>
      <c r="K6" s="41" t="s">
        <v>1818</v>
      </c>
      <c r="L6" s="49" t="n">
        <v>17</v>
      </c>
      <c r="M6" s="2" t="s">
        <v>1819</v>
      </c>
    </row>
    <row r="7" customFormat="false" ht="15" hidden="false" customHeight="false" outlineLevel="0" collapsed="false">
      <c r="D7" s="41" t="s">
        <v>81</v>
      </c>
      <c r="F7" s="41"/>
      <c r="G7" s="41" t="s">
        <v>80</v>
      </c>
      <c r="H7" s="41"/>
      <c r="K7" s="41" t="s">
        <v>1820</v>
      </c>
      <c r="L7" s="49" t="n">
        <v>9</v>
      </c>
      <c r="M7" s="2" t="s">
        <v>1821</v>
      </c>
    </row>
    <row r="8" customFormat="false" ht="15" hidden="false" customHeight="false" outlineLevel="0" collapsed="false">
      <c r="F8" s="41"/>
      <c r="G8" s="41" t="s">
        <v>81</v>
      </c>
      <c r="H8" s="41"/>
      <c r="K8" s="41" t="s">
        <v>1822</v>
      </c>
      <c r="L8" s="49" t="n">
        <v>7</v>
      </c>
      <c r="M8" s="2" t="s">
        <v>1817</v>
      </c>
    </row>
    <row r="9" customFormat="false" ht="15" hidden="false" customHeight="false" outlineLevel="0" collapsed="false">
      <c r="K9" s="41" t="s">
        <v>1823</v>
      </c>
      <c r="L9" s="49" t="n">
        <v>5</v>
      </c>
      <c r="M9" s="2" t="s">
        <v>1824</v>
      </c>
    </row>
    <row r="10" customFormat="false" ht="15" hidden="false" customHeight="false" outlineLevel="0" collapsed="false">
      <c r="A10" s="2" t="s">
        <v>1825</v>
      </c>
      <c r="K10" s="41" t="s">
        <v>1826</v>
      </c>
      <c r="L10" s="50" t="n">
        <v>0.05</v>
      </c>
      <c r="M10" s="2" t="s">
        <v>1827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2026-10-24T09:13:24Z</dcterms:created>
  <dc:creator>openpyxl</dc:creator>
  <dc:description/>
  <dc:language>en-US</dc:language>
  <cp:lastModifiedBy/>
  <dcterms:modified xsi:type="dcterms:W3CDTF">2026-10-24T09:13:29Z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